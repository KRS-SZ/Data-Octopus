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vision" sheetId="1" r:id="rId4"/>
    <sheet state="visible" name="BinTable" sheetId="2" r:id="rId5"/>
    <sheet state="visible" name="MT_P1mini(4022)" sheetId="3" r:id="rId6"/>
    <sheet state="visible" name="Pequin_MT_P2" sheetId="4" r:id="rId7"/>
    <sheet state="visible" name="CP2- PEQA (WIP)" sheetId="5" r:id="rId8"/>
    <sheet state="visible" name="MLSS_P2" sheetId="6" r:id="rId9"/>
    <sheet state="visible" name="CP2 - PEQP (P03005)" sheetId="7" r:id="rId10"/>
    <sheet state="visible" name="Sheet9" sheetId="8" r:id="rId11"/>
    <sheet state="visible" name="Old T2 Table - Ignore" sheetId="9" r:id="rId12"/>
  </sheets>
  <definedNames>
    <definedName hidden="1" localSheetId="1" name="_xlnm._FilterDatabase">BinTable!$A$19:$J$139</definedName>
  </definedNames>
  <calcPr/>
</workbook>
</file>

<file path=xl/sharedStrings.xml><?xml version="1.0" encoding="utf-8"?>
<sst xmlns="http://schemas.openxmlformats.org/spreadsheetml/2006/main" count="9631" uniqueCount="4184">
  <si>
    <t>LatestBinTable</t>
  </si>
  <si>
    <t>Version History</t>
  </si>
  <si>
    <t>Date</t>
  </si>
  <si>
    <t>Author</t>
  </si>
  <si>
    <t>Comments</t>
  </si>
  <si>
    <t>Binning Table</t>
  </si>
  <si>
    <t>TestNameRule</t>
  </si>
  <si>
    <t>CP1 - GF BP Wafer Test</t>
  </si>
  <si>
    <t>CP2 - optical CP TEST</t>
  </si>
  <si>
    <t>MS ( Module Seasoning)</t>
  </si>
  <si>
    <t>MT1 (Module Test in Lundy)</t>
  </si>
  <si>
    <t>MT2 (Module Test in Sunny) IQC</t>
  </si>
  <si>
    <t>0.1</t>
  </si>
  <si>
    <t>Martin Buck</t>
  </si>
  <si>
    <t>Original Release</t>
  </si>
  <si>
    <t>0.2</t>
  </si>
  <si>
    <t>3rd Feb 2025</t>
  </si>
  <si>
    <t>Updated hard bin to be more meaningful for probe.</t>
  </si>
  <si>
    <t>0.3</t>
  </si>
  <si>
    <t>25th Feb 2025</t>
  </si>
  <si>
    <t>Martin Buck, ChenpengH</t>
  </si>
  <si>
    <t>Moved temperature sensor to 11610
Added color specific soft bins
added tab for 4022MT, modify the hbin table</t>
  </si>
  <si>
    <t>v1.3</t>
  </si>
  <si>
    <t>0.31</t>
  </si>
  <si>
    <t>20th Mar 2025</t>
  </si>
  <si>
    <t>Consolodated all binning into BinTable sheet.  
Renamed sheet 'CP2' to 'OLD T2 Table - Ignore'
Added some functionality via conditional formats to show possible TNUM ranges that are too small or large and can be used for other tests</t>
  </si>
  <si>
    <t>TestItemNamingRule_v0.1</t>
  </si>
  <si>
    <t>0.32</t>
  </si>
  <si>
    <t>27th Mar 2025</t>
  </si>
  <si>
    <t>It makes sense to have a open bin for wafersort as an option instead of the generic bin 3.  This helps distinguish die that may have had bonding issues. So this is added as optional bin 11</t>
  </si>
  <si>
    <t>0.33</t>
  </si>
  <si>
    <t>23rd May 2025</t>
  </si>
  <si>
    <t>Added corner analysis tests listed here: avee_dac_lut_ff_array_testing_proposal_draft</t>
  </si>
  <si>
    <t>0.34</t>
  </si>
  <si>
    <t>19th Sept 2025</t>
  </si>
  <si>
    <t>Andrew Dunton</t>
  </si>
  <si>
    <t>Add dither and gamma test item names for 4022 and Pequin MT</t>
  </si>
  <si>
    <t>0.35</t>
  </si>
  <si>
    <t>5th Nov 2025</t>
  </si>
  <si>
    <t>Added HW bin 7 as Alarm bin</t>
  </si>
  <si>
    <t>0.36</t>
  </si>
  <si>
    <t>16th Dec 2025</t>
  </si>
  <si>
    <t>Charis He</t>
  </si>
  <si>
    <t xml:space="preserve">Updated Pequin_MT_P2 test item </t>
  </si>
  <si>
    <t>hbin</t>
  </si>
  <si>
    <t>hbinName</t>
  </si>
  <si>
    <t>Description</t>
  </si>
  <si>
    <t>Good Die - perfect</t>
  </si>
  <si>
    <t>Partial Good Die</t>
  </si>
  <si>
    <t>Used for Grading, not implement for HN2 P1</t>
  </si>
  <si>
    <t>DC Fail</t>
  </si>
  <si>
    <t>Current and voltage related</t>
  </si>
  <si>
    <t>Digital Fail</t>
  </si>
  <si>
    <t>Logical/bus failure</t>
  </si>
  <si>
    <t>Analog Fail</t>
  </si>
  <si>
    <t xml:space="preserve">DAC/ADC failure </t>
  </si>
  <si>
    <t>Function Fail</t>
  </si>
  <si>
    <t>Backplane functionality failure (dither, load demura, etc.)</t>
  </si>
  <si>
    <t>Alarm Bin</t>
  </si>
  <si>
    <t>Unexpected instrument alarm</t>
  </si>
  <si>
    <t>Optical Fail</t>
  </si>
  <si>
    <t>Optical Failure</t>
  </si>
  <si>
    <t>Reserved for Special Fail Bin</t>
  </si>
  <si>
    <t>Power Short / Pin Shorts</t>
  </si>
  <si>
    <t>SRAM Fail</t>
  </si>
  <si>
    <t xml:space="preserve">Open circuit </t>
  </si>
  <si>
    <t>Opens can be tracked either in bin 3 or bin 11.  Refer to specific sheet for which is used</t>
  </si>
  <si>
    <t>Minimum Additional Tests</t>
  </si>
  <si>
    <t>Affects orange color in table</t>
  </si>
  <si>
    <t>Error Bin</t>
  </si>
  <si>
    <t>Unexpected Error Bin | Handler limited to HB15</t>
  </si>
  <si>
    <t>Search For Possible Free TNUM</t>
  </si>
  <si>
    <t xml:space="preserve">Range.  </t>
  </si>
  <si>
    <t>TestInstance</t>
  </si>
  <si>
    <t>TestName</t>
  </si>
  <si>
    <t>Comment</t>
  </si>
  <si>
    <t>Hbin</t>
  </si>
  <si>
    <t>Fail Sbin</t>
  </si>
  <si>
    <t>Start Test Number</t>
  </si>
  <si>
    <t>Max Test Number</t>
  </si>
  <si>
    <t>Number Of Tests in Range</t>
  </si>
  <si>
    <t>Number Of Tests Before Overlap</t>
  </si>
  <si>
    <t>Check Next Tnum Greater Than Previous</t>
  </si>
  <si>
    <t>Production Tests</t>
  </si>
  <si>
    <t>Continuity PMU ESDtoGND Open</t>
  </si>
  <si>
    <t>IO_OS_SINK_PINNAME_DC_OPEN_X_NV_TBCO_RED/GREEN/BLUE</t>
  </si>
  <si>
    <t>Lower Diode Open, not applied for P1</t>
  </si>
  <si>
    <t>Continuity PMU ESDtoGND Short</t>
  </si>
  <si>
    <t>IO_OS_SINK_JTAGTCK_DC_SHORT_X_NV_TBCO_RED/GREEN/BLUE</t>
  </si>
  <si>
    <t>Lower Diode Short, not applied for P1</t>
  </si>
  <si>
    <t>Continuity PMU ESDtoVDD Open</t>
  </si>
  <si>
    <t>IO_OS_SOURCE_*_DC_OPEN_X_NV_TBCO_RED/GREEN/BLUE</t>
  </si>
  <si>
    <t>Continuity PMU ESDtoVDD Short</t>
  </si>
  <si>
    <t>IO_OS_SOURCE_*_DC_SHORT_X_NV_TBCO_RED/GREEN/BLUE</t>
  </si>
  <si>
    <t>Continuity PWR Short</t>
  </si>
  <si>
    <t>PS_POWERSHORT_LOW_VDD10_X_X_X_NV_TBCO_RED/GREEN/BLUE</t>
  </si>
  <si>
    <t>Input Leakage VIL</t>
  </si>
  <si>
    <t>DC_LKG_VIL_JTAGTCK_X_X_X_NV_TBCO_RED/GREEN/BLUE</t>
  </si>
  <si>
    <t>not applied for P1</t>
  </si>
  <si>
    <t>Input Leakage VIH</t>
  </si>
  <si>
    <t>DC_LKG_VIH_JTAGTCK_X_X_X_NV_TBCO_RED/GREEN/BLUE</t>
  </si>
  <si>
    <t>Tristate Leakage</t>
  </si>
  <si>
    <t>Dummy Pixel Leakage</t>
  </si>
  <si>
    <t>Digital Functionality</t>
  </si>
  <si>
    <t>not used for P1 build - Includes JTAG</t>
  </si>
  <si>
    <t>I2C Failure</t>
  </si>
  <si>
    <t>i2c</t>
  </si>
  <si>
    <t>I3C Failure</t>
  </si>
  <si>
    <t>DPHY Failure</t>
  </si>
  <si>
    <t>Power Up</t>
  </si>
  <si>
    <t>Enable Scan</t>
  </si>
  <si>
    <t>Boundry Scan</t>
  </si>
  <si>
    <t>Reserved Other Scan (PAI?)</t>
  </si>
  <si>
    <t>Reserved Other Scan (TOP?)</t>
  </si>
  <si>
    <t>EFUSE read</t>
  </si>
  <si>
    <t>EFUSE_READ_DIEID_JTAG_XCOORD_X_X_NV_TBCO_RED/GREEN/BLUE</t>
  </si>
  <si>
    <t>EFUSE write</t>
  </si>
  <si>
    <t>EFUSE_WRITE_T2_JTAG_BIN_EXP_X_NV_TBCO_RED/GREEN/BLUE</t>
  </si>
  <si>
    <t>not applied for P1 402X</t>
  </si>
  <si>
    <t>EFUSE validate</t>
  </si>
  <si>
    <t>SRAM tests</t>
  </si>
  <si>
    <t>All SRAM</t>
  </si>
  <si>
    <t>Idle Current</t>
  </si>
  <si>
    <t>DC_STANDBY_CURRENT_VDD10_X_X_X_HV_TBCO_RED/GREEN/BLUE</t>
  </si>
  <si>
    <t>Init Current</t>
  </si>
  <si>
    <t>DC_ACTIVE_CURRENT_VDD18_avee*_current&amp;_dutyCycle*_NV_TBCO_RED</t>
  </si>
  <si>
    <t>DeepSleep Current</t>
  </si>
  <si>
    <t>Active Current - Red</t>
  </si>
  <si>
    <t>Dark Current - Red</t>
  </si>
  <si>
    <t>Active Current - Green</t>
  </si>
  <si>
    <t>Dark Current - Green</t>
  </si>
  <si>
    <t>Active Current - Blue</t>
  </si>
  <si>
    <t>Dark Current - Blue</t>
  </si>
  <si>
    <t>Bandgap</t>
  </si>
  <si>
    <t>VBB20</t>
  </si>
  <si>
    <t>Cathode</t>
  </si>
  <si>
    <t>Anode_ADC</t>
  </si>
  <si>
    <t>DAC</t>
  </si>
  <si>
    <t>Temperature Sensor - Thermometer</t>
  </si>
  <si>
    <t>Temperature Sensor - ADC</t>
  </si>
  <si>
    <t>Pixel Current Trimming - Red</t>
  </si>
  <si>
    <t>Not applied for P1</t>
  </si>
  <si>
    <t>Pixel Current Trimming - Green</t>
  </si>
  <si>
    <t>Pixel Current Trimming - Blue</t>
  </si>
  <si>
    <t>Optical Setting</t>
  </si>
  <si>
    <t>Red_BrightnessFail</t>
  </si>
  <si>
    <t>Red_UniformityFail</t>
  </si>
  <si>
    <t>Red_SpetraWavelengthFail</t>
  </si>
  <si>
    <t>Red_SpetraFWHMFail</t>
  </si>
  <si>
    <t>Red_DeadPixelCntFail</t>
  </si>
  <si>
    <t>Red_ClusterFail</t>
  </si>
  <si>
    <t>Red_StuckPixelFail</t>
  </si>
  <si>
    <t>Red_PixelBridgingFail</t>
  </si>
  <si>
    <t>Green_BrightnessFail</t>
  </si>
  <si>
    <t>Green_UniformityFail</t>
  </si>
  <si>
    <t>Green_SpetraWavelengthFail</t>
  </si>
  <si>
    <t>Green_SpetraFWHMFail</t>
  </si>
  <si>
    <t>Green_DeadPixelCntFail</t>
  </si>
  <si>
    <t>Green_ClusterFail</t>
  </si>
  <si>
    <t>Green_StuckPixelFail</t>
  </si>
  <si>
    <t>Green_PixelBridgingFail</t>
  </si>
  <si>
    <t>Blue_BrightnessFail</t>
  </si>
  <si>
    <t>Blue_UniformityFail</t>
  </si>
  <si>
    <t>Blue_SpetraWavelengthFail</t>
  </si>
  <si>
    <t>Blue_SpetraFWHMFail</t>
  </si>
  <si>
    <t>OPTIC_SPEC_DOMWLTH_CENTER_X_X_X_NV_TBCO_RED</t>
  </si>
  <si>
    <t>Blue_DeadPixelCntFail</t>
  </si>
  <si>
    <t>Blue_ClusterFail</t>
  </si>
  <si>
    <t>Blue_StuckPixelFail</t>
  </si>
  <si>
    <t>Blue_PixelBridgingFail</t>
  </si>
  <si>
    <t>Red_AACrossHairDisplayFail</t>
  </si>
  <si>
    <t>Not Applied for P1</t>
  </si>
  <si>
    <t>Green_AACrossHairDisplayFail</t>
  </si>
  <si>
    <t>Blue_AACrossHairDisplayFail</t>
  </si>
  <si>
    <t>Red_ContrastFailure</t>
  </si>
  <si>
    <t>Green_ContrastFailure</t>
  </si>
  <si>
    <t>Blue_ContrastFailure</t>
  </si>
  <si>
    <t>Pixel Registration Failure</t>
  </si>
  <si>
    <t>Red_DimPixelFail</t>
  </si>
  <si>
    <t>Green_DimPixelFail</t>
  </si>
  <si>
    <t>Blue_DimPixelFail</t>
  </si>
  <si>
    <t>Burn In</t>
  </si>
  <si>
    <t>Focus</t>
  </si>
  <si>
    <t>Images</t>
  </si>
  <si>
    <t>FGR Pixel Statistics (diff and average)</t>
  </si>
  <si>
    <t>Characterisation</t>
  </si>
  <si>
    <t>Forward Voltage</t>
  </si>
  <si>
    <t>ANSI LUT Sweep (including AVEE/LUT/DAC/FRAMES/EXPOSURE/ND logging)</t>
  </si>
  <si>
    <t>ANSI DAC Sweep (including AVEE/LUT/DAC/FRAMES/EXPOSURE/ND logging)</t>
  </si>
  <si>
    <t>ANSI AVEE Sweep (including AVEE/LUT/DAC/FRAMES/EXPOSURE/ND logging)</t>
  </si>
  <si>
    <t>SPEC LUT Sweep (including AVEE/LUT/DAC/FRAMES/EXPOSURE/ND logging)</t>
  </si>
  <si>
    <t>SPEC DAC Sweep (including AVEE/LUT/DAC/FRAMES/EXPOSURE/ND logging)</t>
  </si>
  <si>
    <t>SPEC AVEE Sweep (including AVEE/LUT/DAC/FRAMES/EXPOSURE/ND logging)</t>
  </si>
  <si>
    <t>AV Typical</t>
  </si>
  <si>
    <t>D Typical</t>
  </si>
  <si>
    <t>L, typical</t>
  </si>
  <si>
    <t>FF/APL/Sparsegrid, typical</t>
  </si>
  <si>
    <t>L (cst power)</t>
  </si>
  <si>
    <t>AV, DAC corner case</t>
  </si>
  <si>
    <t>AV, LUT corner case</t>
  </si>
  <si>
    <t>AV, FF corner case</t>
  </si>
  <si>
    <t>L, AVEE corner case</t>
  </si>
  <si>
    <t>L, DAC corner case</t>
  </si>
  <si>
    <t>L, FF corner case</t>
  </si>
  <si>
    <t>FF, AVEE corner case</t>
  </si>
  <si>
    <t>FF, DAC corner case</t>
  </si>
  <si>
    <t>FF, LUT corner case</t>
  </si>
  <si>
    <t>Parameter Logging</t>
  </si>
  <si>
    <t>General Software Error</t>
  </si>
  <si>
    <t>file not found</t>
  </si>
  <si>
    <t>Overexposure Flags</t>
  </si>
  <si>
    <t>AVEE/LUT/DAC/FRAMES/EXPOSURE/ND</t>
  </si>
  <si>
    <t>Test hardware (PIB/CIB/PC/Photometer/OpticalLibrary/TrueTestVersion)</t>
  </si>
  <si>
    <t>Test Time Debug</t>
  </si>
  <si>
    <t>OSAT Logging</t>
  </si>
  <si>
    <t>Tuskar</t>
  </si>
  <si>
    <t>Aranmore</t>
  </si>
  <si>
    <t>OSAT1</t>
  </si>
  <si>
    <t>OSAT2</t>
  </si>
  <si>
    <t>Test#</t>
  </si>
  <si>
    <t>Test Item</t>
  </si>
  <si>
    <t>Test Instance</t>
  </si>
  <si>
    <t>Type</t>
  </si>
  <si>
    <t>LLimit</t>
  </si>
  <si>
    <t>HLimit</t>
  </si>
  <si>
    <t>Unit</t>
  </si>
  <si>
    <t>DC_POWERSHORT_LOW_AVDD_0P1V_X_X_NV_4022_RED</t>
  </si>
  <si>
    <t>Power Shorts</t>
  </si>
  <si>
    <t>DC</t>
  </si>
  <si>
    <t>-1</t>
  </si>
  <si>
    <t>10</t>
  </si>
  <si>
    <t>mA</t>
  </si>
  <si>
    <t>DC_POWERSHORT_LOW_VDDI_0P1V_X_X_NV_4022_RED</t>
  </si>
  <si>
    <t>DC_POWERSHORT_HIGH_AVEE_M0P1V_X_X_NV_4022_RED</t>
  </si>
  <si>
    <t>-10</t>
  </si>
  <si>
    <t>1</t>
  </si>
  <si>
    <t>DC_POWERSHORT_LOW_AVDD2V5_0P1V_X_X_NV_4022_RED</t>
  </si>
  <si>
    <t>DC_POWERSHORT_LOW_AVDD_0P1V_X_X_NV_4022_GREEN</t>
  </si>
  <si>
    <t>DC_POWERSHORT_LOW_VDDI_0P1V_X_X_NV_4022_GREEN</t>
  </si>
  <si>
    <t>DC_POWERSHORT_HIGH_AVEE_M0P1V_X_X_NV_4022_GREEN</t>
  </si>
  <si>
    <t>DC_POWERSHORT_LOW_AVDD2V5_0P1V_X_X_NV_4022_GREEN</t>
  </si>
  <si>
    <t>DC_POWERSHORT_LOW_AVDD_0P1V_X_X_NV_4022_BLUE</t>
  </si>
  <si>
    <t>DC_POWERSHORT_LOW_VDDI_0P1V_X_X_NV_4022_BLUE</t>
  </si>
  <si>
    <t>DC_POWERSHORT_HIGH_AVEE_M0P1V_X_X_NV_4022_BLUE</t>
  </si>
  <si>
    <t>DC_POWERSHORT_LOW_AVDD2V5_0P1V_X_X_NV_4022_BLUE</t>
  </si>
  <si>
    <t>DC_IDLE_CURRENT_AVDD_X_X_X_NV_4022_RED</t>
  </si>
  <si>
    <t>Idle Power Test</t>
  </si>
  <si>
    <t>0</t>
  </si>
  <si>
    <t>50</t>
  </si>
  <si>
    <t>DC_IDLE_CURRENT_VDDI_X_X_X_NV_4022_RED</t>
  </si>
  <si>
    <t>DC_IDLE_CURRENT_AVDD_X_X_X_NV_4022_GREEN</t>
  </si>
  <si>
    <t>DC_IDLE_CURRENT_VDDI_X_X_X_NV_4022_GREEN</t>
  </si>
  <si>
    <t>DC_IDLE_CURRENT_AVDD_X_X_X_NV_4022_BLUE</t>
  </si>
  <si>
    <t>DC_IDLE_CURRENT_VDDI_X_X_X_NV_4022_BLUE</t>
  </si>
  <si>
    <t>FUNC_COM_I2C_AAAAAAAA_X_X_H4_NV_4022_RED</t>
  </si>
  <si>
    <t>I2C Communication Test</t>
  </si>
  <si>
    <t>AAAA</t>
  </si>
  <si>
    <t>FUNC_COM_I2C_AAAAAAAA_X_X_L4_NV_4022_RED</t>
  </si>
  <si>
    <t>FUNC_COM_I2C_55555555_X_X_H4_NV_4022_RED</t>
  </si>
  <si>
    <t>5555</t>
  </si>
  <si>
    <t>FUNC_COM_I2C_55555555_X_X_L4_NV_4022_RED</t>
  </si>
  <si>
    <t>FUNC_COM_I2C_FFFFFFFF_X_X_H4_NV_4022_RED</t>
  </si>
  <si>
    <t>FFFF</t>
  </si>
  <si>
    <t>FUNC_COM_I2C_FFFFFFFF_X_X_L4_NV_4022_RED</t>
  </si>
  <si>
    <t>FUNC_COM_I2C_00000000_X_X_H4_NV_4022_RED</t>
  </si>
  <si>
    <t>0000</t>
  </si>
  <si>
    <t>FUNC_COM_I2C_00000000_X_X_L4_NV_4022_RED</t>
  </si>
  <si>
    <t>FUNC_COM_I2C_AAAAAAAA_X_X_H4_NV_4022_GREEN</t>
  </si>
  <si>
    <t>FUNC_COM_I2C_AAAAAAAA_X_X_L4_NV_4022_GREEN</t>
  </si>
  <si>
    <t>FUNC_COM_I2C_55555555_X_X_H4_NV_4022_GREEN</t>
  </si>
  <si>
    <t>FUNC_COM_I2C_55555555_X_X_L4_NV_4022_GREEN</t>
  </si>
  <si>
    <t>FUNC_COM_I2C_FFFFFFFF_X_X_H4_NV_4022_GREEN</t>
  </si>
  <si>
    <t>FUNC_COM_I2C_FFFFFFFF_X_X_L4_NV_4022_GREEN</t>
  </si>
  <si>
    <t>FUNC_COM_I2C_00000000_X_X_H4_NV_4022_GREEN</t>
  </si>
  <si>
    <t>FUNC_COM_I2C_00000000_X_X_L4_NV_4022_GREEN</t>
  </si>
  <si>
    <t>FUNC_COM_I2C_AAAAAAAA_X_X_H4_NV_4022_BLUE</t>
  </si>
  <si>
    <t>FUNC_COM_I2C_AAAAAAAA_X_X_L4_NV_4022_BLUE</t>
  </si>
  <si>
    <t>FUNC_COM_I2C_55555555_X_X_H4_NV_4022_BLUE</t>
  </si>
  <si>
    <t>FUNC_COM_I2C_55555555_X_X_L4_NV_4022_BLUE</t>
  </si>
  <si>
    <t>FUNC_COM_I2C_FFFFFFFF_X_X_H4_NV_4022_BLUE</t>
  </si>
  <si>
    <t>FUNC_COM_I2C_FFFFFFFF_X_X_L4_NV_4022_BLUE</t>
  </si>
  <si>
    <t>FUNC_COM_I2C_00000000_X_X_H4_NV_4022_BLUE</t>
  </si>
  <si>
    <t>FUNC_COM_I2C_00000000_X_X_L4_NV_4022_BLUE</t>
  </si>
  <si>
    <t>EFUSE_READ_DIEID_I2C_XLOC_X_X_NV_4022_RED</t>
  </si>
  <si>
    <t>Panel ID Read</t>
  </si>
  <si>
    <t>EFUSE_READ_DIEID_I2C_YLOC_X_X_NV_4022_RED</t>
  </si>
  <si>
    <t>EFUSE_READ_DIEID_I2C_WAFERID0_X_X_NV_4022_RED</t>
  </si>
  <si>
    <t>EFUSE_READ_DIEID_I2C_WAFERID1_X_X_NV_4022_RED</t>
  </si>
  <si>
    <t>EFUSE_READ_DIEID_I2C_WAFERID2_X_X_NV_4022_RED</t>
  </si>
  <si>
    <t>EFUSE_READ_DIEID_I2C_WAFERID3_X_X_NV_4022_RED</t>
  </si>
  <si>
    <t>EFUSE_READ_DIEID_I2C_WAFERID4_X_X_NV_4022_RED</t>
  </si>
  <si>
    <t>EFUSE_READ_DIEID_I2C_WAFERID5_X_X_NV_4022_RED</t>
  </si>
  <si>
    <t>EFUSE_READ_DIEID_I2C_WAFERID6_X_X_NV_4022_RED</t>
  </si>
  <si>
    <t>EFUSE_READ_DIEID_I2C_YEAR_X_X_NV_4022_RED</t>
  </si>
  <si>
    <t>EFUSE_READ_DIEID_I2C_MONTH_X_X_NV_4022_RED</t>
  </si>
  <si>
    <t>EFUSE_READ_DIEID_I2C_DAY_X_X_NV_4022_RED</t>
  </si>
  <si>
    <t>EFUSE_READ_DIEID_I2C_4IN12_X_X_NV_4022_RED</t>
  </si>
  <si>
    <t>EFUSE_READ_DIEID_I2C_XLOC_X_X_NV_4022_GREEN</t>
  </si>
  <si>
    <t>EFUSE_READ_DIEID_I2C_YLOC_X_X_NV_4022_GREEN</t>
  </si>
  <si>
    <t>EFUSE_READ_DIEID_I2C_WAFERID0_X_X_NV_4022_GREEN</t>
  </si>
  <si>
    <t>EFUSE_READ_DIEID_I2C_WAFERID1_X_X_NV_4022_GREEN</t>
  </si>
  <si>
    <t>EFUSE_READ_DIEID_I2C_WAFERID2_X_X_NV_4022_GREEN</t>
  </si>
  <si>
    <t>EFUSE_READ_DIEID_I2C_WAFERID3_X_X_NV_4022_GREEN</t>
  </si>
  <si>
    <t>EFUSE_READ_DIEID_I2C_WAFERID4_X_X_NV_4022_GREEN</t>
  </si>
  <si>
    <t>EFUSE_READ_DIEID_I2C_WAFERID5_X_X_NV_4022_GREEN</t>
  </si>
  <si>
    <t>EFUSE_READ_DIEID_I2C_WAFERID6_X_X_NV_4022_GREEN</t>
  </si>
  <si>
    <t>EFUSE_READ_DIEID_I2C_YEAR_X_X_NV_4022_GREEN</t>
  </si>
  <si>
    <t>EFUSE_READ_DIEID_I2C_MONTH_X_X_NV_4022_GREEN</t>
  </si>
  <si>
    <t>EFUSE_READ_DIEID_I2C_DAY_X_X_NV_4022_GREEN</t>
  </si>
  <si>
    <t>EFUSE_READ_DIEID_I2C_4IN12_X_X_NV_4022_BLUE</t>
  </si>
  <si>
    <t>EFUSE_READ_DIEID_I2C_XLOC_X_X_NV_4022_BLUE</t>
  </si>
  <si>
    <t>EFUSE_READ_DIEID_I2C_YLOC_X_X_NV_4022_BLUE</t>
  </si>
  <si>
    <t>EFUSE_READ_DIEID_I2C_WAFERID0_X_X_NV_4022_BLUE</t>
  </si>
  <si>
    <t>EFUSE_READ_DIEID_I2C_WAFERID1_X_X_NV_4022_BLUE</t>
  </si>
  <si>
    <t>EFUSE_READ_DIEID_I2C_WAFERID2_X_X_NV_4022_BLUE</t>
  </si>
  <si>
    <t>EFUSE_READ_DIEID_I2C_WAFERID3_X_X_NV_4022_BLUE</t>
  </si>
  <si>
    <t>EFUSE_READ_DIEID_I2C_WAFERID4_X_X_NV_4022_BLUE</t>
  </si>
  <si>
    <t>EFUSE_READ_DIEID_I2C_WAFERID5_X_X_NV_4022_BLUE</t>
  </si>
  <si>
    <t>EFUSE_READ_DIEID_I2C_WAFERID6_X_X_NV_4022_BLUE</t>
  </si>
  <si>
    <t>EFUSE_READ_DIEID_I2C_YEAR_X_X_NV_4022_BLUE</t>
  </si>
  <si>
    <t>EFUSE_READ_DIEID_I2C_MONTH_X_X_NV_4022_BLUE</t>
  </si>
  <si>
    <t>EFUSE_READ_DIEID_I2C_DAY_X_X_NV_4022_BLUE</t>
  </si>
  <si>
    <t>DC_INIT_CURRENT_AVDD_X_X_X_NV_4022_RED</t>
  </si>
  <si>
    <t>DUT_Init</t>
  </si>
  <si>
    <t>DC_INIT_CURRENT_VDDI_X_X_X_NV_4022_RED</t>
  </si>
  <si>
    <t>DC_INIT_CURRENT_AVEE_X_X_X_NV_4022_RED</t>
  </si>
  <si>
    <t>-50</t>
  </si>
  <si>
    <t>DC_INIT_CURRENT_AVDD2V5_X_X_X_NV_4022_RED</t>
  </si>
  <si>
    <t>DC_INIT_CURRENT_AVDD_X_X_X_NV_4022_GREEN</t>
  </si>
  <si>
    <t>DC_INIT_CURRENT_VDDI_X_X_X_NV_4022_GREEN</t>
  </si>
  <si>
    <t>DC_INIT_CURRENT_AVEE_X_X_X_NV_4022_GREEN</t>
  </si>
  <si>
    <t>DC_INIT_CURRENT_AVDD2V5_X_X_X_NV_4022_GREEN</t>
  </si>
  <si>
    <t>DC_INIT_CURRENT_AVDD_X_X_X_NV_4022_BLUE</t>
  </si>
  <si>
    <t>DC_INIT_CURRENT_VDDI_X_X_X_NV_4022_BLUE</t>
  </si>
  <si>
    <t>DC_INIT_CURRENT_AVEE_X_X_X_NV_4022_BLUE</t>
  </si>
  <si>
    <t>DC_INIT_CURRENT_AVDD2V5_X_X_X_NV_4022_BLUE</t>
  </si>
  <si>
    <t>TEMPSNS_STANDBY_THERM_I2C_DEGREEC_X_X_NV_4022_RED</t>
  </si>
  <si>
    <t>Temperature Sensor</t>
  </si>
  <si>
    <t>5</t>
  </si>
  <si>
    <t>60</t>
  </si>
  <si>
    <t>C</t>
  </si>
  <si>
    <t>P1-No frame control</t>
  </si>
  <si>
    <t>TEMPSNS_STANDBY_THERM_I2C_DEGREEC_X_X_NV_4022_GREEN</t>
  </si>
  <si>
    <t>TEMPSNS_STANDBY_THERM_I2C_DEGREEC_X_X_NV_4022_BLUE</t>
  </si>
  <si>
    <t>TEMPSNS_ACTIVE_THERM_I2C_DEGREEC_SYSANSI_X_NV_4022_RED</t>
  </si>
  <si>
    <t>70</t>
  </si>
  <si>
    <t>TEMPSNS_ACITVE_THERM_I2C_DEGREEC_SYSANSI_X_NV_4022_GREEN</t>
  </si>
  <si>
    <t>TEMPSNS_ACTIVE_THERM_I2C_DEGREEC_SYSANSI_X_NV_4022_BLUE</t>
  </si>
  <si>
    <t>TEMPSNS_ACTIVE_THERM_I2C_DEGREEC_SYSSPEC_X_NV_4022_RED</t>
  </si>
  <si>
    <t>TEMPSNS_ACITVE_THERM_I2C_DEGREEC_SYSSPEC_X_NV_4022_GREEN</t>
  </si>
  <si>
    <t>TEMPSNS_ACTIVE_THERM_I2C_DEGREEC_SYSSPEC_X_NV_4022_BLUE</t>
  </si>
  <si>
    <t>TEMPSNS_ACTIVE_THERM_I2C_DEGREEC_LUNDYANSI_X_NV_4022_RED</t>
  </si>
  <si>
    <t>TEMPSNS_ACITVE_THERM_I2C_DEGREEC_LUNDYANSI_X_NV_4022_GREEN</t>
  </si>
  <si>
    <t>TEMPSNS_ACTIVE_THERM_I2C_DEGREEC_LUNDYANSI_X_NV_4022_BLUE</t>
  </si>
  <si>
    <t>TEMPSNS_ACTIVE_THERM_I2C_DEGREEC_LUNDYSPEC_X_NV_4022_RED</t>
  </si>
  <si>
    <t>TEMPSNS_ACITVE_THERM_I2C_DEGREEC_LUNDYSPEC_X_NV_4022_GREEN</t>
  </si>
  <si>
    <t>TEMPSNS_ACTIVE_THERM_I2C_DEGREEC_LUNDYSPEC_X_NV_4022_BLUE</t>
  </si>
  <si>
    <t>FUNC_COM_DPHY_CHECK_X_X_H4_NV_4022_RED</t>
  </si>
  <si>
    <t>DPHY Communication Test</t>
  </si>
  <si>
    <t>4</t>
  </si>
  <si>
    <t>FUNC_COM_DPHY_CHECK_X_X_H4_NV_4022_GREEN</t>
  </si>
  <si>
    <t>FUNC_COM_DPHY_CHECK_X_X_H4_NV_4022_BLUE</t>
  </si>
  <si>
    <t>FUNC_DEMURALOAD_FOUNDFILE_X_X_X_H4_NV_4022_RED</t>
  </si>
  <si>
    <t>Load Demura and Gamma Table</t>
  </si>
  <si>
    <t>FUNC_GAMMALOAD_FOUNDFILE_X_X_X_H4_NV_4022_RED</t>
  </si>
  <si>
    <t>FUNC_DEMURALOAD_DPHY_LOADSUCCESS_X_X_H4_NV_4022_RED</t>
  </si>
  <si>
    <t>Check address 0x0302B7E0 =  0x00FFFF0B for Gamma table load</t>
  </si>
  <si>
    <t>FUNC_GAMMALOAD_DPHY_LOADSUCCESS_X_X_H4_NV_4022_RED</t>
  </si>
  <si>
    <t>Check address 0x030006E8 =  0x0BB807D0 for Demura table load</t>
  </si>
  <si>
    <t>FUNC_DEMURALOAD_FOUNDFILE_X_X_X_H4_NV_4022_GREEN</t>
  </si>
  <si>
    <t>FUNC_GAMMALOAD_FOUNDFILE_X_X_X_H4_NV_4022_GREEN</t>
  </si>
  <si>
    <t>FUNC_DEMURALOAD_DPHY_LOADSUCCESS_X_X_H4_NV_4022_GREEN</t>
  </si>
  <si>
    <t>FUNC_GAMMALOAD_DPHY_LOADSUCCESS_X_X_H4_NV_4022_GREEN</t>
  </si>
  <si>
    <t>FUNC_DEMURALOAD_FOUNDFILE_X_X_X_H4_NV_4022_BLUE</t>
  </si>
  <si>
    <t>FUNC_GAMMALOAD_FOUNDFILE_X_X_X_H4_NV_4022_BLUE</t>
  </si>
  <si>
    <t>FUNC_DEMURALOAD_DPHY_LOADSUCCESS_X_X_H4_NV_4022_BLUE</t>
  </si>
  <si>
    <t>FUNC_GAMMALOAD_DPHY_LOADSUCCESS_X_X_H4_NV_4022_BLUE</t>
  </si>
  <si>
    <t>DC_DEEPSLEEP_CURRENT_AVDD_X_X_X_NV_4022_RED</t>
  </si>
  <si>
    <t>Deepsleep Current</t>
  </si>
  <si>
    <t>DC_DEEPSLEEP_CURRENT_VDDI_X_X_X_NV_4022_RED</t>
  </si>
  <si>
    <t>DC_DEEPSLEEP_CURRENT_AVEE_X_X_X_NV_4022_RED</t>
  </si>
  <si>
    <t>DC_DEEPSLEEP_CURRENT_AVDD_X_X_X_NV_4022_GREEN</t>
  </si>
  <si>
    <t>DC_DEEPSLEEP_CURRENT_VDDI_X_X_X_NV_4022_GREEN</t>
  </si>
  <si>
    <t>DC_DEEPSLEEP_CURRENT_AVEE_X_X_X_NV_4022_GREEN</t>
  </si>
  <si>
    <t>DC_DEEPSLEEP_CURRENT_AVDD_X_X_X_NV_4022_BLUE</t>
  </si>
  <si>
    <t>DC_DEEPSLEEP_CURRENT_VDDI_X_X_X_NV_4022_BLUE</t>
  </si>
  <si>
    <t>DC_DEEPSLEEP_CURRENT_AVEE_X_X_X_NV_4022_BLUE</t>
  </si>
  <si>
    <t>DC_ACTIVE_CURRENT_AVDD_X_X_X_NV_4022_RED</t>
  </si>
  <si>
    <t>Active Power Test
In Panel ANSI</t>
  </si>
  <si>
    <t>A</t>
  </si>
  <si>
    <t>DC_ACTIVE_CURRENT_VDDI_X_X_X_NV_4022_RED</t>
  </si>
  <si>
    <t>DC_ACTIVE_CURRENT_AVEE_X_X_X_NV_4022_RED</t>
  </si>
  <si>
    <t>-370</t>
  </si>
  <si>
    <t>DC_ACTIVE_CURRENT_AVDD_X_X_X_NV_4022_GREEN</t>
  </si>
  <si>
    <t>DC_ACTIVE_CURRENT_VDDI_X_X_X_NV_4022_GREEN</t>
  </si>
  <si>
    <t>DC_ACTIVE_CURRENT_AVEE_X_X_X_NV_4022_GREEN</t>
  </si>
  <si>
    <t>-40</t>
  </si>
  <si>
    <t>DC_ACTIVE_CURRENT_AVDD_X_X_X_NV_4022_BLUE</t>
  </si>
  <si>
    <t>DC_ACTIVE_CURRENT_VDDI_X_X_X_NV_4022_BLUE</t>
  </si>
  <si>
    <t>DC_ACTIVE_CURRENT_AVEE_X_X_X_NV_4022_BLUE</t>
  </si>
  <si>
    <t>-110</t>
  </si>
  <si>
    <t>OPTIC_COMMONSETTING_FRAMERATE_X_X_X_X_NV_4022_X</t>
  </si>
  <si>
    <t>Common Driving</t>
  </si>
  <si>
    <t>Hz</t>
  </si>
  <si>
    <t>OPTIC_COMMONSETTING_NDFILTER_X_X_X_X_NV_4022_X</t>
  </si>
  <si>
    <t>2</t>
  </si>
  <si>
    <t>3</t>
  </si>
  <si>
    <t>OPTIC_IMG_ALLON_PREFOCUS_N2V_3P2UA_32%_NV_4022_RED</t>
  </si>
  <si>
    <t>Save Image - All On - PreFocus- DemuraOFF,
Save Image - All on- Post Focus Cal</t>
  </si>
  <si>
    <t>OPTIC_IMG_ALLON_POSTFOCUS_N2V_3P2UA_32%_NV_4022_RED</t>
  </si>
  <si>
    <t>OPTIC_IMG_ALLON_FRAMECNT_N2V_3P2UA_32%_NV_4022_RED</t>
  </si>
  <si>
    <t>OPTIC_IMG_ALLON_PREFOCUS_N2V_0P4UA_20%_NV_4022_GREEN</t>
  </si>
  <si>
    <t>OPTIC_IMG_ALLON_POSTFOCUS_N2V_0P4UA_20%_NV_4022_GREEN</t>
  </si>
  <si>
    <t>OPTIC_IMG_ALLON_FRAMECNT_N2V_0P4UA_20%_NV_4022_GREEN</t>
  </si>
  <si>
    <t>OPTIC_IMG_ALLON_PREFOCUS_N2V_0P8UA_28%_NV_4022_BLUE</t>
  </si>
  <si>
    <t>OPTIC_IMG_ALLON_POSTFOCUS_N2V_0P8UA_28%_NV_4022_BLUE</t>
  </si>
  <si>
    <t>OPTIC_IMG_ALLON_FRAMECNT_N2V_0P8UA_28%_NV_4022_BLUE</t>
  </si>
  <si>
    <t>OPTIC_ANSI_ALLON_X_N2V_3P2UA_32%_NV_4022_RED</t>
  </si>
  <si>
    <t>ANSI_SysCond</t>
  </si>
  <si>
    <t>notForP1</t>
  </si>
  <si>
    <t>Nit</t>
  </si>
  <si>
    <t>OPTIC_ANSI_ALLON_NORM32%_N2V_3P2UA_32%_NV_4022_RED</t>
  </si>
  <si>
    <t>OPTIC_ANSI_EXPOSETIME_X_N2V_3P2UA_32%_NV_4022_RED</t>
  </si>
  <si>
    <t>ms</t>
  </si>
  <si>
    <t>OPTIC_ANSI_FRAMECNT_X_N2V_3P2UA_32%_NV_4022_RED</t>
  </si>
  <si>
    <t>OPTIC_ANSI_CDPERW_18P5DEG_N2V_3P2UA_32%_NV_4022_RED</t>
  </si>
  <si>
    <t>CD/W</t>
  </si>
  <si>
    <t>OPTIC_ANSI_UNIFORMITY%MINMAX_144UM_N2V_3P2UA_32%_NV_4022_RED</t>
  </si>
  <si>
    <t>%</t>
  </si>
  <si>
    <t>OPTIC_ANSI_UNIFORMITY%5THPERCENTILE_144UM_N2V_3P2UA_32%_NV_4022_RED</t>
  </si>
  <si>
    <t>OPTIC_ANSI_UNIFORMITY%STDEV_144UM_N2V_3P2UA_32%_NV_4022_RED</t>
  </si>
  <si>
    <t>OPTIC_ANSI_FLAG_OVEREXP_N2V_3P2UA_32%_NV_4022_RED</t>
  </si>
  <si>
    <t>OPTIC_ANSI_ALLON_X_N2V_0P4UA_20%_NV_4022_GREEN</t>
  </si>
  <si>
    <t>OPTIC_ANSI_ALLON_NORM39%_N2V_0P4UA_20%_NV_4022_GREEN</t>
  </si>
  <si>
    <t>OPTIC_ANSI_EXPOSETIME_X_N2V_0P4UA_20%_NV_4022_GREEN</t>
  </si>
  <si>
    <t>OPTIC_ANSI_FRAMECNT_X_N2V_0P4UA_20%_NV_4022_GREEN</t>
  </si>
  <si>
    <t>OPTIC_ANSI_CDPERW_18P5DEG_N2V_0P4UA_20%_NV_4022_GREEN</t>
  </si>
  <si>
    <t>OPTIC_ANSI_UNIFORMITY%MINMAX_144UM_N2V_0P4UA_20%_NV_4022_GREEN</t>
  </si>
  <si>
    <t>OPTIC_ANSI_UNIFORMITY%5THPERCENTILE_144UM_N2V_0P4UA_20%_NV_4022_GREEN</t>
  </si>
  <si>
    <t>OPTIC_ANSI_UNIFORMITY%STDEV_144UM_N2V_0P4UA_20%_NV_4022_GREEN</t>
  </si>
  <si>
    <t>OPTIC_ANSI_FLAG_OVEREXP_N2V_0P4UA_20%_NV_4022_GREEN</t>
  </si>
  <si>
    <t>OPTIC_ANSI_ALLON_X_N2V_0P8UA_28%_NV_4022_BLUE</t>
  </si>
  <si>
    <t>OPTIC_ANSI_ALLON_NORM28%_N2V_0P8UA_28%_NV_4022_BLUE</t>
  </si>
  <si>
    <t>OPTIC_ANSI_EXPOSETIME_X_N2V_0P8UA_28%_NV_4022_BLUE</t>
  </si>
  <si>
    <t>OPTIC_ANSI_FRAMECNT_X_N2V_0P8UA_28%_NV_4022_BLUE</t>
  </si>
  <si>
    <t>OPTIC_ANSI_CDPERW_18P5DEG_N2V_0P8UA_28%_NV_4022_BLUE</t>
  </si>
  <si>
    <t>OPTIC_ANSI_UNIFORMITY%MINMAX_X_144UM_N2V_0P8UA_28%_NV_4022_BLUE</t>
  </si>
  <si>
    <t>OPTIC_ANSI_UNIFORMITY%5THPERCENTILE_X_144UM_N2V_0P8UA_28%_NV_4022_BLUE</t>
  </si>
  <si>
    <t>OPTIC_ANSI_UNIFORMITY%STDEV_X_144UM_N2V_0P8UA_28%_NV_4022_BLUE</t>
  </si>
  <si>
    <t>OPTIC_ANSI_FLAG_OVEREXP_N2V_0P8UA_28%_NV_4022_BLUE</t>
  </si>
  <si>
    <t>OPTIC_ANSI_ALLON_X_N2V_3P36UA_10P2%_NV_4022_RED</t>
  </si>
  <si>
    <t>ANSI_LundyCond</t>
  </si>
  <si>
    <t>OPTIC_ANSI_ALLON_NORM83P9%_N2V_3P36UA_10P2%_NV_4022_RED</t>
  </si>
  <si>
    <t>500K</t>
  </si>
  <si>
    <t>OPTIC_ANSI_EXPOSETIME_X_N2V_3P36UA_10P2%_NV_4022_RED</t>
  </si>
  <si>
    <t>OPTIC_ANSI_FRAMECNT_X_N2V_3P36UA_10P2%_NV_4022_RED</t>
  </si>
  <si>
    <t>OPTIC_ANSI_CDPERW_18P5DEG_N2V_3P36UA_10P2%_NV_4022_RED</t>
  </si>
  <si>
    <t>OPTIC_ANSI_UNIFORMITY%MINMAX_144UM_N2V_3P36UA_10P2%_NV_4022_RED</t>
  </si>
  <si>
    <t>OPTIC_ANSI_UNIFORMITY%5THPERCENTILE_144UM_N2V_3P36UA_10P2%_NV_4022_RED</t>
  </si>
  <si>
    <t>OPTIC_ANSI_UNIFORMITY%STDEV_144UM_N2V_3P36UA_10P2%_NV_4022_RED</t>
  </si>
  <si>
    <t>OPTIC_ANSI_FLAG_OVEREXP_N2V_3P36UA_10P2%_NV_4022_RED</t>
  </si>
  <si>
    <t>OPTIC_ANSI_ALLON_X_N2V_3P36UA_2P56%_NV_4022_GREEN</t>
  </si>
  <si>
    <t>OPTIC_ANSI_ALLON_NORM83P9%_N2V_3P36UA_2P56%_NV_4022_GREEN</t>
  </si>
  <si>
    <t>4300k</t>
  </si>
  <si>
    <t>OPTIC_ANSI_EXPOSETIME_X_N2V_3P36UA_2P56%_NV_4022_GREEN</t>
  </si>
  <si>
    <t>OPTIC_ANSI_FRAMECNT_X_N2V_3P36UA_2P56%_NV_4022_GREEN</t>
  </si>
  <si>
    <t>OPTIC_ANSI_CDPERW_18P5DEG_N2V_3P36UA_2P56%_NV_4022_GREEN</t>
  </si>
  <si>
    <t>OPTIC_ANSI_UNIFORMITY%MINMAX_144UM_N2V_3P36UA_2P56%_NV_4022_GREEN</t>
  </si>
  <si>
    <t>OPTIC_ANSI_UNIFORMITY%5THPERCENTILE_144UM_N2V_3P36UA_2P56%_NV_4022_GREEN</t>
  </si>
  <si>
    <t>OPTIC_ANSI_UNIFORMITY%STDEV_144UM_N2V_3P36UA_2P56%_NV_4022_GREEN</t>
  </si>
  <si>
    <t>OPTIC_ANSI_FLAG_OVEREXP_N2V_3P36UA_2P56%_NV_4022_GREEN</t>
  </si>
  <si>
    <t>OPTIC_ANSI_ALLON_X_N2V_3P36UA_10P2%_NV_4022_BLUE</t>
  </si>
  <si>
    <t>OPTIC_ANSI_ALLON_NORM83P9%_N2V_3P36UA_10P2%_NV_4022_BLUE</t>
  </si>
  <si>
    <t>OPTIC_ANSI_EXPOSETIME_X_N2V_3P36UA_10P2%_NV_4022_BLUE</t>
  </si>
  <si>
    <t>OPTIC_ANSI_FRAMECNT_X_N2V_3P36UA_10P2%_NV_4022_BLUE</t>
  </si>
  <si>
    <t>OPTIC_ANSI_CDPERW_18P5DEG_N2V_3P36UA_10P2%_NV_4022_BLUE</t>
  </si>
  <si>
    <t>OPTIC_ANSI_UNIFORMITY%MINMAX_X_144UM_N2V_3P36UA_10P2%_NV_4022_BLUE</t>
  </si>
  <si>
    <t>OPTIC_ANSI_UNIFORMITY%5THPERCENTILE_X_144UM_N2V_3P36UA_10P2%_NV_4022_BLUE</t>
  </si>
  <si>
    <t>OPTIC_ANSI_UNIFORMITY%STDEV_X_144UM_N2V_3P36UA_10P2%_NV_4022_BLUE</t>
  </si>
  <si>
    <t>OPTIC_ANSI_FLAG_OVEREXP_N2V_3P36UA_10P2%_NV_4022_BLUE</t>
  </si>
  <si>
    <t>OPTIC_SPEC_DOMWLTH_CENTER_N2V_3P2UA_32%_NV_4022_RED</t>
  </si>
  <si>
    <t>Spectrum_SysCond</t>
  </si>
  <si>
    <t>nm</t>
  </si>
  <si>
    <t>OPTIC_SPEC_PKWLTH_CENTER_N2V_3P2UA_32%_NV_4022_RED</t>
  </si>
  <si>
    <t>OPTIC_SPEC_CETLTH_CENTER_N2V_3P2UA_32%_NV_4022_RED</t>
  </si>
  <si>
    <t>OPTIC_SPEC_COLORX_CENTER_N2V_3P2UA_32%_NV_4022_RED</t>
  </si>
  <si>
    <t>OPTIC_SPEC_COLORY_CENTER_N2V_3P2UA_32%_NV_4022_RED</t>
  </si>
  <si>
    <t>OPTIC_SPEC_SIGNALSTRENGTH_CENTER_N2V_3P2UA_32%_NV_4022_RED</t>
  </si>
  <si>
    <t>0.05</t>
  </si>
  <si>
    <t>6.67</t>
  </si>
  <si>
    <t>OPTIC_SPEC_FWHM_CENTER_N2V_3P2UA_32%_NV_4022_RED</t>
  </si>
  <si>
    <t>OPTIC_SPEC_DOMWLTH_CENTER_N2V_0P4UA_20%_NV_4022_GREEN</t>
  </si>
  <si>
    <t>OPTIC_SPEC_PLWLTH_CENTER_N2V_0P4UA_20%_NV_4022_GREEN</t>
  </si>
  <si>
    <t>OPTIC_SPEC_CETLTH_CENTER_N2V_0P4UA_20%_NV_4022_GREEN</t>
  </si>
  <si>
    <t>OPTIC_SPEC_COLORX_CENTER_N2V_0P4UA_20%_NV_4022_GREEN</t>
  </si>
  <si>
    <t>OPTIC_SPEC_COLORY_CENTER_N2V_0P4UA_20%_NV_4022_GREEN</t>
  </si>
  <si>
    <t>OPTIC_SPEC_SIGNALSTRENGTH_CENTER_N2V_0P4UA_20%_NV_4022_GREEN</t>
  </si>
  <si>
    <t>OPTIC_SPEC_FWHM_CENTER_N2V_0P4UA_20%_NV_4022_GREEN</t>
  </si>
  <si>
    <t>OPTIC_SPEC_DOMWLTH_CENTER_N2V_0P8UA_28%_NV_4022_BLUE</t>
  </si>
  <si>
    <t>OPTIC_SPEC_PKWLTH_CENTER_N2V_0P8UA_28%_NV_4022_BLUE</t>
  </si>
  <si>
    <t>OPTIC_SPEC_CETLTH_CENTER_N2V_0P8UA_28%_NV_4022_BLUE</t>
  </si>
  <si>
    <t>OPTIC_SPEC_COLORX_CENTER_N2V_0P8UA_28%_NV_4022_BLUE</t>
  </si>
  <si>
    <t>OPTIC_SPEC_COLORY_CENTER_N2V_0P8UA_28%_NV_4022_BLUE</t>
  </si>
  <si>
    <t>OPTIC_SPEC_SIGNALSTRENGTH_N2V_0P8UA_28%_NV_4022_BLUE</t>
  </si>
  <si>
    <t>OPTIC_SPEC_FWHM_CENTER_N2V_0P8UA_28%_NV_4022_BLUE</t>
  </si>
  <si>
    <t>OPTIC_SPEC_DOMWLTH_CENTER_N2V_3P36UA_10P2%_NV_4022_RED</t>
  </si>
  <si>
    <t>Spectrum_LundyCond</t>
  </si>
  <si>
    <t>OPTIC_SPEC_PKWLTH_CENTER_N2V_3P36UA_10P2%_NV_4022_RED</t>
  </si>
  <si>
    <t>OPTIC_SPEC_CETLTH_CENTER_N2V_3P36UA_10P2%_NV_4022_RED</t>
  </si>
  <si>
    <t>627.5</t>
  </si>
  <si>
    <t>642.5</t>
  </si>
  <si>
    <t>OPTIC_SPEC_COLORX_CENTER_N2V_3P36UA_10P2%_NV_4022_RED</t>
  </si>
  <si>
    <t>OPTIC_SPEC_COLORY_CENTER_N2V_3P36UA_10P2%_NV_4022_RED</t>
  </si>
  <si>
    <t>OPTIC_SPEC_SIGNALSTRENGTH_CENTER_N2V_3P36UA_10P2%_NV_4022_RED</t>
  </si>
  <si>
    <t>OPTIC_SPEC_FWHM_CENTER_N2V_3P36UA_10P2%_NV_4022_RED</t>
  </si>
  <si>
    <t>OPTIC_SPEC_DOMWLTH_CENTER_N2V_0P56UA_10P2%_NV_4022_GREEN</t>
  </si>
  <si>
    <t>OPTIC_SPEC_PLWLTH_CENTER_N2V_0P56UA_10P2%_NV_4022_GREEN</t>
  </si>
  <si>
    <t>OPTIC_SPEC_CETLTH_CENTER_N2V_0P56UA_10P2%_NV_4022_GREEN</t>
  </si>
  <si>
    <t>520</t>
  </si>
  <si>
    <t>535</t>
  </si>
  <si>
    <t>OPTIC_SPEC_COLORX_CENTER_N2V_0P56UA_10P2%_NV_4022_GREEN</t>
  </si>
  <si>
    <t>OPTIC_SPEC_COLORY_CENTER_N2V_0P56UA_10P2%_NV_4022_GREEN</t>
  </si>
  <si>
    <t>OPTIC_SPEC_SIGNALSTRENGTH_CENTER_N2V_0P56UA_10P2%_NV_4022_GREEN</t>
  </si>
  <si>
    <t>OPTIC_SPEC_FWHM_CENTER_N2V_0P56UA_10P2%_NV_4022_GREEN</t>
  </si>
  <si>
    <t>OPTIC_SPEC_DOMWLTH_CENTER_N2V_0P56UA_10P2%_NV_4022_BLUE</t>
  </si>
  <si>
    <t>OPTIC_SPEC_PKWLTH_CENTER_N2V_0P56UA_10P2%_NV_4022_BLUE</t>
  </si>
  <si>
    <t>OPTIC_SPEC_CETLTH_CENTER_N2V_0P56UA_10P2%_NV_4022_BLUE</t>
  </si>
  <si>
    <t>455</t>
  </si>
  <si>
    <t>465</t>
  </si>
  <si>
    <t>OPTIC_SPEC_COLORX_CENTER_N2V_0P56UA_10P2%_NV_4022_BLUE</t>
  </si>
  <si>
    <t>OPTIC_SPEC_COLORY_CENTER_N2V_0P56UA_10P2%_NV_4022_BLUE</t>
  </si>
  <si>
    <t>OPTIC_SPEC_SIGNALSTRENGTH_N2V_0P56UA_10P2%_NV_4022_BLUE</t>
  </si>
  <si>
    <t>OPTIC_SPEC_FWHM_CENTER_N2V_0P56UA_10P2%_NV_4022_BLUE</t>
  </si>
  <si>
    <t>OPTIC_DARKPANEL_MEDIAN_X_N2V_3P2UA_32%_NV_4022_RED</t>
  </si>
  <si>
    <t>Dark Panel Test</t>
  </si>
  <si>
    <t>2000</t>
  </si>
  <si>
    <t>no hard spec for P1, will be covered by contrast ratio test</t>
  </si>
  <si>
    <t>OPTIC_DARKPANEL_MAX_X_N2V_3P2UA_32%_NV_4022_RED</t>
  </si>
  <si>
    <t>OPTIC_DARKPANEL_FRAMECNT_X_N2V_3P2UA_32%_NV_4022_RED</t>
  </si>
  <si>
    <t>OPTIC_DARKPANEL_MEDIAN_X_N2V_0P4UA_20%_NV_4022_GREEN</t>
  </si>
  <si>
    <t>OPTIC_DARKPANEL_MAX_X_N2V_0P4UA_20%_NV_4022_GREEN</t>
  </si>
  <si>
    <t>OPTIC_DARKPANEL_FRAMECNT_X_N2V_0P4UA_20%_NV_4022_GREEN</t>
  </si>
  <si>
    <t>OPTIC_DARKPANEL_MEDIAN_X_N2V_0P8UA_28%_NV_4022_BLUE</t>
  </si>
  <si>
    <t>OPTIC_DARKPANEL_MAX_X_N2V_0P8UA_28%_NV_4022_BLUE</t>
  </si>
  <si>
    <t>OPTIC_DARKPANEL_FRAMECNT_X_N2V_0P8UA_28%_NV_4022_BLUE</t>
  </si>
  <si>
    <t>40</t>
  </si>
  <si>
    <t>DC_DARKPANEL_CURRENT_AVDD_X_X_X_NV_4022_RED</t>
  </si>
  <si>
    <t>20</t>
  </si>
  <si>
    <t>DC_DARKPANEL_CURRENT_VDDI_X_X_X_NV_4022_RED</t>
  </si>
  <si>
    <t>DC_DARKPANEL_CURRENT_AVEE_X_X_X_NV_4022_RED</t>
  </si>
  <si>
    <t>-20</t>
  </si>
  <si>
    <t>DC_DARKPANEL_CURRENT_AVDD_X_X_X_NV_4022_GREEN</t>
  </si>
  <si>
    <t>DC_DARKPANEL_CURRENT_VDDI_X_X_X_NV_4022_GREEN</t>
  </si>
  <si>
    <t>DC_DARKPANEL_CURRENT_AVEE_X_X_X_NV_4022_GREEN</t>
  </si>
  <si>
    <t>DC_DARKPANEL_CURRENT_AVDD_X_X_X_NV_4022_BLUE</t>
  </si>
  <si>
    <t>DC_DARKPANEL_CURRENT_VDDI_X_X_X_NV_4022_BLUE</t>
  </si>
  <si>
    <t>DC_DARKPANEL_CURRENT_AVEE_X_X_X_NV_4022_BLUE</t>
  </si>
  <si>
    <t>OPTIC_IMG_DARKPANEL_GRAY0_N2V_3P2UA_32%_NV_4022_RED</t>
  </si>
  <si>
    <t>Save Image - Dark Panel</t>
  </si>
  <si>
    <t>OPTIC_IMG_DARKPANEL_GRAY0_N2V_0P4UA_20%_NV_4022_GREEN</t>
  </si>
  <si>
    <t>OPTIC_IMG_DARKPANEL_GRAY0_N2V_0P8UA_28%_NV_4022_BLUE</t>
  </si>
  <si>
    <t>OPTIC_IMG_SPARSEGRIDX0Y0_X_N2V_3P2UA_32%_NV_4022_RED</t>
  </si>
  <si>
    <t>Save Image - Sparse Grid_X0Y0</t>
  </si>
  <si>
    <t>OPTIC_IMG_SPARSEGRIDX0Y0_X_N2V_0P4UA_20%_NV_4022_GREEN</t>
  </si>
  <si>
    <t>OPTIC_IMG_SPARSEGRIDX0Y0_X_N2V_0P8UA_28%_NV_4022_BLUE</t>
  </si>
  <si>
    <t>OPTIC_IMG_SPARSEGRIDX1Y1_X_N2V_3P2UA_32%_NV_4022_RED</t>
  </si>
  <si>
    <t>Save Image - Sparse Grid_X1Y1</t>
  </si>
  <si>
    <t>OPTIC_IMG_SPARSEGRIDX1Y1_X_N2V_0P4UA_20%_NV_4022_GREEN</t>
  </si>
  <si>
    <t>OPTIC_IMG_SPARSEGRIDX1Y1_X_N2V_0P8UA_28%_NV_4022_BLUE</t>
  </si>
  <si>
    <t>PLM-Demura OFF</t>
  </si>
  <si>
    <t>OPTIC_PLM_CLUSTER-ALGO-VER_PREDEMURA_X_X_X_NV_4022_X</t>
  </si>
  <si>
    <t>OPTIC_PLM_TXT_PREDEMURA_N2V_3P2UA_32%_NV_4022_RED</t>
  </si>
  <si>
    <t>OPTIC_PLM_PREDEMURA_N2V_3P2UA_32%_NV_4022_RED</t>
  </si>
  <si>
    <t>OPTIC_PLM_FLAG-MISREGISTRATION_PREDEMURA_N2V_3P2UA_32%_NV_4022_RED</t>
  </si>
  <si>
    <t>OPTIC_PLM_TOPLINEAVG_PREDEMURA_N2V_3P2UA_32%_NV_4022_RED</t>
  </si>
  <si>
    <t>OPTIC_PLM_BOTLINEAVG_PREDEMURA_N2V_3P2UA_32%_NV_4022_RED</t>
  </si>
  <si>
    <t>OPTIC_PLM_RIGHTLINEAVG_PREDEMURA_N2V_3P2UA_32%_NV_4022_RED</t>
  </si>
  <si>
    <t>OPTIC_PLM_LEFTLINEAVG_PREDEMURA_N2V_3P2UA_32%_NV_4022_RED</t>
  </si>
  <si>
    <t>OPTIC_PLM_FULLPIXELAVG15%_PREDEMURA_N2V_3P2UA_32%_NV_4022_RED</t>
  </si>
  <si>
    <t>OPTIC_PLM_FRAMECNT_PREDEMURA_N2V_3P2UA_32%_NV_4022_RED</t>
  </si>
  <si>
    <t>OPTIC_PLM_FLAG-OVEREXP_PREDEMURA_N2V_3P2UA_32%_NV_4022_RED</t>
  </si>
  <si>
    <t>OPTIC_PLM_DEADPIX-ALLMETHODS_PREDEMURA_N2V_3P2UA_32%_NV_4022_RED</t>
  </si>
  <si>
    <r>
      <rPr>
        <rFont val="Arial"/>
        <color rgb="FF000000"/>
        <sz val="9.0"/>
      </rPr>
      <t>OPTIC_PLM_DEADPIXCNT-</t>
    </r>
    <r>
      <rPr>
        <rFont val="Arial"/>
        <color rgb="FF000000"/>
        <sz val="9.0"/>
      </rPr>
      <t>ALLMETHODS</t>
    </r>
    <r>
      <rPr>
        <rFont val="Arial"/>
        <color rgb="FF000000"/>
        <sz val="9.0"/>
      </rPr>
      <t>-PERC_PREDEMURA_N2V_3P2UA_32%_NV_4022_RED</t>
    </r>
  </si>
  <si>
    <t>OPTIC_PLM_5X5CLUSTERCOUNT_PREDEMURA_N2V_3P2UA_32%_NV_4022_RED</t>
  </si>
  <si>
    <t>OPTIC_PLM_MACRO-CLUSTERCOUNT_PREDEMURA_N2V_3P2UA_32%_NV_4022_RED</t>
  </si>
  <si>
    <t>OPTIC_PLM_MACRO-MAXCLUSTERSIZE_PREDEMURA_N2V_3P2UA_32%_NV_4022_RED</t>
  </si>
  <si>
    <t>OPTIC_PLM_MACRO-AVG-SIZE_PREDEMURA_N2V_3P2UA_32%_NV_4022_RED</t>
  </si>
  <si>
    <t>OPTIC_PLM_BRIGHTPIXEL-THRESHOLD_PREDEMURA_N2V_3P2UA_32%_NV_4022_RED</t>
  </si>
  <si>
    <t>OPTIC_PLM_BRIGHTPIXEL-CNT_PREDEMURA_N2V_3P2UA_32%_NV_4022_RED</t>
  </si>
  <si>
    <t>OPTIC_PLM_BRIGHTPIXEL-PERC_PREDEMURA_N2V_3P2UA_32%_NV_4022_RED</t>
  </si>
  <si>
    <t>OPTIC_PLM_PIXUNIFORMITY-P99-OVER-P1_PREDEMURA_N2V_3P2UA_32%_NV_4022_RED</t>
  </si>
  <si>
    <t>OPTIC_PLM_PIXUNIFORMITY-P95-OVER-P5_PREDEMURA_N2V_3P2UA_32%_NV_4022_RED</t>
  </si>
  <si>
    <t>OPTIC_PLM_PIXUNIFORMITY-STD-OVER-MEAN_PREDEMURA_N2V_3P2UA_32%_NV_4022_RED</t>
  </si>
  <si>
    <t>OPTIC_PLM_BRIDGEDPIXEL_PREDEMURA_N2V_3P2UA_32%_NV_4022_RED</t>
  </si>
  <si>
    <t>OPTIC_PLM_BRIDGEMAP_PREDEMURA_N2V_3P2UA_32%_NV_4022_RED</t>
  </si>
  <si>
    <t>OPTIC_PLM_DIMPIXCNT_PREDEMURA_N2V_3P2UA_32%_NV_4022_RED</t>
  </si>
  <si>
    <r>
      <rPr>
        <rFont val="Arial"/>
        <color rgb="FF000000"/>
        <sz val="9.0"/>
      </rPr>
      <t>OPTIC_PLM_</t>
    </r>
    <r>
      <rPr>
        <rFont val="Arial"/>
        <color rgb="FF000000"/>
        <sz val="9.0"/>
      </rPr>
      <t>DIMPIXCNT-PERC</t>
    </r>
    <r>
      <rPr>
        <rFont val="Arial"/>
        <color rgb="FF000000"/>
        <sz val="9.0"/>
      </rPr>
      <t>_PREDEMURA_N2V_3P2UA_32%_NV_4022_RED</t>
    </r>
  </si>
  <si>
    <t>OPTIC_PLM_TXT_PREDEMURA_N2V_0P4UA_20%_NV_4022_GREEN</t>
  </si>
  <si>
    <t xml:space="preserve">OPTIC_PLM_PREDEMURA_N2V_0P4UA_20%_NV_4022_Green </t>
  </si>
  <si>
    <t>OPTIC_PLM_FLAG-MISREGISTRATION_PREDEMURA_N2V_0P4UA_20%_NV_4022_GREEN</t>
  </si>
  <si>
    <t>OPTIC_PLM_TOPLINEAVG_PREDEMURA_N2V_0P4UA_20%_NV_4022_GREEN</t>
  </si>
  <si>
    <t>OPTIC_PLM_BOTLINEAVG_PREDEMURA_N2V_0P4UA_20%_NV_4022_GREEN</t>
  </si>
  <si>
    <t>OPTIC_PLM_RIGHTLINEAVG_PREDEMURA_N2V_0P4UA_20%_NV_4022_GREEN</t>
  </si>
  <si>
    <t>OPTIC_PLM_LEFTLINEAVG_PREDEMURA_N2V_0P4UA_20%_NV_4022_GREEN</t>
  </si>
  <si>
    <t>OPTIC_PLM_FULLPIXELAVG15%_PREDEMURA_N2V_0P4UA_20%_NV_4022_GREEN</t>
  </si>
  <si>
    <t>OPTIC_PLM_FRAMECNT_PREDEMURA_N2V_0P4UA_20%_NV_4022_GREEN</t>
  </si>
  <si>
    <t>OPTIC_PLM_FLAG-OVEREXP_PREDEMURA_N2V_0P4UA_20%_NV_4022_GREEN</t>
  </si>
  <si>
    <t>OPTIC_PLM_DEADPIX-ALLMETHODS_PREDEMURA_N2V_0P4UA_20%_NV_4022_GREEN</t>
  </si>
  <si>
    <r>
      <rPr>
        <rFont val="Arial"/>
        <color rgb="FF000000"/>
        <sz val="9.0"/>
      </rPr>
      <t>OPTIC_PLM_DEADPIXCNT-</t>
    </r>
    <r>
      <rPr>
        <rFont val="Arial"/>
        <color rgb="FF000000"/>
        <sz val="9.0"/>
      </rPr>
      <t>ALLMETHODS</t>
    </r>
    <r>
      <rPr>
        <rFont val="Arial"/>
        <color rgb="FF000000"/>
        <sz val="9.0"/>
      </rPr>
      <t>-PERC_PREDEMURA_N2V_0P4UA_20%_NV_4022_GREEN</t>
    </r>
  </si>
  <si>
    <t>OPTIC_PLM_5X5CLUSTERCOUNT_PREDEMURA_N2V_0P4UA_20%_NV_4022_GREEN</t>
  </si>
  <si>
    <t>OPTIC_PLM_MACRO-CLUSTERCOUNT_PREDEMURA_N2V_0P4UA_20%_NV_4022_GREEN</t>
  </si>
  <si>
    <t>OPTIC_PLM_MACRO-MAXCLUSTERSIZE_PREDEMURA_N2V_0P4UA_20%_NV_4022_GREEN</t>
  </si>
  <si>
    <t>OPTIC_PLM_MACRO-AVG-SIZE_PREDEMURA_N2V_0P4UA_20%_NV_4022_GREEN</t>
  </si>
  <si>
    <t>OPTIC_PLM_BRIGHTPIXEL-THRESHOLD_PREDEMURA_N2V_0P4UA_20%_NV_4022_GREEN</t>
  </si>
  <si>
    <t>OPTIC_PLM_BRIGHTPIXEL-CNT_PREDEMURA_N2V_0P4UA_20%_NV_4022_GREEN</t>
  </si>
  <si>
    <t>OPTIC_PLM_BRIGHTPIXEL-PERC_PREDEMURA_N2V_0P4UA_20%_NV_4022_GREEN</t>
  </si>
  <si>
    <t>OPTIC_PLM_PIXUNIFORMITY-P99-OVER-P1_PREDEMURA_N2V_0P4UA_20%_NV_4022_GREEN</t>
  </si>
  <si>
    <t>OPTIC_PLM_PIXUNIFORMITY-P95-OVER-P5_PREDEMURA_N2V_0P4UA_20%_NV_4022_GREEN</t>
  </si>
  <si>
    <t>OPTIC_PLM_PIXUNIFORMITY-STD-OVER-MEAN_PREDEMURA_N2V_0P4UA_20%_NV_4022_GREEN</t>
  </si>
  <si>
    <t>OPTIC_PLM_BRIDGEDPIXEL_PREDEMURA_N2V_0P4UA_20%_NV_4022_GREEN</t>
  </si>
  <si>
    <t>OPTIC_PLM_BRIDGEMAP_PREDEMURA_N2V_0P4UA_20%_NV_4022_GREEN</t>
  </si>
  <si>
    <t>OPTIC_PLM_DIMPIXCNT_PREDEMURA_N2V_0P4UA_20%_NV_4022_GREEN</t>
  </si>
  <si>
    <r>
      <rPr>
        <rFont val="Arial"/>
        <color rgb="FF000000"/>
        <sz val="9.0"/>
      </rPr>
      <t>OPTIC_PLM_</t>
    </r>
    <r>
      <rPr>
        <rFont val="Arial"/>
        <color rgb="FF000000"/>
        <sz val="9.0"/>
      </rPr>
      <t>DIMPIXCNT-PERC</t>
    </r>
    <r>
      <rPr>
        <rFont val="Arial"/>
        <color rgb="FF000000"/>
        <sz val="9.0"/>
      </rPr>
      <t>_PREDEMURA_N2V_0P4UA_20%_NV_4022_GREEN</t>
    </r>
  </si>
  <si>
    <t>OPTIC_PLM_TXT_PREDEMURA_N2V_0P8UA_28%_NV_4022_BLUE</t>
  </si>
  <si>
    <t>OPTIC_PLM_PREDEMURA_N2V_0P8UA_28%_NV_4022_BlUE</t>
  </si>
  <si>
    <t>OPTIC_PLM_FLAG-MISREGISTRATION_PREDEMURA_N2V_0P8UA_28%_NV_4022_BLUE</t>
  </si>
  <si>
    <t>OPTIC_PLM_TOPLINEAVG_PREDEMURA_N2V_0P8UA_28%_NV_4022_BLUE</t>
  </si>
  <si>
    <t>OPTIC_PLM_BOTLINEAVG_PREDEMURA_N2V_0P8UA_28%_NV_4022_BLUE</t>
  </si>
  <si>
    <t>OPTIC_PLM_RIGHTLINEAVG_PREDEMURA_N2V_0P8UA_28%_NV_4022_BLUE</t>
  </si>
  <si>
    <t>OPTIC_PLM_LEFTLINEAVG_PREDEMURA_N2V_0P8UA_28%_NV_4022_BLUE</t>
  </si>
  <si>
    <t>OPTIC_PLM_FULLPIXELAVG15%_PREDEMURA_N2V_0P8UA_28%_NV_4022_BLUE</t>
  </si>
  <si>
    <t>OPTIC_PLM_FRAMECNT_PREDEMURA_N2V_0P8UA_28%_NV_4022_BLUE</t>
  </si>
  <si>
    <t>OPTIC_PLM_FLAG-OVEREXP_PREDEMURA_N2V_0P8UA_28%_NV_4022_BLUE</t>
  </si>
  <si>
    <t>OPTIC_PLM_DEADPIX-ALLMETHODS_PREDEMURA_N2V_0P8UA_28%_NV_4022_BLUE</t>
  </si>
  <si>
    <r>
      <rPr>
        <rFont val="Arial"/>
        <color rgb="FF000000"/>
        <sz val="9.0"/>
      </rPr>
      <t>OPTIC_PLM_DEADPIXCNT-</t>
    </r>
    <r>
      <rPr>
        <rFont val="Arial"/>
        <color rgb="FF000000"/>
        <sz val="9.0"/>
      </rPr>
      <t>ALLMETHODS</t>
    </r>
    <r>
      <rPr>
        <rFont val="Arial"/>
        <color rgb="FF000000"/>
        <sz val="9.0"/>
      </rPr>
      <t>-PERC_PREDEMURA_N2V_0P8UA_28%_NV_4022_BLUE</t>
    </r>
  </si>
  <si>
    <t>OPTIC_PLM_5X5CLUSTERCOUNT_PREDEMURA_N2V_0P8UA_28%_NV_4022_BLUE</t>
  </si>
  <si>
    <t>OPTIC_PLM_MACRO-CLUSTERCOUNT_PREDEMURA_N2V_0P8UA_28%_NV_4022_BLUE</t>
  </si>
  <si>
    <t>OPTIC_PLM_MACRO-MAXCLUSTERSIZE_PREDEMURA_N2V_0P8UA_28%_NV_4022_BLUE</t>
  </si>
  <si>
    <t>OPTIC_PLM_MACRO-AVG-SIZE_PREDEMURA_N2V_0P8UA_28%_NV_4022_BLUE</t>
  </si>
  <si>
    <t>OPTIC_PLM_BRIGHTPIXEL-THRESHOLD_PREDEMURA_N2V_0P8UA_28%_NV_4022_BLUE</t>
  </si>
  <si>
    <t>OPTIC_PLM_BRIGHTPIXEL-CNT_PREDEMURA_N2V_0P8UA_28%_NV_4022_BLUE</t>
  </si>
  <si>
    <t>OPTIC_PLM_BRIGHTPIXEL-PERC_PREDEMURA_N2V_0P8UA_28%_NV_4022_BLUE</t>
  </si>
  <si>
    <t>OPTIC_PLM_PIXUNIFORMITY-P99-OVER-P1_PREDEMURA_N2V_0P8UA_28%_NV_4022_BLUE</t>
  </si>
  <si>
    <t>OPTIC_PLM_PIXUNIFORMITY-P95-OVER-P5_PREDEMURA_N2V_0P8UA_28%_NV_4022_BLUE</t>
  </si>
  <si>
    <t>OPTIC_PLM_PIXUNIFORMITY-STD-OVER-MEAN_PREDEMURA_N2V_0P8UA_28%_NV_4022_BLUE</t>
  </si>
  <si>
    <t>OPTIC_PLM_BRIDGEDPIXEL_PREDEMURA_N2V_0P8UA_28%_NV_4022_BLUE</t>
  </si>
  <si>
    <t>OPTIC_PLM_BRIDGEMAP_PREDEMURA_N2V_0P8UA_28%_NV_4022_BLUE</t>
  </si>
  <si>
    <t>OPTIC_PLM_DIMPIXCNT_PREDEMURA_N2V_0P8UA_28%_NV_4022_BLUE</t>
  </si>
  <si>
    <r>
      <rPr>
        <rFont val="Arial"/>
        <color rgb="FF000000"/>
        <sz val="9.0"/>
      </rPr>
      <t>OPTIC_PLM_</t>
    </r>
    <r>
      <rPr>
        <rFont val="Arial"/>
        <color rgb="FF000000"/>
        <sz val="9.0"/>
      </rPr>
      <t>DIMPIXCNT-PERC</t>
    </r>
    <r>
      <rPr>
        <rFont val="Arial"/>
        <color rgb="FF000000"/>
        <sz val="9.0"/>
      </rPr>
      <t>_PREDEMURA_N2V_0P8UA_28%_NV_4022_BLUE</t>
    </r>
  </si>
  <si>
    <t>OPTIC_PLM_CLUSTER-ALGO-VER_POSTDEMURA_X_X_X_NV_4022_X</t>
  </si>
  <si>
    <t>PLM-Demura ON</t>
  </si>
  <si>
    <t>OPTIC_PLM_TXT_POSTDEMURA_N2V_3P2UA_32%_NV_4022_RED</t>
  </si>
  <si>
    <t>OPTIC_PLM_PREDEMURA_X_N2V_3P2UA_32%_NV_4022_RED</t>
  </si>
  <si>
    <t>OPTIC_PLM_FLAG-MISREGISTRATION_POSTDEMURA_N2V_3P2UA_32%_NV_4022_RED</t>
  </si>
  <si>
    <t>OPTIC_PLM_TOPLINEAVG_POSTDEMURA_N2V_3P2UA_32%_NV_4022_RED</t>
  </si>
  <si>
    <t>OPTIC_PLM_BOTLINEAVG_POSTDEMURA_N2V_3P2UA_32%_NV_4022_RED</t>
  </si>
  <si>
    <t>OPTIC_PLM_RIGHTLINEAVG_POSTDEMURA_N2V_3P2UA_32%_NV_4022_RED</t>
  </si>
  <si>
    <t>OPTIC_PLM_LEFTLINEAVG_POSTDEMURA_N2V_3P2UA_32%_NV_4022_RED</t>
  </si>
  <si>
    <t>OPTIC_PLM_MEANDIFF_POSTDEMURA_N2V_3P2UA_32%_NV_4022_RED</t>
  </si>
  <si>
    <t>OPTIC_PLM_FRAMECNT_POSTDEMURA_N2V_3P2UA_32%_NV_4022_RED</t>
  </si>
  <si>
    <t>OPTIC_PLM_FLAG-OVEREXP_POSTDEMURA_N2V_3P2UA_32%_NV_4022_RED</t>
  </si>
  <si>
    <t>OPTIC_PLM_DEADPIX-ALLMETHODS_POSTDEMURA_N2V_3P2UA_32%_NV_4022_RED</t>
  </si>
  <si>
    <r>
      <rPr>
        <rFont val="Arial"/>
        <color rgb="FF000000"/>
        <sz val="9.0"/>
      </rPr>
      <t>OPTIC_PLM_DEADPIXCNT-</t>
    </r>
    <r>
      <rPr>
        <rFont val="Arial"/>
        <color rgb="FF000000"/>
        <sz val="9.0"/>
      </rPr>
      <t>ALLMETHODS</t>
    </r>
    <r>
      <rPr>
        <rFont val="Arial"/>
        <color rgb="FF000000"/>
        <sz val="9.0"/>
      </rPr>
      <t>-PERC_POSTDEMURA_N2V_3P2UA_32%_NV_4022_RED</t>
    </r>
  </si>
  <si>
    <t>0.01</t>
  </si>
  <si>
    <t>OPTIC_PLM_5X5CLUSTERCOUNT_POSTDEMURA_N2V_3P2UA_32%_NV_4022_RED</t>
  </si>
  <si>
    <t>OPTIC_PLM_MACRO-CLUSTERCOUNT_POSTDEMURA_N2V_3P2UA_32%_NV_4022_RED</t>
  </si>
  <si>
    <t>OPTIC_PLM_MACRO-MAXCLUSTERSIZE_POSTDEMURA_N2V_3P2UA_32%_NV_4022_RED</t>
  </si>
  <si>
    <t>OPTIC_PLM_MACRO-AVG-SIZE_POSTDEMURA_N2V_3P2UA_32%_NV_4022_RED</t>
  </si>
  <si>
    <t>OPTIC_PLM_BRIGHTPIXEL-THRESHOLD_POSTDEMURA_N2V_3P2UA_32%_NV_4022_RED</t>
  </si>
  <si>
    <t>OPTIC_PLM_BRIGHTPIXEL-CNT_POSTDEMURA_N2V_3P2UA_32%_NV_4022_RED</t>
  </si>
  <si>
    <t>OPTIC_PLM_BRIGHTPIXEL-PERC_POSTDEMURA_N2V_3P2UA_32%_NV_4022_RED</t>
  </si>
  <si>
    <t>OPTIC_PLM_PIXUNIFORMITY-P99-OVER-P1_POSTDEMURA_N2V_3P2UA_32%_NV_4022_RED</t>
  </si>
  <si>
    <t>OPTIC_PLM_PIXUNIFORMITY-P95-OVER-P5_POSTDEMURA_N2V_3P2UA_32%_NV_4022_RED</t>
  </si>
  <si>
    <t>OPTIC_PLM_PIXUNIFORMITY-STD-OVER-MEAN_POSTDEMURA_N2V_3P2UA_32%_NV_4022_RED</t>
  </si>
  <si>
    <t>OPTIC_PLM_BRIDGEDPIXEL_POSTDEMURA_N2V_3P2UA_32%_NV_4022_RED</t>
  </si>
  <si>
    <t>OPTIC_PLM_BRIDGEMAP_POSTDEMURA_N2V_3P2UA_32%_NV_4022_RED</t>
  </si>
  <si>
    <t>OPTIC_PLM_DIMPIXCNT_POSTDEMURA_N2V_3P2UA_32%_NV_4022_RED</t>
  </si>
  <si>
    <r>
      <rPr>
        <rFont val="Arial"/>
        <color rgb="FF000000"/>
        <sz val="9.0"/>
      </rPr>
      <t>OPTIC_PLM_</t>
    </r>
    <r>
      <rPr>
        <rFont val="Arial"/>
        <color rgb="FF000000"/>
        <sz val="9.0"/>
      </rPr>
      <t>DIMPIXCNT-PERC</t>
    </r>
    <r>
      <rPr>
        <rFont val="Arial"/>
        <color rgb="FF000000"/>
        <sz val="9.0"/>
      </rPr>
      <t>_POSTDEMURA_N2V_3P2UA_32%_NV_4022_RED</t>
    </r>
  </si>
  <si>
    <t>OPTIC_PLM_TXT_POSTDEMURA_N2V_0P4UA_20%_NV_4022_GREEN</t>
  </si>
  <si>
    <t xml:space="preserve">OPTIC_PLM_POSTDEMURA_N2V_0P4UA_20%_NV_4022_Green </t>
  </si>
  <si>
    <t>OPTIC_PLM_FLAG-MISREGISTRATION_POSTDEMURA_N2V_0P4UA_20%_NV_4022_GREEN</t>
  </si>
  <si>
    <t>OPTIC_PLM_TOPLINEAVG_POSTDEMURA_N2V_0P4UA_20%_NV_4022_GREEN</t>
  </si>
  <si>
    <t>OPTIC_PLM_BOTLINEAVG_POSTDEMURA_N2V_0P4UA_20%_NV_4022_GREEN</t>
  </si>
  <si>
    <t>OPTIC_PLM_RIGHTLINEAVG_POSTDEMURA_N2V_0P4UA_20%_NV_4022_GREEN</t>
  </si>
  <si>
    <t>OPTIC_PLM_LEFTLINEAVG_POSTDEMURA_N2V_0P4UA_20%_NV_4022_GREEN</t>
  </si>
  <si>
    <t>OPTIC_PLM_FULLPIXELAVG15%_POSTDEMURA_N2V_0P4UA_20%_NV_4022_GREEN</t>
  </si>
  <si>
    <t>OPTIC_PLM_FRAMECNT_POSTDEMURA_N2V_0P4UA_20%_NV_4022_GREEN</t>
  </si>
  <si>
    <t>OPTIC_PLM_FLAG-OVEREXP_POSTDEMURA_N2V_0P4UA_20%_NV_4022_GREEN</t>
  </si>
  <si>
    <t>OPTIC_PLM_DEADPIX-ALLMETHODS_POSTDEMURA_N2V_0P4UA_20%_NV_4022_GREEN</t>
  </si>
  <si>
    <r>
      <rPr>
        <rFont val="Arial"/>
        <color rgb="FF000000"/>
        <sz val="9.0"/>
      </rPr>
      <t>OPTIC_PLM_DEADPIXCNT-</t>
    </r>
    <r>
      <rPr>
        <rFont val="Arial"/>
        <color rgb="FF000000"/>
        <sz val="9.0"/>
      </rPr>
      <t>ALLMETHODS</t>
    </r>
    <r>
      <rPr>
        <rFont val="Arial"/>
        <color rgb="FF000000"/>
        <sz val="9.0"/>
      </rPr>
      <t>-PERC_POSTDEMURA_N2V_0P4UA_20%_NV_4022_GREEN</t>
    </r>
  </si>
  <si>
    <t>OPTIC_PLM_5X5CLUSTERCOUNT_POSTDEMURA_N2V_0P4UA_20%_NV_4022_GREEN</t>
  </si>
  <si>
    <t>OPTIC_PLM_MACRO-CLUSTERCOUNT_POSTDEMURA_N2V_0P4UA_20%_NV_4022_GREEN</t>
  </si>
  <si>
    <t>OPTIC_PLM_MACRO-MAXCLUSTERSIZE_POSTDEMURA_N2V_0P4UA_20%_NV_4022_GREEN</t>
  </si>
  <si>
    <t>OPTIC_PLM_MACRO-AVG-SIZE_POSTDEMURA_N2V_0P4UA_20%_NV_4022_GREEN</t>
  </si>
  <si>
    <t>OPTIC_PLM_BRIGHTPIXEL-THRESHOLD_POSTDEMURA_N2V_0P4UA_20%_NV_4022_GREEN</t>
  </si>
  <si>
    <t>OPTIC_PLM_BRIGHTPIXEL-CNT_POSTDEMURA_N2V_0P4UA_20%_NV_4022_GREEN</t>
  </si>
  <si>
    <t>OPTIC_PLM_BRIGHTPIXEL-PERC_POSTDEMURA_N2V_0P4UA_20%_NV_4022_GREEN</t>
  </si>
  <si>
    <t>OPTIC_PLM_PIXUNIFORMITY-P99-OVER-P1_POSTDEMURA_N2V_0P4UA_20%_NV_4022_GREEN</t>
  </si>
  <si>
    <t>OPTIC_PLM_PIXUNIFORMITY-P95-OVER-P5_POSTDEMURA_N2V_0P4UA_20%_NV_4022_GREEN</t>
  </si>
  <si>
    <t>OPTIC_PLM_PIXUNIFORMITY-STD-OVER-MEAN_POSTDEMURA_N2V_0P4UA_20%_NV_4022_GREEN</t>
  </si>
  <si>
    <t>OPTIC_PLM_BRIDGEDPIXEL_POSTDEMURA_N2V_0P4UA_20%_NV_4022_GREEN</t>
  </si>
  <si>
    <t>OPTIC_PLM_BRIDGEMAP_POSTDEMURA_N2V_0P4UA_20%_NV_4022_GREEN</t>
  </si>
  <si>
    <t>OPTIC_PLM_DIMPIXCNT_POSTDEMURA_N2V_0P4UA_20%_NV_4022_GREEN</t>
  </si>
  <si>
    <r>
      <rPr>
        <rFont val="Arial"/>
        <color rgb="FF000000"/>
        <sz val="9.0"/>
      </rPr>
      <t>OPTIC_PLM_</t>
    </r>
    <r>
      <rPr>
        <rFont val="Arial"/>
        <color rgb="FF000000"/>
        <sz val="9.0"/>
      </rPr>
      <t>DIMPIXCNT-PERC</t>
    </r>
    <r>
      <rPr>
        <rFont val="Arial"/>
        <color rgb="FF000000"/>
        <sz val="9.0"/>
      </rPr>
      <t>_POSTDEMURA_N2V_0P4UA_20%_NV_4022_GREEN</t>
    </r>
  </si>
  <si>
    <t>OPTIC_PLM_TXT_POSTDEMURA_N2V_0P8UA_28%_NV_4022_BLUE</t>
  </si>
  <si>
    <t>OPTIC_PLM_POSTDEMURA_N2V_0P8UA_28%_NV_4022_BlUE</t>
  </si>
  <si>
    <t>OPTIC_PLM_FLAG-MISREGISTRATION_POSTDEMURA_N2V_0P8UA_28%_NV_4022_BLUE</t>
  </si>
  <si>
    <t>OPTIC_PLM_TOPLINEAVG_POSTDEMURA_N2V_0P8UA_28%_NV_4022_BLUE</t>
  </si>
  <si>
    <t>OPTIC_PLM_BOTLINEAVG_POSTDEMURA_N2V_0P8UA_28%_NV_4022_BLUE</t>
  </si>
  <si>
    <t>OPTIC_PLM_RIGHTLINEAVG_POSTDEMURA_N2V_0P8UA_28%_NV_4022_BLUE</t>
  </si>
  <si>
    <t>OPTIC_PLM_LEFTLINEAVG_POSTDEMURA_N2V_0P8UA_28%_NV_4022_BLUE</t>
  </si>
  <si>
    <t>OPTIC_PLM_FULLPIXELAVG15%_POSTDEMURA_N2V_0P8UA_28%_NV_4022_BLUE</t>
  </si>
  <si>
    <t>OPTIC_PLM_FRAMECNT_POSTDEMURA_N2V_0P8UA_28%_NV_4022_BLUE</t>
  </si>
  <si>
    <t>OPTIC_PLM_FLAG-OVEREXP_POSTDEMURA_N2V_0P8UA_28%_NV_4022_BLUE</t>
  </si>
  <si>
    <t>OPTIC_PLM_DEADPIX-ALLMETHODS_POSTDEMURA_N2V_0P8UA_28%_NV_4022_BLUE</t>
  </si>
  <si>
    <r>
      <rPr>
        <rFont val="Arial"/>
        <color rgb="FF000000"/>
        <sz val="9.0"/>
      </rPr>
      <t>OPTIC_PLM_DEADPIXCNT-</t>
    </r>
    <r>
      <rPr>
        <rFont val="Arial"/>
        <color rgb="FF000000"/>
        <sz val="9.0"/>
      </rPr>
      <t>ALLMETHODS</t>
    </r>
    <r>
      <rPr>
        <rFont val="Arial"/>
        <color rgb="FF000000"/>
        <sz val="9.0"/>
      </rPr>
      <t>-PERC_POSTDEMURA_N2V_0P8UA_28%_NV_4022_BLUE</t>
    </r>
  </si>
  <si>
    <t>OPTIC_PLM_5X5CLUSTERCOUNT_POSTDEMURA_N2V_0P8UA_28%_NV_4022_BLUE</t>
  </si>
  <si>
    <t>OPTIC_PLM_MACRO-CLUSTERCOUNT_POSTDEMURA_N2V_0P8UA_28%_NV_4022_BLUE</t>
  </si>
  <si>
    <t>OPTIC_PLM_MACRO-MAXCLUSTERSIZE_POSTDEMURA_N2V_0P8UA_28%_NV_4022_BLUE</t>
  </si>
  <si>
    <t>OPTIC_PLM_MACRO-AVG-SIZE_POSTDEMURA_N2V_0P8UA_28%_NV_4022_BLUE</t>
  </si>
  <si>
    <t>OPTIC_PLM_BRIGHTPIXEL-THRESHOLD_POSTDEMURA_N2V_0P8UA_28%_NV_4022_BLUE</t>
  </si>
  <si>
    <t>OPTIC_PLM_BRIGHTPIXEL-CNT_POSTDEMURA_N2V_0P8UA_28%_NV_4022_BLUE</t>
  </si>
  <si>
    <t>OPTIC_PLM_BRIGHTPIXEL-PERC_POSTDEMURA_N2V_0P8UA_28%_NV_4022_BLUE</t>
  </si>
  <si>
    <t>OPTIC_PLM_PIXUNIFORMITY-P99-OVER-P1_POSTDEMURA_N2V_0P8UA_28%_NV_4022_BLUE</t>
  </si>
  <si>
    <t>OPTIC_PLM_PIXUNIFORMITY-P95-OVER-P5_POSTDEMURA_N2V_0P8UA_28%_NV_4022_BLUE</t>
  </si>
  <si>
    <t>OPTIC_PLM_PIXUNIFORMITY-STD-OVER-MEAN_POSTDEMURA_N2V_0P8UA_28%_NV_4022_BLUE</t>
  </si>
  <si>
    <t>OPTIC_PLM_BRIDGEDPIXEL_POSTDEMURA_N2V_0P8UA_28%_NV_4022_BLUE</t>
  </si>
  <si>
    <t>OPTIC_PLM_BRIDGEMAP_POSTDEMURA_N2V_0P8UA_28%_NV_4022_BLUE</t>
  </si>
  <si>
    <t>OPTIC_PLM_DIMPIXCNT_POSTDEMURA_N2V_0P8UA_28%_NV_4022_BLUE</t>
  </si>
  <si>
    <r>
      <rPr>
        <rFont val="Arial"/>
        <color rgb="FF000000"/>
        <sz val="9.0"/>
      </rPr>
      <t>OPTIC_PLM_</t>
    </r>
    <r>
      <rPr>
        <rFont val="Arial"/>
        <color rgb="FF000000"/>
        <sz val="9.0"/>
      </rPr>
      <t>DIMPIXCNT-PERC</t>
    </r>
    <r>
      <rPr>
        <rFont val="Arial"/>
        <color rgb="FF000000"/>
        <sz val="9.0"/>
      </rPr>
      <t>_POSTDEMURA_N2V_0P8UA_28%_NV_4022_BLUE</t>
    </r>
  </si>
  <si>
    <t>OPTIC_IMG_AAXHAIR_X_N2V_3P2UA_32%_NV_4022_RED</t>
  </si>
  <si>
    <t>Save Image - AAXhair
AAxHair Test</t>
  </si>
  <si>
    <t>OPTIC_IMG_AAXHAIR_FRAMECNT_N2V_3P2UA_32%_NV_4022_RED</t>
  </si>
  <si>
    <t>OPTIC_AA_RENDERSUCCESS_X_N2V_3P2UA_32%_NV_4022_RED</t>
  </si>
  <si>
    <t>OPTIC_AA_FOV1_DEADPIXEL_N2V_3P2UA_32%_NV_4022_RED</t>
  </si>
  <si>
    <t>OPTIC_AA_FOV1_UNIFORMITY_N2V_3P2UA_32%_NV_4022_RED</t>
  </si>
  <si>
    <t>80</t>
  </si>
  <si>
    <t>OPTIC_AA_FOV1_BRIDGED_N2V_3P2UA_32%_NV_4022_RED</t>
  </si>
  <si>
    <t>OPTIC_AA_FOV1_MTF6P25MIN_N2V_3P2UA_32%_NV_4022_RED</t>
  </si>
  <si>
    <t>OPTIC_AA_FOV1_MTF12P5MIN_N2V_3P2UA_32%_NV_4022_RED</t>
  </si>
  <si>
    <t>30</t>
  </si>
  <si>
    <t>OPTIC_AA_FOV2_DEADPIXEL_N2V_3P2UA_32%_NV_4022_RED</t>
  </si>
  <si>
    <t>OPTIC_AA_FOV2_UNIFORMITY_N2V_3P2UA_32%_NV_4022_RED</t>
  </si>
  <si>
    <t>OPTIC_AA_FOV2_BRIDGED_N2V_3P2UA_32%_NV_4022_RED</t>
  </si>
  <si>
    <t>OPTIC_AA_FOV2_MTF6P25MIN_N2V_3P2UA_32%_NV_4022_RED</t>
  </si>
  <si>
    <t>OPTIC_AA_FOV2_MTF12P5MIN_N2V_3P2UA_32%_NV_4022_RED</t>
  </si>
  <si>
    <t>OPTIC_AA_FOV3_DEADPIXEL_N2V_3P2UA_32%_NV_4022_RED</t>
  </si>
  <si>
    <t>OPTIC_AA_FOV3_UNIFORMITY_N2V_3P2UA_32%_NV_4022_RED</t>
  </si>
  <si>
    <t>OPTIC_AA_FOV3_BRIDGED_N2V_3P2UA_32%_NV_4022_RED</t>
  </si>
  <si>
    <t>OPTIC_AA_FOV3_MTF6P25MIN_N2V_3P2UA_32%_NV_4022_RED</t>
  </si>
  <si>
    <t>OPTIC_AA_FOV3_MTF12P5MIN_N2V_3P2UA_32%_NV_4022_RED</t>
  </si>
  <si>
    <t>OPTIC_AA_FOV4_DEADPIXEL_N2V_3P2UA_32%_NV_4022_RED</t>
  </si>
  <si>
    <t>OPTIC_AA_FOV4_UNIFORMITY_N2V_3P2UA_32%_NV_4022_RED</t>
  </si>
  <si>
    <t>OPTIC_AA_FOV4_BRIDGED_N2V_3P2UA_32%_NV_4022_RED</t>
  </si>
  <si>
    <t>OPTIC_AA_FOV4_MTF6P25MIN_N2V_3P2UA_32%_NV_4022_RED</t>
  </si>
  <si>
    <t>OPTIC_AA_FOV4_MTF12P5MIN_N2V_3P2UA_32%_NV_4022_RED</t>
  </si>
  <si>
    <t>OPTIC_AA_FOV5_DEADPIXEL_N2V_3P2UA_32%_NV_4022_RED</t>
  </si>
  <si>
    <t>OPTIC_AA_FOV5_UNIFORMITY_N2V_3P2UA_32%_NV_4022_RED</t>
  </si>
  <si>
    <t>OPTIC_AA_FOV5_BRIDGED_N2V_3P2UA_32%_NV_4022_RED</t>
  </si>
  <si>
    <t>OPTIC_AA_FOV5_MTF6P25MIN_N2V_3P2UA_32%_NV_4022_RED</t>
  </si>
  <si>
    <t>OPTIC_AA_FOV5_MTF12P5MIN_N2V_3P2UA_32%_NV_4022_RED</t>
  </si>
  <si>
    <t>OPTIC_AA_FOV6_DEADPIXEL_N2V_3P2UA_32%_NV_4022_RED</t>
  </si>
  <si>
    <t>OPTIC_AA_FOV6_UNIFORMITY_N2V_3P2UA_32%_NV_4022_RED</t>
  </si>
  <si>
    <t>OPTIC_AA_FOV6_BRIDGED_N2V_3P2UA_32%_NV_4022_RED</t>
  </si>
  <si>
    <t>OPTIC_AA_FOV6_MTF6P25MIN_N2V_3P2UA_32%_NV_4022_RED</t>
  </si>
  <si>
    <t>OPTIC_AA_FOV6_MTF12P5MIN_N2V_3P2UA_32%_NV_4022_RED</t>
  </si>
  <si>
    <t>OPTIC_AA_FOV7_DEADPIXEL_N2V_3P2UA_32%_NV_4022_RED</t>
  </si>
  <si>
    <t>OPTIC_AA_FOV7_UNIFORMITY_N2V_3P2UA_32%_NV_4022_RED</t>
  </si>
  <si>
    <t>OPTIC_AA_FOV7_BRIDGED_N2V_3P2UA_32%_NV_4022_RED</t>
  </si>
  <si>
    <t>OPTIC_AA_FOV7_MTF6P25MIN_N2V_3P2UA_32%_NV_4022_RED</t>
  </si>
  <si>
    <t>OPTIC_AA_FOV7_MTF12P5MIN_N2V_3P2UA_32%_NV_4022_RED</t>
  </si>
  <si>
    <t>OPTIC_AA_FOV8_DEADPIXEL_N2V_3P2UA_32%_NV_4022_RED</t>
  </si>
  <si>
    <t>OPTIC_AA_FOV8_UNIFORMITY_N2V_3P2UA_32%_NV_4022_RED</t>
  </si>
  <si>
    <t>OPTIC_AA_FOV8_BRIDGED_N2V_3P2UA_32%_NV_4022_RED</t>
  </si>
  <si>
    <t>OPTIC_AA_FOV8_MTF6P25MIN_N2V_3P2UA_32%_NV_4022_RED</t>
  </si>
  <si>
    <t>OPTIC_AA_FOV8_MTF12P5MIN_N2V_3P2UA_32%_NV_4022_RED</t>
  </si>
  <si>
    <t>OPTIC_IMG_AAXHAIR_X_N2V_0P4UA_20%_NV_4022_GREEN</t>
  </si>
  <si>
    <t>OPTIC_IMG_AAXHAIR_FRAMECNT_N2V_0P4UA_20%_NV_4022_GREEN</t>
  </si>
  <si>
    <t>OPTIC_AA_RENDERSUCCESS_X_N2V_0P4UA_20%_NV_4022_GREEN</t>
  </si>
  <si>
    <t>OPTIC_AA_FOV1_DEADPIXEL_N2V_0P4UA_20%_NV_4022_GREEN</t>
  </si>
  <si>
    <t>OPTIC_AA_FOV1_UNIFORMITY_N2V_0P4UA_20%_NV_4022_GREEN</t>
  </si>
  <si>
    <t>OPTIC_AA_FOV1_BRIDGED_N2V_0P4UA_20%_NV_4022_GREEN</t>
  </si>
  <si>
    <t>OPTIC_AA_FOV1_MTF6P25MIN_N2V_0P4UA_20%_NV_4022_GREEN</t>
  </si>
  <si>
    <t>OPTIC_AA_FOV1_MTF12P5MIN_N2V_0P4UA_20%_NV_4022_GREEN</t>
  </si>
  <si>
    <t>OPTIC_AA_FOV2_DEADPIXEL_N2V_0P4UA_20%_NV_4022_GREEN</t>
  </si>
  <si>
    <t>OPTIC_AA_FOV2_UNIFORMITY_N2V_0P4UA_20%_NV_4022_GREEN</t>
  </si>
  <si>
    <t>OPTIC_AA_FOV2_BRIDGED_N2V_0P4UA_20%_NV_4022_GREEN</t>
  </si>
  <si>
    <t>OPTIC_AA_FOV2_MTF6P25MIN_N2V_0P4UA_20%_NV_4022_GREEN</t>
  </si>
  <si>
    <t>OPTIC_AA_FOV2_MTF12P5MIN_N2V_0P4UA_20%_NV_4022_GREEN</t>
  </si>
  <si>
    <t>OPTIC_AA_FOV3_DEADPIXEL_N2V_0P4UA_20%_NV_4022_GREEN</t>
  </si>
  <si>
    <t>OPTIC_AA_FOV3_UNIFORMITY_N2V_0P4UA_20%_NV_4022_GREEN</t>
  </si>
  <si>
    <t>OPTIC_AA_FOV3_BRIDGED_N2V_0P4UA_20%_NV_4022_GREEN</t>
  </si>
  <si>
    <t>OPTIC_AA_FOV3_MTF6P25MIN_N2V_0P4UA_20%_NV_4022_GREEN</t>
  </si>
  <si>
    <t>OPTIC_AA_FOV3_MTF12P5MIN_N2V_0P4UA_20%_NV_4022_GREEN</t>
  </si>
  <si>
    <t>OPTIC_AA_FOV4_DEADPIXEL_N2V_0P4UA_20%_NV_4022_GREEN</t>
  </si>
  <si>
    <t>OPTIC_AA_FOV4_UNIFORMITY_N2V_0P4UA_20%_NV_4022_GREEN</t>
  </si>
  <si>
    <t>OPTIC_AA_FOV4_BRIDGED_N2V_0P4UA_20%_NV_4022_GREEN</t>
  </si>
  <si>
    <t>OPTIC_AA_FOV4_MTF6P25MIN_N2V_0P4UA_20%_NV_4022_GREEN</t>
  </si>
  <si>
    <t>OPTIC_AA_FOV4_MTF12P5MIN_N2V_0P4UA_20%_NV_4022_GREEN</t>
  </si>
  <si>
    <t>OPTIC_AA_FOV5_DEADPIXEL_N2V_0P4UA_20%_NV_4022_GREEN</t>
  </si>
  <si>
    <t>OPTIC_AA_FOV5_UNIFORMITY_N2V_0P4UA_20%_NV_4022_GREEN</t>
  </si>
  <si>
    <t>OPTIC_AA_FOV5_BRIDGED_N2V_0P4UA_20%_NV_4022_GREEN</t>
  </si>
  <si>
    <t>OPTIC_AA_FOV5_MTF6P25MIN_N2V_0P4UA_20%_NV_4022_GREEN</t>
  </si>
  <si>
    <t>OPTIC_AA_FOV5_MTF12P5MIN_N2V_0P4UA_20%_NV_4022_GREEN</t>
  </si>
  <si>
    <t>OPTIC_AA_FOV6_DEADPIXEL_N2V_0P4UA_20%_NV_4022_GREEN</t>
  </si>
  <si>
    <t>OPTIC_AA_FOV6_UNIFORMITY_N2V_0P4UA_20%_NV_4022_GREEN</t>
  </si>
  <si>
    <t>OPTIC_AA_FOV6_BRIDGED_N2V_0P4UA_20%_NV_4022_GREEN</t>
  </si>
  <si>
    <t>OPTIC_AA_FOV6_MTF6P25MIN_N2V_0P4UA_20%_NV_4022_GREEN</t>
  </si>
  <si>
    <t>OPTIC_AA_FOV6_MTF12P5MIN_N2V_0P4UA_20%_NV_4022_GREEN</t>
  </si>
  <si>
    <t>OPTIC_AA_FOV7_DEADPIXEL_N2V_0P4UA_20%_NV_4022_GREEN</t>
  </si>
  <si>
    <t>OPTIC_AA_FOV7_UNIFORMITY_N2V_0P4UA_20%_NV_4022_GREEN</t>
  </si>
  <si>
    <t>OPTIC_AA_FOV7_BRIDGED_N2V_0P4UA_20%_NV_4022_GREEN</t>
  </si>
  <si>
    <t>OPTIC_AA_FOV7_MTF6P25MIN_N2V_0P4UA_20%_NV_4022_GREEN</t>
  </si>
  <si>
    <t>OPTIC_AA_FOV7_MTF12P5MIN_N2V_0P4UA_20%_NV_4022_GREEN</t>
  </si>
  <si>
    <t>OPTIC_AA_FOV8_DEADPIXEL_N2V_0P4UA_20%_NV_4022_GREEN</t>
  </si>
  <si>
    <t>OPTIC_AA_FOV8_UNIFORMITY_N2V_0P4UA_20%_NV_4022_GREEN</t>
  </si>
  <si>
    <t>OPTIC_AA_FOV8_BRIDGED_N2V_0P4UA_20%_NV_4022_GREEN</t>
  </si>
  <si>
    <t>OPTIC_AA_FOV8_MTF6P25MIN_N2V_0P4UA_20%_NV_4022_GREEN</t>
  </si>
  <si>
    <t>OPTIC_AA_FOV8_MTF12P5MIN_N2V_0P4UA_20%_NV_4022_GREEN</t>
  </si>
  <si>
    <t>OPTIC_IMG_AAXHAIR_X_N2V_0P4UA_28%_NV_4022_BLUE</t>
  </si>
  <si>
    <t>OPTIC_IMG_AAXHAIR_FRAMECNT_N2V_0P4UA_28%_NV_4022_BLUE</t>
  </si>
  <si>
    <t>OPTIC_AA_RENDERSUCCESS_X_N2V_0P8UA_28%_NV_4022_BLUE</t>
  </si>
  <si>
    <t>OPTIC_AA_FOV1_DEADPIXEL_N2V_0P8UA_28%_NV_4022_BLUE</t>
  </si>
  <si>
    <t>OPTIC_AA_FOV1_UNIFORMITY_N2V_0P8UA_28%_NV_4022_BLUE</t>
  </si>
  <si>
    <t>OPTIC_AA_FOV1_BRIDGED_N2V_0P8UA_28%_NV_4022_BLUE</t>
  </si>
  <si>
    <t>OPTIC_AA_FOV1_MTF6P25MIN_N2V_0P8UA_28%_NV_4022_BLUE</t>
  </si>
  <si>
    <t>OPTIC_AA_FOV1_MTF12P5MIN_N2V_0P8UA_28%_NV_4022_BLUE</t>
  </si>
  <si>
    <t>OPTIC_AA_FOV2_DEADPIXEL_N2V_0P8UA_28%_NV_4022_BLUE</t>
  </si>
  <si>
    <t>OPTIC_AA_FOV2_UNIFORMITY_N2V_0P8UA_28%_NV_4022_BLUE</t>
  </si>
  <si>
    <t>OPTIC_AA_FOV2_BRIDGED_N2V_0P8UA_28%_NV_4022_BLUE</t>
  </si>
  <si>
    <t>OPTIC_AA_FOV2_MTF6P25MIN_N2V_0P8UA_28%_NV_4022_BLUE</t>
  </si>
  <si>
    <t>OPTIC_AA_FOV2_MTF12P5MIN_N2V_0P8UA_28%_NV_4022_BLUE</t>
  </si>
  <si>
    <t>OPTIC_AA_FOV3_DEADPIXEL_N2V_0P8UA_28%_NV_4022_BLUE</t>
  </si>
  <si>
    <t>OPTIC_AA_FOV3_UNIFORMITY_N2V_0P8UA_28%_NV_4022_BLUE</t>
  </si>
  <si>
    <t>OPTIC_AA_FOV3_BRIDGED_N2V_0P8UA_28%_NV_4022_BLUE</t>
  </si>
  <si>
    <t>OPTIC_AA_FOV3_MTF6P25MIN_N2V_0P8UA_28%_NV_4022_BLUE</t>
  </si>
  <si>
    <t>OPTIC_AA_FOV3_MTF12P5MIN_N2V_0P8UA_28%_NV_4022_BLUE</t>
  </si>
  <si>
    <t>OPTIC_AA_FOV4_DEADPIXEL_N2V_0P8UA_28%_NV_4022_BLUE</t>
  </si>
  <si>
    <t>OPTIC_AA_FOV4_UNIFORMITY_N2V_0P8UA_28%_NV_4022_BLUE</t>
  </si>
  <si>
    <t>OPTIC_AA_FOV4_BRIDGED_N2V_0P8UA_28%_NV_4022_BLUE</t>
  </si>
  <si>
    <t>OPTIC_AA_FOV4_MTF6P25MIN_N2V_0P8UA_28%_NV_4022_BLUE</t>
  </si>
  <si>
    <t>OPTIC_AA_FOV4_MTF12P5MIN_N2V_0P8UA_28%_NV_4022_BLUE</t>
  </si>
  <si>
    <t>OPTIC_AA_FOV5_DEADPIXEL_N2V_0P8UA_28%_NV_4022_BLUE</t>
  </si>
  <si>
    <t>OPTIC_AA_FOV5_UNIFORMITY_N2V_0P8UA_28%_NV_4022_BLUE</t>
  </si>
  <si>
    <t>OPTIC_AA_FOV5_BRIDGED_N2V_0P8UA_28%_NV_4022_BLUE</t>
  </si>
  <si>
    <t>OPTIC_AA_FOV5_MTF6P25MIN_N2V_0P8UA_28%_NV_4022_BLUE</t>
  </si>
  <si>
    <t>OPTIC_AA_FOV5_MTF12P5MIN_N2V_0P8UA_28%_NV_4022_BLUE</t>
  </si>
  <si>
    <t>OPTIC_AA_FOV6_DEADPIXEL_N2V_0P8UA_28%_NV_4022_BLUE</t>
  </si>
  <si>
    <t>OPTIC_AA_FOV6_UNIFORMITY_N2V_0P8UA_28%_NV_4022_BLUE</t>
  </si>
  <si>
    <t>OPTIC_AA_FOV6_BRIDGED_N2V_0P8UA_28%_NV_4022_BLUE</t>
  </si>
  <si>
    <t>OPTIC_AA_FOV6_MTF6P25MIN_N2V_0P8UA_28%_NV_4022_BLUE</t>
  </si>
  <si>
    <t>OPTIC_AA_FOV6_MTF12P5MIN_N2V_0P8UA_28%_NV_4022_BLUE</t>
  </si>
  <si>
    <t>OPTIC_AA_FOV7_DEADPIXEL_N2V_0P8UA_28%_NV_4022_BLUE</t>
  </si>
  <si>
    <t>OPTIC_AA_FOV7_UNIFORMITY_N2V_0P8UA_28%_NV_4022_BLUE</t>
  </si>
  <si>
    <t>OPTIC_AA_FOV7_BRIDGED_N2V_0P8UA_28%_NV_4022_BLUE</t>
  </si>
  <si>
    <t>OPTIC_AA_FOV7_MTF6P25MIN_N2V_0P8UA_28%_NV_4022_BLUE</t>
  </si>
  <si>
    <t>OPTIC_AA_FOV7_MTF12P5MIN_N2V_0P8UA_28%_NV_4022_BLUE</t>
  </si>
  <si>
    <t>OPTIC_AA_FOV8_DEADPIXEL_N2V_0P8UA_28%_NV_4022_BLUE</t>
  </si>
  <si>
    <t>OPTIC_AA_FOV8_UNIFORMITY_N2V_0P8UA_28%_NV_4022_BLUE</t>
  </si>
  <si>
    <t>OPTIC_AA_FOV8_BRIDGED_N2V_0P8UA_28%_NV_4022_BLUE</t>
  </si>
  <si>
    <t>OPTIC_AA_FOV8_MTF6P25MIN_N2V_0P8UA_28%_NV_4022_BLUE</t>
  </si>
  <si>
    <t>OPTIC_AA_FOV8_MTF12P5MIN_N2V_0P8UA_28%_NV_4022_BLUE</t>
  </si>
  <si>
    <t>OPTIC_CONTRAST_144UM_MIN_N2V_3P2UA_32%_NV_4022_RED</t>
  </si>
  <si>
    <t>Contrast Test,
Save Image - Check Board</t>
  </si>
  <si>
    <t>33</t>
  </si>
  <si>
    <t>OPTIC_CONTRAST_144UM_AVG_N2V_3P2UA_32%_NV_4022_RED</t>
  </si>
  <si>
    <t>66</t>
  </si>
  <si>
    <t>OPTIC_CONTRAST_FRAMECNT_X_N2V_3P2UA_32%_NV_4022_RED</t>
  </si>
  <si>
    <t>OPTIC_IMG_CKB_X_N2V_3P2UA_32%_NV_4022_RED</t>
  </si>
  <si>
    <t>OPTIC_CONTRAST_144UM_MIN_N2V_0P4UA_20%_NV_4022_GREEN</t>
  </si>
  <si>
    <t>OPTIC_CONTRAST_144UM_AVG_N2V_0P4UA_20%_NV_4022_GREEN</t>
  </si>
  <si>
    <t>OPTIC_CONTRAST_FRAMECNT_X_N2V_0P4UA_20%_NV_4022_GREEN</t>
  </si>
  <si>
    <t>OPTIC_IMG_CKB_X_N2V_0P4UA_20%_NV_4022_GREEN</t>
  </si>
  <si>
    <t>OPTIC_CONTRAST_144UM_MIN_N2V_0P8UA_28%_NV_4022_BLUE</t>
  </si>
  <si>
    <t>OPTIC_CONTRAST_144UM_AVG_N2V_0P8UA_28%_NV_4022_BLUE</t>
  </si>
  <si>
    <t>OPTIC_CONTRAST_FRAMECNT_X_N2V_0P8UA_28%_NV_4022_BLUE</t>
  </si>
  <si>
    <t>OPTIC_IMG_CKB_X_N2V_0P8UA_28%_NV_4022_BLUE</t>
  </si>
  <si>
    <t>OPTIC_GAMMA_158UM_X_N2V_3P2UA_32%_NV_4022_RED</t>
  </si>
  <si>
    <t>Gamma Test</t>
  </si>
  <si>
    <t>2.1</t>
  </si>
  <si>
    <t>2.3</t>
  </si>
  <si>
    <t>OPTIC_GAMMA_158UM_X_N2V_3P2UA_32%_NV_4022_GREEN</t>
  </si>
  <si>
    <t>OPTIC_GAMMA_158UM_X_N2V_3P2UA_32%_NV_4022_BLUE</t>
  </si>
  <si>
    <t>OPTIC_DITHERON_158UM_GRAY0_N2V_3P2UA_32%_NV_4022_RED</t>
  </si>
  <si>
    <t>Dither Test</t>
  </si>
  <si>
    <t>OPTIC_DITHERON_158UM_GRAY1_N2V_3P2UA_32%_NV_4022_RED</t>
  </si>
  <si>
    <t>OPTIC_DITHERON_158UM_GRAY2_N2V_3P2UA_32%_NV_4022_RED</t>
  </si>
  <si>
    <t>OPTIC_DITHERON_158UM_GRAY3_N2V_3P2UA_32%_NV_4022_RED</t>
  </si>
  <si>
    <t>OPTIC_DITHERON_158UM_GRAY4_N2V_3P2UA_32%_NV_4022_RED</t>
  </si>
  <si>
    <t>OPTIC_DITHERON_158UM_GRAY5_N2V_3P2UA_32%_NV_4022_RED</t>
  </si>
  <si>
    <t>OPTIC_DITHERON_158UM_GRAY6_N2V_3P2UA_32%_NV_4022_RED</t>
  </si>
  <si>
    <t>OPTIC_DITHERON_158UM_GRAY7_N2V_3P2UA_32%_NV_4022_RED</t>
  </si>
  <si>
    <t>OPTIC_DITHERON_158UM_GRAY8_N2V_3P2UA_32%_NV_4022_RED</t>
  </si>
  <si>
    <t>OPTIC_DITHERON_158UM_GRAY9_N2V_3P2UA_32%_NV_4022_RED</t>
  </si>
  <si>
    <t>OPTIC_DITHERON_158UM_GRAY10_N2V_3P2UA_32%_NV_4022_RED</t>
  </si>
  <si>
    <t>OPTIC_DITHERON_158UM_GRAY11_N2V_3P2UA_32%_NV_4022_RED</t>
  </si>
  <si>
    <t>OPTIC_DITHERON_158UM_GRAY12_N2V_3P2UA_32%_NV_4022_RED</t>
  </si>
  <si>
    <t>OPTIC_DITHERON_158UM_GRAY13_N2V_3P2UA_32%_NV_4022_RED</t>
  </si>
  <si>
    <t>OPTIC_DITHERON_158UM_GRAY14_N2V_3P2UA_32%_NV_4022_RED</t>
  </si>
  <si>
    <t>OPTIC_DITHERON_158UM_GRAY27_N2V_3P2UA_32%_NV_4022_RED</t>
  </si>
  <si>
    <t>OPTIC_DITHERON_158UM_GRAY39_N2V_3P2UA_32%_NV_4022_RED</t>
  </si>
  <si>
    <t>OPTIC_DITHERON_158UM_GRAY51_N2V_3P2UA_32%_NV_4022_RED</t>
  </si>
  <si>
    <t>OPTIC_DITHERON_158UM_GRAY63_N2V_3P2UA_32%_NV_4022_RED</t>
  </si>
  <si>
    <t>OPTIC_DITHERON_158UM_GRAY75_N2V_3P2UA_32%_NV_4022_RED</t>
  </si>
  <si>
    <t>OPTIC_DITHERON_158UM_GRAY87_N2V_3P2UA_32%_NV_4022_RED</t>
  </si>
  <si>
    <t>OPTIC_DITHERON_158UM_GRAY99_N2V_3P2UA_32%_NV_4022_RED</t>
  </si>
  <si>
    <t>OPTIC_DITHERON_158UM_GRAY111_N2V_3P2UA_32%_NV_4022_RED</t>
  </si>
  <si>
    <t>OPTIC_DITHERON_158UM_GRAY123_N2V_3P2UA_32%_NV_4022_RED</t>
  </si>
  <si>
    <t>OPTIC_DITHERON_158UM_GRAY135_N2V_3P2UA_32%_NV_4022_RED</t>
  </si>
  <si>
    <t>OPTIC_DITHERON_158UM_GRAY147_N2V_3P2UA_32%_NV_4022_RED</t>
  </si>
  <si>
    <t>OPTIC_DITHERON_158UM_GRAY159_N2V_3P2UA_32%_NV_4022_RED</t>
  </si>
  <si>
    <t>OPTIC_DITHERON_158UM_GRAY171_N2V_3P2UA_32%_NV_4022_RED</t>
  </si>
  <si>
    <t>OPTIC_DITHERON_158UM_GRAY183_N2V_3P2UA_32%_NV_4022_RED</t>
  </si>
  <si>
    <t>OPTIC_DITHERON_158UM_GRAY195_N2V_3P2UA_32%_NV_4022_RED</t>
  </si>
  <si>
    <t>OPTIC_DITHERON_158UM_GRAY207_N2V_3P2UA_32%_NV_4022_RED</t>
  </si>
  <si>
    <t>OPTIC_DITHERON_158UM_GRAY219_N2V_3P2UA_32%_NV_4022_RED</t>
  </si>
  <si>
    <t>OPTIC_DITHERON_158UM_GRAY231_N2V_3P2UA_32%_NV_4022_RED</t>
  </si>
  <si>
    <t>OPTIC_DITHERON_158UM_GRAY243_N2V_3P2UA_32%_NV_4022_RED</t>
  </si>
  <si>
    <t>OPTIC_DITHERON_158UM_GRAY255_N2V_3P2UA_32%_NV_4022_RED</t>
  </si>
  <si>
    <t>OPTIC_DITHEROFF_158UM_GRAY0_N2V_3P2UA_32%_NV_4022_RED</t>
  </si>
  <si>
    <t>OPTIC_DITHEROFF_158UM_GRAY1_N2V_3P2UA_32%_NV_4022_RED</t>
  </si>
  <si>
    <t>OPTIC_DITHEROFF_158UM_GRAY2_N2V_3P2UA_32%_NV_4022_RED</t>
  </si>
  <si>
    <t>OPTIC_DITHEROFF_158UM_GRAY3_N2V_3P2UA_32%_NV_4022_RED</t>
  </si>
  <si>
    <t>OPTIC_DITHEROFF_158UM_GRAY4_N2V_3P2UA_32%_NV_4022_RED</t>
  </si>
  <si>
    <t>OPTIC_DITHEROFF_158UM_GRAY5_N2V_3P2UA_32%_NV_4022_RED</t>
  </si>
  <si>
    <t>OPTIC_DITHEROFF_158UM_GRAY6_N2V_3P2UA_32%_NV_4022_RED</t>
  </si>
  <si>
    <t>OPTIC_DITHEROFF_158UM_GRAY7_N2V_3P2UA_32%_NV_4022_RED</t>
  </si>
  <si>
    <t>OPTIC_DITHEROFF_158UM_GRAY8_N2V_3P2UA_32%_NV_4022_RED</t>
  </si>
  <si>
    <t>OPTIC_DITHEROFF_158UM_GRAY9_N2V_3P2UA_32%_NV_4022_RED</t>
  </si>
  <si>
    <t>OPTIC_DITHEROFF_158UM_GRAY10_N2V_3P2UA_32%_NV_4022_RED</t>
  </si>
  <si>
    <t>OPTIC_DITHEROFF_158UM_GRAY11_N2V_3P2UA_32%_NV_4022_RED</t>
  </si>
  <si>
    <t>OPTIC_DITHEROFF_158UM_GRAY12_N2V_3P2UA_32%_NV_4022_RED</t>
  </si>
  <si>
    <t>OPTIC_DITHEROFF_158UM_GRAY13_N2V_3P2UA_32%_NV_4022_RED</t>
  </si>
  <si>
    <t>OPTIC_DITHEROFF_158UM_GRAY14_N2V_3P2UA_32%_NV_4022_RED</t>
  </si>
  <si>
    <t>OPTIC_DITHEROFF_158UM_GRAY27_N2V_3P2UA_32%_NV_4022_RED</t>
  </si>
  <si>
    <t>OPTIC_DITHEROFF_158UM_GRAY39_N2V_3P2UA_32%_NV_4022_RED</t>
  </si>
  <si>
    <t>OPTIC_DITHEROFF_158UM_GRAY51_N2V_3P2UA_32%_NV_4022_RED</t>
  </si>
  <si>
    <t>OPTIC_DITHEROFF_158UM_GRAY63_N2V_3P2UA_32%_NV_4022_RED</t>
  </si>
  <si>
    <t>OPTIC_DITHEROFF_158UM_GRAY75_N2V_3P2UA_32%_NV_4022_RED</t>
  </si>
  <si>
    <t>OPTIC_DITHEROFF_158UM_GRAY87_N2V_3P2UA_32%_NV_4022_RED</t>
  </si>
  <si>
    <t>OPTIC_DITHEROFF_158UM_GRAY99_N2V_3P2UA_32%_NV_4022_RED</t>
  </si>
  <si>
    <t>OPTIC_DITHEROFF_158UM_GRAY111_N2V_3P2UA_32%_NV_4022_RED</t>
  </si>
  <si>
    <t>OPTIC_DITHEROFF_158UM_GRAY123_N2V_3P2UA_32%_NV_4022_RED</t>
  </si>
  <si>
    <t>OPTIC_DITHEROFF_158UM_GRAY135_N2V_3P2UA_32%_NV_4022_RED</t>
  </si>
  <si>
    <t>OPTIC_DITHEROFF_158UM_GRAY147_N2V_3P2UA_32%_NV_4022_RED</t>
  </si>
  <si>
    <t>OPTIC_DITHEROFF_158UM_GRAY159_N2V_3P2UA_32%_NV_4022_RED</t>
  </si>
  <si>
    <t>OPTIC_DITHEROFF_158UM_GRAY171_N2V_3P2UA_32%_NV_4022_RED</t>
  </si>
  <si>
    <t>OPTIC_DITHEROFF_158UM_GRAY183_N2V_3P2UA_32%_NV_4022_RED</t>
  </si>
  <si>
    <t>OPTIC_DITHEROFF_158UM_GRAY195_N2V_3P2UA_32%_NV_4022_RED</t>
  </si>
  <si>
    <t>OPTIC_DITHEROFF_158UM_GRAY207_N2V_3P2UA_32%_NV_4022_RED</t>
  </si>
  <si>
    <t>OPTIC_DITHEROFF_158UM_GRAY219_N2V_3P2UA_32%_NV_4022_RED</t>
  </si>
  <si>
    <t>OPTIC_DITHEROFF_158UM_GRAY231_N2V_3P2UA_32%_NV_4022_RED</t>
  </si>
  <si>
    <t>OPTIC_DITHEROFF_158UM_GRAY243_N2V_3P2UA_32%_NV_4022_RED</t>
  </si>
  <si>
    <t>OPTIC_DITHEROFF_158UM_GRAY255_N2V_3P2UA_32%_NV_4022_RED</t>
  </si>
  <si>
    <t>OPTIC_DITHERON_158UM_GRAY0_N2V_3P2UA_32%_NV_4022_GREEN</t>
  </si>
  <si>
    <t>OPTIC_DITHERON_158UM_GRAY1_N2V_3P2UA_32%_NV_4022_GREEN</t>
  </si>
  <si>
    <t>OPTIC_DITHERON_158UM_GRAY2_N2V_3P2UA_32%_NV_4022_GREEN</t>
  </si>
  <si>
    <t>OPTIC_DITHERON_158UM_GRAY3_N2V_3P2UA_32%_NV_4022_GREEN</t>
  </si>
  <si>
    <t>OPTIC_DITHERON_158UM_GRAY4_N2V_3P2UA_32%_NV_4022_GREEN</t>
  </si>
  <si>
    <t>OPTIC_DITHERON_158UM_GRAY5_N2V_3P2UA_32%_NV_4022_GREEN</t>
  </si>
  <si>
    <t>OPTIC_DITHERON_158UM_GRAY6_N2V_3P2UA_32%_NV_4022_GREEN</t>
  </si>
  <si>
    <t>OPTIC_DITHERON_158UM_GRAY7_N2V_3P2UA_32%_NV_4022_GREEN</t>
  </si>
  <si>
    <t>OPTIC_DITHERON_158UM_GRAY8_N2V_3P2UA_32%_NV_4022_GREEN</t>
  </si>
  <si>
    <t>OPTIC_DITHERON_158UM_GRAY9_N2V_3P2UA_32%_NV_4022_GREEN</t>
  </si>
  <si>
    <t>OPTIC_DITHERON_158UM_GRAY10_N2V_3P2UA_32%_NV_4022_GREEN</t>
  </si>
  <si>
    <t>OPTIC_DITHERON_158UM_GRAY11_N2V_3P2UA_32%_NV_4022_GREEN</t>
  </si>
  <si>
    <t>OPTIC_DITHERON_158UM_GRAY12_N2V_3P2UA_32%_NV_4022_GREEN</t>
  </si>
  <si>
    <t>OPTIC_DITHERON_158UM_GRAY13_N2V_3P2UA_32%_NV_4022_GREEN</t>
  </si>
  <si>
    <t>OPTIC_DITHERON_158UM_GRAY14_N2V_3P2UA_32%_NV_4022_GREEN</t>
  </si>
  <si>
    <t>OPTIC_DITHERON_158UM_GRAY27_N2V_3P2UA_32%_NV_4022_GREEN</t>
  </si>
  <si>
    <t>OPTIC_DITHERON_158UM_GRAY39_N2V_3P2UA_32%_NV_4022_GREEN</t>
  </si>
  <si>
    <t>OPTIC_DITHERON_158UM_GRAY51_N2V_3P2UA_32%_NV_4022_GREEN</t>
  </si>
  <si>
    <t>OPTIC_DITHERON_158UM_GRAY63_N2V_3P2UA_32%_NV_4022_GREEN</t>
  </si>
  <si>
    <t>OPTIC_DITHERON_158UM_GRAY75_N2V_3P2UA_32%_NV_4022_GREEN</t>
  </si>
  <si>
    <t>OPTIC_DITHERON_158UM_GRAY87_N2V_3P2UA_32%_NV_4022_GREEN</t>
  </si>
  <si>
    <t>OPTIC_DITHERON_158UM_GRAY99_N2V_3P2UA_32%_NV_4022_GREEN</t>
  </si>
  <si>
    <t>OPTIC_DITHERON_158UM_GRAY111_N2V_3P2UA_32%_NV_4022_GREEN</t>
  </si>
  <si>
    <t>OPTIC_DITHERON_158UM_GRAY123_N2V_3P2UA_32%_NV_4022_GREEN</t>
  </si>
  <si>
    <t>OPTIC_DITHERON_158UM_GRAY135_N2V_3P2UA_32%_NV_4022_GREEN</t>
  </si>
  <si>
    <t>OPTIC_DITHERON_158UM_GRAY147_N2V_3P2UA_32%_NV_4022_GREEN</t>
  </si>
  <si>
    <t>OPTIC_DITHERON_158UM_GRAY159_N2V_3P2UA_32%_NV_4022_GREEN</t>
  </si>
  <si>
    <t>OPTIC_DITHERON_158UM_GRAY171_N2V_3P2UA_32%_NV_4022_GREEN</t>
  </si>
  <si>
    <t>OPTIC_DITHERON_158UM_GRAY183_N2V_3P2UA_32%_NV_4022_GREEN</t>
  </si>
  <si>
    <t>OPTIC_DITHERON_158UM_GRAY195_N2V_3P2UA_32%_NV_4022_GREEN</t>
  </si>
  <si>
    <t>OPTIC_DITHERON_158UM_GRAY207_N2V_3P2UA_32%_NV_4022_GREEN</t>
  </si>
  <si>
    <t>OPTIC_DITHERON_158UM_GRAY219_N2V_3P2UA_32%_NV_4022_GREEN</t>
  </si>
  <si>
    <t>OPTIC_DITHERON_158UM_GRAY231_N2V_3P2UA_32%_NV_4022_GREEN</t>
  </si>
  <si>
    <t>OPTIC_DITHERON_158UM_GRAY243_N2V_3P2UA_32%_NV_4022_GREEN</t>
  </si>
  <si>
    <t>OPTIC_DITHERON_158UM_GRAY255_N2V_3P2UA_32%_NV_4022_GREEN</t>
  </si>
  <si>
    <t>OPTIC_DITHEROFF_158UM_GRAY0_N2V_3P2UA_32%_NV_4022_GREEN</t>
  </si>
  <si>
    <t>OPTIC_DITHEROFF_158UM_GRAY1_N2V_3P2UA_32%_NV_4022_GREEN</t>
  </si>
  <si>
    <t>OPTIC_DITHEROFF_158UM_GRAY2_N2V_3P2UA_32%_NV_4022_GREEN</t>
  </si>
  <si>
    <t>OPTIC_DITHEROFF_158UM_GRAY3_N2V_3P2UA_32%_NV_4022_GREEN</t>
  </si>
  <si>
    <t>OPTIC_DITHEROFF_158UM_GRAY4_N2V_3P2UA_32%_NV_4022_GREEN</t>
  </si>
  <si>
    <t>OPTIC_DITHEROFF_158UM_GRAY5_N2V_3P2UA_32%_NV_4022_GREEN</t>
  </si>
  <si>
    <t>OPTIC_DITHEROFF_158UM_GRAY6_N2V_3P2UA_32%_NV_4022_GREEN</t>
  </si>
  <si>
    <t>OPTIC_DITHEROFF_158UM_GRAY7_N2V_3P2UA_32%_NV_4022_GREEN</t>
  </si>
  <si>
    <t>OPTIC_DITHEROFF_158UM_GRAY8_N2V_3P2UA_32%_NV_4022_GREEN</t>
  </si>
  <si>
    <t>OPTIC_DITHEROFF_158UM_GRAY9_N2V_3P2UA_32%_NV_4022_GREEN</t>
  </si>
  <si>
    <t>OPTIC_DITHEROFF_158UM_GRAY10_N2V_3P2UA_32%_NV_4022_GREEN</t>
  </si>
  <si>
    <t>OPTIC_DITHEROFF_158UM_GRAY11_N2V_3P2UA_32%_NV_4022_GREEN</t>
  </si>
  <si>
    <t>OPTIC_DITHEROFF_158UM_GRAY12_N2V_3P2UA_32%_NV_4022_GREEN</t>
  </si>
  <si>
    <t>OPTIC_DITHEROFF_158UM_GRAY13_N2V_3P2UA_32%_NV_4022_GREEN</t>
  </si>
  <si>
    <t>OPTIC_DITHEROFF_158UM_GRAY14_N2V_3P2UA_32%_NV_4022_GREEN</t>
  </si>
  <si>
    <t>OPTIC_DITHEROFF_158UM_GRAY27_N2V_3P2UA_32%_NV_4022_GREEN</t>
  </si>
  <si>
    <t>OPTIC_DITHEROFF_158UM_GRAY39_N2V_3P2UA_32%_NV_4022_GREEN</t>
  </si>
  <si>
    <t>OPTIC_DITHEROFF_158UM_GRAY51_N2V_3P2UA_32%_NV_4022_GREEN</t>
  </si>
  <si>
    <t>OPTIC_DITHEROFF_158UM_GRAY63_N2V_3P2UA_32%_NV_4022_GREEN</t>
  </si>
  <si>
    <t>OPTIC_DITHEROFF_158UM_GRAY75_N2V_3P2UA_32%_NV_4022_GREEN</t>
  </si>
  <si>
    <t>OPTIC_DITHEROFF_158UM_GRAY87_N2V_3P2UA_32%_NV_4022_GREEN</t>
  </si>
  <si>
    <t>OPTIC_DITHEROFF_158UM_GRAY99_N2V_3P2UA_32%_NV_4022_GREEN</t>
  </si>
  <si>
    <t>OPTIC_DITHEROFF_158UM_GRAY111_N2V_3P2UA_32%_NV_4022_GREEN</t>
  </si>
  <si>
    <t>OPTIC_DITHEROFF_158UM_GRAY123_N2V_3P2UA_32%_NV_4022_GREEN</t>
  </si>
  <si>
    <t>OPTIC_DITHEROFF_158UM_GRAY135_N2V_3P2UA_32%_NV_4022_GREEN</t>
  </si>
  <si>
    <t>OPTIC_DITHEROFF_158UM_GRAY147_N2V_3P2UA_32%_NV_4022_GREEN</t>
  </si>
  <si>
    <t>OPTIC_DITHEROFF_158UM_GRAY159_N2V_3P2UA_32%_NV_4022_GREEN</t>
  </si>
  <si>
    <t>OPTIC_DITHEROFF_158UM_GRAY171_N2V_3P2UA_32%_NV_4022_GREEN</t>
  </si>
  <si>
    <t>OPTIC_DITHEROFF_158UM_GRAY183_N2V_3P2UA_32%_NV_4022_GREEN</t>
  </si>
  <si>
    <t>OPTIC_DITHEROFF_158UM_GRAY195_N2V_3P2UA_32%_NV_4022_GREEN</t>
  </si>
  <si>
    <t>OPTIC_DITHEROFF_158UM_GRAY207_N2V_3P2UA_32%_NV_4022_GREEN</t>
  </si>
  <si>
    <t>OPTIC_DITHEROFF_158UM_GRAY219_N2V_3P2UA_32%_NV_4022_GREEN</t>
  </si>
  <si>
    <t>OPTIC_DITHEROFF_158UM_GRAY231_N2V_3P2UA_32%_NV_4022_GREEN</t>
  </si>
  <si>
    <t>OPTIC_DITHEROFF_158UM_GRAY243_N2V_3P2UA_32%_NV_4022_GREEN</t>
  </si>
  <si>
    <t>OPTIC_DITHEROFF_158UM_GRAY255_N2V_3P2UA_32%_NV_4022_GREEN</t>
  </si>
  <si>
    <t>OPTIC_DITHERON_158UM_GRAY0_N2V_3P2UA_32%_NV_4022_BLUE</t>
  </si>
  <si>
    <t>OPTIC_DITHERON_158UM_GRAY1_N2V_3P2UA_32%_NV_4022_BLUE</t>
  </si>
  <si>
    <t>OPTIC_DITHERON_158UM_GRAY2_N2V_3P2UA_32%_NV_4022_BLUE</t>
  </si>
  <si>
    <t>OPTIC_DITHERON_158UM_GRAY3_N2V_3P2UA_32%_NV_4022_BLUE</t>
  </si>
  <si>
    <t>OPTIC_DITHERON_158UM_GRAY4_N2V_3P2UA_32%_NV_4022_BLUE</t>
  </si>
  <si>
    <t>OPTIC_DITHERON_158UM_GRAY5_N2V_3P2UA_32%_NV_4022_BLUE</t>
  </si>
  <si>
    <t>OPTIC_DITHERON_158UM_GRAY6_N2V_3P2UA_32%_NV_4022_BLUE</t>
  </si>
  <si>
    <t>OPTIC_DITHERON_158UM_GRAY7_N2V_3P2UA_32%_NV_4022_BLUE</t>
  </si>
  <si>
    <t>OPTIC_DITHERON_158UM_GRAY8_N2V_3P2UA_32%_NV_4022_BLUE</t>
  </si>
  <si>
    <t>OPTIC_DITHERON_158UM_GRAY9_N2V_3P2UA_32%_NV_4022_BLUE</t>
  </si>
  <si>
    <t>OPTIC_DITHERON_158UM_GRAY10_N2V_3P2UA_32%_NV_4022_BLUE</t>
  </si>
  <si>
    <t>OPTIC_DITHERON_158UM_GRAY11_N2V_3P2UA_32%_NV_4022_BLUE</t>
  </si>
  <si>
    <t>OPTIC_DITHERON_158UM_GRAY12_N2V_3P2UA_32%_NV_4022_BLUE</t>
  </si>
  <si>
    <t>OPTIC_DITHERON_158UM_GRAY13_N2V_3P2UA_32%_NV_4022_BLUE</t>
  </si>
  <si>
    <t>OPTIC_DITHERON_158UM_GRAY14_N2V_3P2UA_32%_NV_4022_BLUE</t>
  </si>
  <si>
    <t>OPTIC_DITHERON_158UM_GRAY27_N2V_3P2UA_32%_NV_4022_BLUE</t>
  </si>
  <si>
    <t>OPTIC_DITHERON_158UM_GRAY39_N2V_3P2UA_32%_NV_4022_BLUE</t>
  </si>
  <si>
    <t>OPTIC_DITHERON_158UM_GRAY51_N2V_3P2UA_32%_NV_4022_BLUE</t>
  </si>
  <si>
    <t>OPTIC_DITHERON_158UM_GRAY63_N2V_3P2UA_32%_NV_4022_BLUE</t>
  </si>
  <si>
    <t>OPTIC_DITHERON_158UM_GRAY75_N2V_3P2UA_32%_NV_4022_BLUE</t>
  </si>
  <si>
    <t>OPTIC_DITHERON_158UM_GRAY87_N2V_3P2UA_32%_NV_4022_BLUE</t>
  </si>
  <si>
    <t>OPTIC_DITHERON_158UM_GRAY99_N2V_3P2UA_32%_NV_4022_BLUE</t>
  </si>
  <si>
    <t>OPTIC_DITHERON_158UM_GRAY111_N2V_3P2UA_32%_NV_4022_BLUE</t>
  </si>
  <si>
    <t>OPTIC_DITHERON_158UM_GRAY123_N2V_3P2UA_32%_NV_4022_BLUE</t>
  </si>
  <si>
    <t>OPTIC_DITHERON_158UM_GRAY135_N2V_3P2UA_32%_NV_4022_BLUE</t>
  </si>
  <si>
    <t>OPTIC_DITHERON_158UM_GRAY147_N2V_3P2UA_32%_NV_4022_BLUE</t>
  </si>
  <si>
    <t>OPTIC_DITHERON_158UM_GRAY159_N2V_3P2UA_32%_NV_4022_BLUE</t>
  </si>
  <si>
    <t>OPTIC_DITHERON_158UM_GRAY171_N2V_3P2UA_32%_NV_4022_BLUE</t>
  </si>
  <si>
    <t>OPTIC_DITHERON_158UM_GRAY183_N2V_3P2UA_32%_NV_4022_BLUE</t>
  </si>
  <si>
    <t>OPTIC_DITHERON_158UM_GRAY195_N2V_3P2UA_32%_NV_4022_BLUE</t>
  </si>
  <si>
    <t>OPTIC_DITHERON_158UM_GRAY207_N2V_3P2UA_32%_NV_4022_BLUE</t>
  </si>
  <si>
    <t>OPTIC_DITHERON_158UM_GRAY219_N2V_3P2UA_32%_NV_4022_BLUE</t>
  </si>
  <si>
    <t>OPTIC_DITHERON_158UM_GRAY231_N2V_3P2UA_32%_NV_4022_BLUE</t>
  </si>
  <si>
    <t>OPTIC_DITHERON_158UM_GRAY243_N2V_3P2UA_32%_NV_4022_BLUE</t>
  </si>
  <si>
    <t>OPTIC_DITHERON_158UM_GRAY255_N2V_3P2UA_32%_NV_4022_BLUE</t>
  </si>
  <si>
    <t>OPTIC_DITHEROFF_158UM_GRAY0_N2V_3P2UA_32%_NV_4022_BLUE</t>
  </si>
  <si>
    <t>OPTIC_DITHEROFF_158UM_GRAY1_N2V_3P2UA_32%_NV_4022_BLUE</t>
  </si>
  <si>
    <t>OPTIC_DITHEROFF_158UM_GRAY2_N2V_3P2UA_32%_NV_4022_BLUE</t>
  </si>
  <si>
    <t>OPTIC_DITHEROFF_158UM_GRAY3_N2V_3P2UA_32%_NV_4022_BLUE</t>
  </si>
  <si>
    <t>OPTIC_DITHEROFF_158UM_GRAY4_N2V_3P2UA_32%_NV_4022_BLUE</t>
  </si>
  <si>
    <t>OPTIC_DITHEROFF_158UM_GRAY5_N2V_3P2UA_32%_NV_4022_BLUE</t>
  </si>
  <si>
    <t>OPTIC_DITHEROFF_158UM_GRAY6_N2V_3P2UA_32%_NV_4022_BLUE</t>
  </si>
  <si>
    <t>OPTIC_DITHEROFF_158UM_GRAY7_N2V_3P2UA_32%_NV_4022_BLUE</t>
  </si>
  <si>
    <t>OPTIC_DITHEROFF_158UM_GRAY8_N2V_3P2UA_32%_NV_4022_BLUE</t>
  </si>
  <si>
    <t>OPTIC_DITHEROFF_158UM_GRAY9_N2V_3P2UA_32%_NV_4022_BLUE</t>
  </si>
  <si>
    <t>OPTIC_DITHEROFF_158UM_GRAY10_N2V_3P2UA_32%_NV_4022_BLUE</t>
  </si>
  <si>
    <t>OPTIC_DITHEROFF_158UM_GRAY11_N2V_3P2UA_32%_NV_4022_BLUE</t>
  </si>
  <si>
    <t>OPTIC_DITHEROFF_158UM_GRAY12_N2V_3P2UA_32%_NV_4022_BLUE</t>
  </si>
  <si>
    <t>OPTIC_DITHEROFF_158UM_GRAY13_N2V_3P2UA_32%_NV_4022_BLUE</t>
  </si>
  <si>
    <t>OPTIC_DITHEROFF_158UM_GRAY14_N2V_3P2UA_32%_NV_4022_BLUE</t>
  </si>
  <si>
    <t>OPTIC_DITHEROFF_158UM_GRAY27_N2V_3P2UA_32%_NV_4022_BLUE</t>
  </si>
  <si>
    <t>OPTIC_DITHEROFF_158UM_GRAY39_N2V_3P2UA_32%_NV_4022_BLUE</t>
  </si>
  <si>
    <t>OPTIC_DITHEROFF_158UM_GRAY51_N2V_3P2UA_32%_NV_4022_BLUE</t>
  </si>
  <si>
    <t>OPTIC_DITHEROFF_158UM_GRAY63_N2V_3P2UA_32%_NV_4022_BLUE</t>
  </si>
  <si>
    <t>OPTIC_DITHEROFF_158UM_GRAY75_N2V_3P2UA_32%_NV_4022_BLUE</t>
  </si>
  <si>
    <t>OPTIC_DITHEROFF_158UM_GRAY87_N2V_3P2UA_32%_NV_4022_BLUE</t>
  </si>
  <si>
    <t>OPTIC_DITHEROFF_158UM_GRAY99_N2V_3P2UA_32%_NV_4022_BLUE</t>
  </si>
  <si>
    <t>OPTIC_DITHEROFF_158UM_GRAY111_N2V_3P2UA_32%_NV_4022_BLUE</t>
  </si>
  <si>
    <t>OPTIC_DITHEROFF_158UM_GRAY123_N2V_3P2UA_32%_NV_4022_BLUE</t>
  </si>
  <si>
    <t>OPTIC_DITHEROFF_158UM_GRAY135_N2V_3P2UA_32%_NV_4022_BLUE</t>
  </si>
  <si>
    <t>OPTIC_DITHEROFF_158UM_GRAY147_N2V_3P2UA_32%_NV_4022_BLUE</t>
  </si>
  <si>
    <t>OPTIC_DITHEROFF_158UM_GRAY159_N2V_3P2UA_32%_NV_4022_BLUE</t>
  </si>
  <si>
    <t>OPTIC_DITHEROFF_158UM_GRAY171_N2V_3P2UA_32%_NV_4022_BLUE</t>
  </si>
  <si>
    <t>OPTIC_DITHEROFF_158UM_GRAY183_N2V_3P2UA_32%_NV_4022_BLUE</t>
  </si>
  <si>
    <t>OPTIC_DITHEROFF_158UM_GRAY195_N2V_3P2UA_32%_NV_4022_BLUE</t>
  </si>
  <si>
    <t>OPTIC_DITHEROFF_158UM_GRAY207_N2V_3P2UA_32%_NV_4022_BLUE</t>
  </si>
  <si>
    <t>OPTIC_DITHEROFF_158UM_GRAY219_N2V_3P2UA_32%_NV_4022_BLUE</t>
  </si>
  <si>
    <t>OPTIC_DITHEROFF_158UM_GRAY231_N2V_3P2UA_32%_NV_4022_BLUE</t>
  </si>
  <si>
    <t>OPTIC_DITHEROFF_158UM_GRAY243_N2V_3P2UA_32%_NV_4022_BLUE</t>
  </si>
  <si>
    <t>OPTIC_DITHEROFF_158UM_GRAY255_N2V_3P2UA_32%_NV_4022_BLUE</t>
  </si>
  <si>
    <t>SW_TRUETEST_VER_IDX0_X_X_X_X_X_X</t>
  </si>
  <si>
    <t>SW_TRUETEST_VER_IDX1_X_X_X_X_X_X</t>
  </si>
  <si>
    <t>8</t>
  </si>
  <si>
    <t>SW_TRUETEST_VER_IDX2_X_X_X_X_X_X</t>
  </si>
  <si>
    <t>SW_LOADLUA_X_X_X_X_X_X_X_X</t>
  </si>
  <si>
    <t xml:space="preserve">DC_OFF_CURRENT_AVDD_X_X_X_NV_4022_RED </t>
  </si>
  <si>
    <t>DC_OFF_CURRENT_VDDI_X_X_X_NV_4022_RED</t>
  </si>
  <si>
    <t>DC_OFF_CURRENT_AVEE_X_X_X_NV_4022_RED</t>
  </si>
  <si>
    <t>DC_OFF_CURRENT_AVDD_X_X_X_NV_4022_GREEN</t>
  </si>
  <si>
    <t>DC_OFF_CURRENT_VDDI_X_X_X_NV_4022_GREEN</t>
  </si>
  <si>
    <t>DC_OFF_CURRENT_AVEE_X_X_X_NV_4022_GREEN</t>
  </si>
  <si>
    <t>DC_OFF_CURRENT_AVDD_X_X_X_NV_4022_BLUE</t>
  </si>
  <si>
    <t>DC_OFF_CURRENT_VDDI_X_X_X_NV_4022_BLUE</t>
  </si>
  <si>
    <t>DC_OFF_CURRENT_AVEE_X_X_X_NV_4022_BLUE</t>
  </si>
  <si>
    <t>OPTIC_IMG_FLARE_1-3-4-6-7-9_N2V_3P2UA_32%_NV_4022_RED</t>
  </si>
  <si>
    <t>OPTIC_IMG_FLARE134679_FRAMECNT_N2V_3P2UA_32%_NV_4022_RED</t>
  </si>
  <si>
    <t>OPTIC_IMG_FLARE_2-5-8_N2V_3P2UA_32%_NV_4022_RED</t>
  </si>
  <si>
    <t>OPTIC_IMG_FLARE258_FRAMECNT_N2V_3P2UA_32%_NV_4022_RED</t>
  </si>
  <si>
    <t>OPTIC_IMG_FLARE_1-3-4-6-7-9_N2V_0P4UA_20%_NV_4022_GREEN</t>
  </si>
  <si>
    <t>OPTIC_IMG_FLARE134679_FRAMECNT_N2V_0P4UA_20%_NV_4022_GREEN</t>
  </si>
  <si>
    <t>OPTIC_IMG_FLARE_2-5-8_N2V_0P4UA_20%_NV_4022_GREEN</t>
  </si>
  <si>
    <t>OPTIC_IMG_FLARE258_FRAMECNT_N2V_0P4UA_20%_NV_4022_GREEN</t>
  </si>
  <si>
    <t>OPTIC_IMG_FLARE_1-3-4-6-7-9_N2V_0P8UA_28%_NV_4022_BLUE</t>
  </si>
  <si>
    <t>OPTIC_IMG_FLARE134679_FRAMECNT_N2V_0P8UA_28%_NV_4022_BLUE</t>
  </si>
  <si>
    <t>OPTIC_IMG_FLARE_2-5-8_N2V_0P8UA_28%_NV_4022_BLUE</t>
  </si>
  <si>
    <t>OPTIC_IMG_FLARE258_FRAMECNT_N2V_0P8UA_28%_NV_4022_BLUE</t>
  </si>
  <si>
    <t>Count Of Test Name</t>
  </si>
  <si>
    <t>IO_OS_SINK_REFCLK_DC_OPEN_X_NV_P03004_RED</t>
  </si>
  <si>
    <t>Continuity</t>
  </si>
  <si>
    <t>-1.2</t>
  </si>
  <si>
    <t>V</t>
  </si>
  <si>
    <t>IO_OS_SINK_GPIOINTL_DC_OPEN_X_NV_P03004_RED</t>
  </si>
  <si>
    <t>IO_OS_SINK_RESET_DC_OPEN_X_NV_P03004_RED</t>
  </si>
  <si>
    <t>IO_OS_SINK_MIPISW_DC_OPEN_X_NV_P03004_RED</t>
  </si>
  <si>
    <t>IO_OS_SINK_I3CSCL_DC_OPEN_X_NV_P03004_RED</t>
  </si>
  <si>
    <t>IO_OS_SINK_I3CSDA_DC_OPEN_X_NV_P03004_RED</t>
  </si>
  <si>
    <t>IO_OS_SINK_REFCLK_DC_OPEN_X_NV_P03004_GREEN</t>
  </si>
  <si>
    <t>IO_OS_SINK_GPIOINTL_DC_OPEN_X_NV_P03004_GREEN</t>
  </si>
  <si>
    <t>IO_OS_SINK_RESET_DC_OPEN_X_NV_P03004_GREEN</t>
  </si>
  <si>
    <t>IO_OS_SINK_MIPISW_DC_OPEN_X_NV_P03004_GREEN</t>
  </si>
  <si>
    <t>IO_OS_SINK_I3CSCL_DC_OPEN_X_NV_P03004_GREEN</t>
  </si>
  <si>
    <t>IO_OS_SINK_I3CSDA_DC_OPEN_X_NV_P03004_GREEN</t>
  </si>
  <si>
    <t>IO_OS_SINK_REFCLK_DC_OPEN_X_NV_P03004_BLUE</t>
  </si>
  <si>
    <t>IO_OS_SINK_GPIOINTL_DC_OPEN_X_NV_P03004_BLUE</t>
  </si>
  <si>
    <t>IO_OS_SINK_RESET_DC_OPEN_X_NV_P03004_BLUE</t>
  </si>
  <si>
    <t>IO_OS_SINK_MIPISW_DC_OPEN_X_NV_P03004_BLUE</t>
  </si>
  <si>
    <t>IO_OS_SINK_I3CSCL_DC_OPEN_X_NV_P03004_BLUE</t>
  </si>
  <si>
    <t>IO_OS_SINK_I3CSDA_DC_OPEN_X_NV_P03004_BLUE</t>
  </si>
  <si>
    <t>IO_OS_SINK_REFCLK_DC_SHORT_X_NV_P03004_RED</t>
  </si>
  <si>
    <t>-0.1</t>
  </si>
  <si>
    <t>IO_OS_SINK_GPIOINTL_DC_SHORT_X_NV_P03004_RED</t>
  </si>
  <si>
    <t>IO_OS_SINK_RESET_DC_SHORT_X_NV_P03004_RED</t>
  </si>
  <si>
    <t>IO_OS_SINK_MIPISW_DC_SHORT_X_NV_P03004_RED</t>
  </si>
  <si>
    <t>IO_OS_SINK_I3CSCL_DC_SHORT_X_NV_P03004_RED</t>
  </si>
  <si>
    <t>IO_OS_SINK_I3CSDA_DC_SHORT_X_NV_P03004_RED</t>
  </si>
  <si>
    <t>IO_OS_SINK_REFCLK_DC_SHORT_X_NV_P03004_GREEN</t>
  </si>
  <si>
    <t>IO_OS_SINK_GPIOINTL_DC_SHORT_X_NV_P03004_GREEN</t>
  </si>
  <si>
    <t>IO_OS_SINK_RESET_DC_SHORT_X_NV_P03004_GREEN</t>
  </si>
  <si>
    <t>IO_OS_SINK_MIPISW_DC_SHORT_X_NV_P03004_GREEN</t>
  </si>
  <si>
    <t>IO_OS_SINK_I3CSCL_DC_SHORT_X_NV_P03004_GREEN</t>
  </si>
  <si>
    <t>IO_OS_SINK_I3CSDA_DC_SHORT_X_NV_P03004_GREEN</t>
  </si>
  <si>
    <t>IO_OS_SINK_REFCLK_DC_SHORT_X_NV_P03004_BLUE</t>
  </si>
  <si>
    <t>IO_OS_SINK_GPIOINTL_DC_SHORT_X_NV_P03004_BLUE</t>
  </si>
  <si>
    <t>IO_OS_SINK_RESET_DC_SHORT_X_NV_P03004_BLUE</t>
  </si>
  <si>
    <t>IO_OS_SINK_MIPISW_DC_SHORT_X_NV_P03004_BLUE</t>
  </si>
  <si>
    <t>IO_OS_SINK_I3CSCL_DC_SHORT_X_NV_P03004_BLUE</t>
  </si>
  <si>
    <t>IO_OS_SINK_I3CSDA_DC_SHORT_X_NV_P03004_BLUE</t>
  </si>
  <si>
    <t>IO_OS_SOURCE_REFCLK_DC_OPEN_X_NV_P03004_RED</t>
  </si>
  <si>
    <t>1.4</t>
  </si>
  <si>
    <t>IO_OS_SOURCE_GPIOINTL_DC_OPEN_X_NV_P03004_RED</t>
  </si>
  <si>
    <t>1.3</t>
  </si>
  <si>
    <t>IO_OS_SOURCE_RESET_DC_OPEN_X_NV_P03004_RED</t>
  </si>
  <si>
    <t>IO_OS_SOURCE_I3CSCL_DC_OPEN_X_NV_P03004_RED</t>
  </si>
  <si>
    <t>IO_OS_SOURCE_I3CSDA_DC_OPEN_X_NV_P03004_RED</t>
  </si>
  <si>
    <t>1.2</t>
  </si>
  <si>
    <t>IO_OS_SOURCE_REFCLK_DC_OPEN_X_NV_P03004_GREEN</t>
  </si>
  <si>
    <t>IO_OS_SOURCE_GPIOINTL_DC_OPEN_X_NV_P03004_GREEN</t>
  </si>
  <si>
    <t>IO_OS_SOURCE_RESET_DC_OPEN_X_NV_P03004_GREEN</t>
  </si>
  <si>
    <t>IO_OS_SOURCE_I3CSCL_DC_OPEN_X_NV_P03004_GREEN</t>
  </si>
  <si>
    <t>IO_OS_SOURCE_I3CSDA_DC_OPEN_X_NV_P03004_GREEN</t>
  </si>
  <si>
    <t>IO_OS_SOURCE_REFCLK_DC_OPEN_X_NV_P03004_BLUE</t>
  </si>
  <si>
    <t>IO_OS_SOURCE_GPIOINTL_DC_OPEN_X_NV_P03004_BLUE</t>
  </si>
  <si>
    <t>only have 9 _ and 10 items</t>
  </si>
  <si>
    <t>IO_OS_SOURCE_RESET_DC_OPEN_X_NV_P03004_BLUE</t>
  </si>
  <si>
    <t>Remove MIPI for Source test</t>
  </si>
  <si>
    <t>IO_OS_SOURCE_I3CSCL_DC_OPEN_X_NV_P03004_BLUE</t>
  </si>
  <si>
    <t>IO_OS_SOURCE_I3CSDA_DC_OPEN_X_NV_P03004_BLUE</t>
  </si>
  <si>
    <t>IO_OS_SOURCE_REFCLK_DC_SHORT_X_NV_P03004_RED</t>
  </si>
  <si>
    <t>IO_OS_SOURCE_GPIOINTL_DC_SHORT_X_NV_P03004_RED</t>
  </si>
  <si>
    <t>IO_OS_SOURCE_RESET_DC_SHORT_X_NV_P03004_RED</t>
  </si>
  <si>
    <t>IO_OS_SOURCE_I3CSCL_DC_SHORT_X_NV_P03004_RED</t>
  </si>
  <si>
    <t>IO_OS_SOURCE_I3CSDA_DC_SHORT_X_NV_P03004_RED</t>
  </si>
  <si>
    <t>IO_OS_SOURCE_REFCLK_DC_SHORT_X_NV_P03004_GREEN</t>
  </si>
  <si>
    <t>IO_OS_SOURCE_GPIOINTL_DC_SHORT_X_NV_P03004_GREEN</t>
  </si>
  <si>
    <t>IO_OS_SOURCE_RESET_DC_SHORT_X_NV_P03004_GREEN</t>
  </si>
  <si>
    <t>IO_OS_SOURCE_I3CSCL_DC_SHORT_X_NV_P03004_GREEN</t>
  </si>
  <si>
    <t>IO_OS_SOURCE_I3CSDA_DC_SHORT_X_NV_P03004_GREEN</t>
  </si>
  <si>
    <t>IO_OS_SOURCE_REFCLK_DC_SHORT_X_NV_P03004_BLUE</t>
  </si>
  <si>
    <t>IO_OS_SOURCE_GPIOINTL_DC_SHORT_X_NV_P03004_BLUE</t>
  </si>
  <si>
    <t>IO_OS_SOURCE_RESET_DC_SHORT_X_NV_P03004_BLUE</t>
  </si>
  <si>
    <t>IO_OS_SOURCE_I3CSCL_DC_SHORT_X_NV_P03004_BLUE</t>
  </si>
  <si>
    <t>IO_OS_SOURCE_I3CSDA_DC_SHORT_X_NV_P03004_BLUE</t>
  </si>
  <si>
    <t>DC_POWERSHORT_LOW_VDD10_0P3V_X_X_NV_P03004_RED</t>
  </si>
  <si>
    <t>-0.015</t>
  </si>
  <si>
    <t>-0.0056</t>
  </si>
  <si>
    <t>DC_POWERSHORT_LOW_VDD18_0P3V_X_X_NV_P03004_RED</t>
  </si>
  <si>
    <t>-0.001</t>
  </si>
  <si>
    <t>0.005</t>
  </si>
  <si>
    <t>DC_POWERSHORT_LOW_VPQS_0P3V_X_X_NV_P03004_RED</t>
  </si>
  <si>
    <t>DC_POWERSHORT_LOW_AVEE_0P3V_X_X_NV_P03004_RED</t>
  </si>
  <si>
    <t>DC_POWERSHORT_LOW_VDD10_0P3V_X_X_NV_P03004_GREEN</t>
  </si>
  <si>
    <t>DC_POWERSHORT_LOW_VDD18_0P3V_X_X_NV_P03004_GREEN</t>
  </si>
  <si>
    <t>DC_POWERSHORT_LOW_VPQS_0P3V_X_X_NV_P03004_GREEN</t>
  </si>
  <si>
    <t>DC_POWERSHORT_LOW_AVEE_0P3V_X_X_NV_P03004_GREEN</t>
  </si>
  <si>
    <t>DC_POWERSHORT_LOW_VDD10_0P3V_X_X_NV_P03004_BLUE</t>
  </si>
  <si>
    <t>DC_POWERSHORT_LOW_VDD18_0P3V_X_X_NV_P03004_BLUE</t>
  </si>
  <si>
    <t>DC_POWERSHORT_LOW_VPQS_0P3V_X_X_NV_P03004_BLUE</t>
  </si>
  <si>
    <t>DC_POWERSHORT_LOW_AVEE_0P3V_X_X_NV_P03004_BLUE</t>
  </si>
  <si>
    <t>DC_IDLE_CURRENT_VDD18_X_X_X_NV_P03004_RED</t>
  </si>
  <si>
    <t>Need to check the limit</t>
  </si>
  <si>
    <t>DC_IDLE_CURRENT_VDD10_X_X_X_NV_P03004_RED</t>
  </si>
  <si>
    <t>DC_IDLE_CURRENT_AVEE_X_X_X_NV_P03004_RED</t>
  </si>
  <si>
    <t>DC_IDLE_CURRENT_VDD18_X_X_X_NV_P03004_GREEN</t>
  </si>
  <si>
    <t>DC_IDLE_CURRENT_VDD10_X_X_X_NV_P03004_GREEN</t>
  </si>
  <si>
    <t>DC_IDLE_CURRENT_AVEE_X_X_X_NV_P03004_GREEN</t>
  </si>
  <si>
    <t>DC_IDLE_CURRENT_VDD18_X_X_X_NV_P03004_BLUE</t>
  </si>
  <si>
    <t>DC_IDLE_CURRENT_VDD10_X_X_X_NV_P03004_BLUE</t>
  </si>
  <si>
    <t>DC_IDLE_CURRENT_AVEE_X_X_X_NV_P03004_BLUE</t>
  </si>
  <si>
    <t>DC_POWERON_X_VDD10_X_X_X_NV_P03004_RED</t>
  </si>
  <si>
    <t>Power-On/Off</t>
  </si>
  <si>
    <t>1uA</t>
  </si>
  <si>
    <t>Remove the test item</t>
  </si>
  <si>
    <t>DC_POWERON_X_VDD18_X_X_X_NV_P03004_RED</t>
  </si>
  <si>
    <t>DC_POWERON_X_VQPS_X_X_X_NV_P03004_RED</t>
  </si>
  <si>
    <t>DC_POWERON_X_AVEE_X_X_X_NV_P03004_RED</t>
  </si>
  <si>
    <t>DC_POWERON_X_VDD10_X_X_X_NV_P03004_GREEN</t>
  </si>
  <si>
    <t>DC_POWERON_X_VDD18_X_X_X_NV_P03004_GREEN</t>
  </si>
  <si>
    <t>DC_POWERON_X_VQPS_X_X_X_NV_P03004_GREEN</t>
  </si>
  <si>
    <t>DC_POWERON_X_AVEE_X_X_X_NV_P03004_GREEN</t>
  </si>
  <si>
    <t>DC_POWERON_X_VDD10_X_X_X_NV_P03004_BLUE</t>
  </si>
  <si>
    <t>DC_POWERON_X_VDD18_X_X_X_NV_P03004_BLUE</t>
  </si>
  <si>
    <t>DC_POWERON_X_VQPS_X_X_X_NV_P03004_BLUE</t>
  </si>
  <si>
    <t>DC_POWERON_X_AVEE_X_X_X_NV_P03004_BLUE</t>
  </si>
  <si>
    <t>DC_POWEROFF_X_VDD10_X_X_X_NV_P03004_RED</t>
  </si>
  <si>
    <t>Check if we need add ?</t>
  </si>
  <si>
    <t>DC_POWEROFF_X_VDD18_X_X_X_NV_P03004_RED</t>
  </si>
  <si>
    <t>DC_POWEROFF_X_VQPS_X_X_X_NV_P03004_RED</t>
  </si>
  <si>
    <t>DC_POWEROFF_X_AVEE_X_X_X_NV_P03004_RED</t>
  </si>
  <si>
    <t>DC_POWEROFF_X_VDD10_X_X_X_NV_P03004_GREEN</t>
  </si>
  <si>
    <t>DC_POWEROFF_X_VDD18_X_X_X_NV_P03004_GREEN</t>
  </si>
  <si>
    <t>DC_POWEROFF_X_VQPS_X_X_X_NV_P03004_GREEN</t>
  </si>
  <si>
    <t>DC_POWEROFF_X_AVEE_X_X_X_NV_P03004_GREEN</t>
  </si>
  <si>
    <t>DC_POWEROFF_X_VDD10_X_X_X_NV_P03004_BLUE</t>
  </si>
  <si>
    <t>DC_POWEROFF_X_VDD18_X_X_X_NV_P03004_BLUE</t>
  </si>
  <si>
    <t>DC_POWEROFF_X_VQPS_X_X_X_NV_P03004_BLUE</t>
  </si>
  <si>
    <t>DC_POWEROFF_X_AVEE_X_X_X_NV_P03004_BLUE</t>
  </si>
  <si>
    <t>FUNC_COM_I3C_AAAAAAAA_X_X_H4_NV_P03004_RED</t>
  </si>
  <si>
    <t>I3C Communication Test</t>
  </si>
  <si>
    <t>FUNC_COM_I3C_AAAAAAAA_X_X_L4_NV_P03004_RED</t>
  </si>
  <si>
    <t>FUNC_COM_I3C_55555555_X_X_H4_NV_P03004_RED</t>
  </si>
  <si>
    <t>FUNC_COM_I3C_55555555_X_X_L4_NV_P03004_RED</t>
  </si>
  <si>
    <t>FUNC_COM_I3C_FFFFFFFF_X_X_H4_NV_P03004_RED</t>
  </si>
  <si>
    <t>FUNC_COM_I3C_FFFFFFFF_X_X_L4_NV_P03004_RED</t>
  </si>
  <si>
    <t>FUNC_COM_I3C_00000000_X_X_H4_NV_P03004_RED</t>
  </si>
  <si>
    <t>FUNC_COM_I3C_00000000_X_X_L4_NV_P03004_RED</t>
  </si>
  <si>
    <t>FUNC_COM_I3C_AAAAAAAA_X_X_H4_NV_P03004_GREEN</t>
  </si>
  <si>
    <t>FUNC_COM_I3C_AAAAAAAA_X_X_L4_NV_P03004_GREEN</t>
  </si>
  <si>
    <t>FUNC_COM_I3C_55555555_X_X_H4_NV_P03004_GREEN</t>
  </si>
  <si>
    <t>FUNC_COM_I3C_55555555_X_X_L4_NV_P03004_GREEN</t>
  </si>
  <si>
    <t>FUNC_COM_I3C_FFFFFFFF_X_X_H4_NV_P03004_GREEN</t>
  </si>
  <si>
    <t>FUNC_COM_I3C_FFFFFFFF_X_X_L4_NV_P03004_GREEN</t>
  </si>
  <si>
    <t>FUNC_COM_I3C_00000000_X_X_H4_NV_P03004_GREEN</t>
  </si>
  <si>
    <t>FUNC_COM_I3C_00000000_X_X_L4_NV_P03004_GREEN</t>
  </si>
  <si>
    <t>FUNC_COM_I3C_AAAAAAAA_X_X_H4_NV_P03004_BLUE</t>
  </si>
  <si>
    <t>FUNC_COM_I3C_AAAAAAAA_X_X_L4_NV_P03004_BLUE</t>
  </si>
  <si>
    <t>FUNC_COM_I3C_55555555_X_X_H4_NV_P03004_BLUE</t>
  </si>
  <si>
    <t>FUNC_COM_I3C_55555555_X_X_L4_NV_P03004_BLUE</t>
  </si>
  <si>
    <t>FUNC_COM_I3C_FFFFFFFF_X_X_H4_NV_P03004_BLUE</t>
  </si>
  <si>
    <t>FUNC_COM_I3C_FFFFFFFF_X_X_L4_NV_P03004_BLUE</t>
  </si>
  <si>
    <t>FUNC_COM_I3C_00000000_X_X_H4_NV_P03004_BLUE</t>
  </si>
  <si>
    <t>FUNC_COM_I3C_00000000_X_X_L4_NV_P03004_BLUE</t>
  </si>
  <si>
    <t>EFUSE_WRITE_DIEID_I3C_SLAVEID_BLANKCHECK_X_NV_P03004_RED</t>
  </si>
  <si>
    <t>eFuse TrimmingWrite</t>
  </si>
  <si>
    <t>EFUSE_WRITE_DIEID_I3C_SLAVEID_EXP_X_NV_P03004_RED</t>
  </si>
  <si>
    <t>EFUSE_WRITE_DIEID_I3C_SLAVEID_ACT_X_NV_P03004_RED</t>
  </si>
  <si>
    <t>EFUSE_WRITE_DIEID_I3C_SLAVEID_MATCH_X_NV_P03004_RED</t>
  </si>
  <si>
    <t>EFUSE_WRITE_DIEID_I3C_DACDIV_BLANKCHECK_X_NV_P03004_RED</t>
  </si>
  <si>
    <t>EFUSE_WRITE_DIEID_I3C_DACDIV_EXP_X_NV_P03004_RED</t>
  </si>
  <si>
    <t>EFUSE_WRITE_DIEID_I3C_DACDIV_ACT_X_NV_P03004_RED</t>
  </si>
  <si>
    <t>EFUSE_WRITE_DIEID_I3C_DACDIV_MATCH_X_NV_P03004_RED</t>
  </si>
  <si>
    <t>EFUSE_WRITE_DIEID_I3C_SLAVEID_BLANKCHECK_X_NV_P03004_GREEN</t>
  </si>
  <si>
    <t>EFUSE_WRITE_DIEID_I3C_SLAVEID_EXP_X_NV_P03004_GREEN</t>
  </si>
  <si>
    <t>EFUSE_WRITE_DIEID_I3C_SLAVEID_ACT_X_NV_P03004_GREEN</t>
  </si>
  <si>
    <t>EFUSE_WRITE_DIEID_I3C_SLAVEID_MATCH_X_NV_P03004_GREEN</t>
  </si>
  <si>
    <t>EFUSE_WRITE_DIEID_I3C_DACDIV_BLANKCHECK_X_NV_P03004_GREEN</t>
  </si>
  <si>
    <t>EFUSE_WRITE_DIEID_I3C_DACDIV_EXP_X_NV_P03004_GREEN</t>
  </si>
  <si>
    <t>EFUSE_WRITE_DIEID_I3C_DACDIV_ACT_X_NV_P03004_GREEN</t>
  </si>
  <si>
    <t>EFUSE_WRITE_DIEID_I3C_DACDIV_MATCH_X_NV_P03004_GREEN</t>
  </si>
  <si>
    <t>EFUSE_WRITE_DIEID_I3C_SLAVEID_BLANKCHECK_X_NV_P03004_BLUE</t>
  </si>
  <si>
    <t>EFUSE_WRITE_DIEID_I3C_SLAVEID_EXP_X_NV_P03004_BLUE</t>
  </si>
  <si>
    <t>EFUSE_WRITE_DIEID_I3C_SLAVEID_ACT_X_NV_P03004_BLUE</t>
  </si>
  <si>
    <t>EFUSE_WRITE_DIEID_I3C_SLAVEID_MATCH_X_NV_P03004_BLUE</t>
  </si>
  <si>
    <t>EFUSE_WRITE_DIEID_I3C_DACDIV_BLANKCHECK_X_NV_P03004_BLUE</t>
  </si>
  <si>
    <t>EFUSE_WRITE_DIEID_I3C_DACDIV_EXP_X_NV_P03004_BLUE</t>
  </si>
  <si>
    <t>EFUSE_WRITE_DIEID_I3C_DACDIV_ACT_X_NV_P03004_BLUE</t>
  </si>
  <si>
    <t>EFUSE_WRITE_DIEID_I3C_DACDIV_MATCH_X_NV_P03004_BLUE</t>
  </si>
  <si>
    <t>EFUSE_READ_DIEID_I3C_CODE_ACT_X_NV_P03004_RED</t>
  </si>
  <si>
    <t>Panel ID Read(Red)</t>
  </si>
  <si>
    <t>255</t>
  </si>
  <si>
    <t>EFUSE_READ_DIEID_I3C_REV_ACT_X_P03004_RED</t>
  </si>
  <si>
    <t>EFUSE_READ_DIEID_I3C_LOTID-0_ACT_X_NV_P03004_RED</t>
  </si>
  <si>
    <t>EFUSE_READ_DIEID_I3C_LOTID-1_ACT_X_NV_P03004_RED</t>
  </si>
  <si>
    <t>EFUSE_READ_DIEID_I3C_LOTID-2_ACT_X_NV_P03004_RED</t>
  </si>
  <si>
    <t>EFUSE_READ_DIEID_I3C_LOTID-3_ACT_X_NV_P03004_RED</t>
  </si>
  <si>
    <t>EFUSE_READ_DIEID_I3C_LOTID-4_ACT_X_NV_P03004_RED</t>
  </si>
  <si>
    <t>EFUSE_READ_DIEID_I3C_LOTID-5_ACT_X_NV_P03004_RED</t>
  </si>
  <si>
    <t>EFUSE_READ_DIEID_I3C_LOTID-6_ACT_X_NV_P03004_RED</t>
  </si>
  <si>
    <t>EFUSE_READ_DIEID_I3C_LOTID-7_ACT_X_NV_P03004_RED</t>
  </si>
  <si>
    <t>EFUSE_READ_DIEID_I3C_LOTID-8_ACT_X_NV_P03004_RED</t>
  </si>
  <si>
    <t>EFUSE_READ_DIEID_I3C_WAFERID_ACT_X_NV_P03004_RED</t>
  </si>
  <si>
    <t>EFUSE_READ_DIEID_I3C_WAFERX_ACT_X_NV_P03004_RED</t>
  </si>
  <si>
    <t>EFUSE_READ_DIEID_I3C_WAFERY_ACT_X_NV_P03004_RED</t>
  </si>
  <si>
    <t>EFUSE_READ_DIEID_I3C_FABID_ACT_X_NV_P03004_RED</t>
  </si>
  <si>
    <t>EFUSE_READ_DIEID_I3C_FUNDRYID_ACT_X_NV_P03004_RED</t>
  </si>
  <si>
    <t>EFUSE_READ_DIEID_I3C_B1_ACT_X_NV_P03004_RED</t>
  </si>
  <si>
    <t>9</t>
  </si>
  <si>
    <t>EFUSE_READ_DIEID_I3C_S1_ACT_X_NV_P03004_RED</t>
  </si>
  <si>
    <t>EFUSE_READ_DIEID_I3C_CRC1_ACT_X_NV_P03004_RED</t>
  </si>
  <si>
    <t>EFUSE_READ_DIEID_I3C_B2_ACT_X_NV_P03004_RED</t>
  </si>
  <si>
    <t>EFUSE_READ_DIEID_I3C_S2_ACT_X_NV_P03004_RED</t>
  </si>
  <si>
    <t>EFUSE_READ_DIEID_I3C_CRC2_ACT_X_NV_P03004_RED</t>
  </si>
  <si>
    <t>EFUSE_READ_DIEID_I3C_B3_ACT_X_NV_P03004_RED</t>
  </si>
  <si>
    <t>EFUSE_READ_DIEID_I3C_S3_ACT_X_NV_P03004_RED</t>
  </si>
  <si>
    <t>EFUSE_READ_DIEID_I3C_CRC3_ACT_X_NV_P03004_RED</t>
  </si>
  <si>
    <t>EFUSE_READ_DIEID_I3C_B4_ACT_X_NV_P03004_RED</t>
  </si>
  <si>
    <t>EFUSE_READ_DIEID_I3C_S4_ACT_X_NV_P03004_RED</t>
  </si>
  <si>
    <t>EFUSE_READ_DIEID_I3C_CRC4_ACT_X_NV_P03004_RED</t>
  </si>
  <si>
    <t>EFUSE_READ_DIEID_I3C_B5_ACT_BLANKCHECK_NV_P03004_RED</t>
  </si>
  <si>
    <t>EFUSE_READ_DIEID_I3C_S5_ACT_BLANKCHECK_P03004_RED</t>
  </si>
  <si>
    <t>EFUSE_READ_DIEID_I3C_CRC5_ACT_BLANKCHECK_NV_P03004_RED</t>
  </si>
  <si>
    <t>Only excute when B5 = 0</t>
  </si>
  <si>
    <t>EFUSE_WRITE_DIEID_I3C_B5_EXP_PRE_NV_P03004_RED</t>
  </si>
  <si>
    <t>EFUSE_WRITE_DIEID_I3C_B5_ACT_PRE_NV_P03004_RED</t>
  </si>
  <si>
    <t>EFUSE_WRITE_DIEID_I3C_B5_MATCH_PRE_NV_P03004_RED</t>
  </si>
  <si>
    <t>EFUSE_READ_DIEID_I3C_CODE_ACT_X_NV_P03004_GREEN</t>
  </si>
  <si>
    <t>Panel ID Read(GREEN)</t>
  </si>
  <si>
    <t>EFUSE_READ_DIEID_I3C_REV_ACT_X_P03004_GREEN</t>
  </si>
  <si>
    <t>EFUSE_READ_DIEID_I3C_LOTID-0_ACT_X_NV_P03004_GREEN</t>
  </si>
  <si>
    <t>EFUSE_READ_DIEID_I3C_LOTID-1_ACT_X_NV_P03004_GREEN</t>
  </si>
  <si>
    <t>EFUSE_READ_DIEID_I3C_LOTID-2_ACT_X_NV_P03004_GREEN</t>
  </si>
  <si>
    <t>EFUSE_READ_DIEID_I3C_LOTID-3_ACT_X_NV_P03004_GREEN</t>
  </si>
  <si>
    <t>EFUSE_READ_DIEID_I3C_LOTID-4_ACT_X_NV_P03004_GREEN</t>
  </si>
  <si>
    <t>EFUSE_READ_DIEID_I3C_LOTID-5_ACT_X_NV_P03004_GREEN</t>
  </si>
  <si>
    <t>EFUSE_READ_DIEID_I3C_LOTID-6_ACT_X_NV_P03004_GREEN</t>
  </si>
  <si>
    <t>EFUSE_READ_DIEID_I3C_LOTID-7_ACT_X_NV_P03004_GREEN</t>
  </si>
  <si>
    <t>EFUSE_READ_DIEID_I3C_LOTID-8_ACT_X_NV_P03004_GREEN</t>
  </si>
  <si>
    <t>EFUSE_READ_DIEID_I3C_WAFERID_ACT_X_NV_P03004_GREEN</t>
  </si>
  <si>
    <t>EFUSE_READ_DIEID_I3C_WAFERX_ACT_X_NV_P03004_GREEN</t>
  </si>
  <si>
    <t>EFUSE_READ_DIEID_I3C_WAFERY_ACT_X_NV_P03004_GREEN</t>
  </si>
  <si>
    <t>EFUSE_READ_DIEID_I3C_FABID_ACT_X_NV_P03004_GREEN</t>
  </si>
  <si>
    <t>EFUSE_READ_DIEID_I3C_FUNDRYID_ACT_X_NV_P03004_GREEN</t>
  </si>
  <si>
    <t>EFUSE_READ_DIEID_I3C_B1_ACT_X_NV_P03004_GREEN</t>
  </si>
  <si>
    <t>EFUSE_READ_DIEID_I3C_S1_ACT_X_NV_P03004_GREEN</t>
  </si>
  <si>
    <t>EFUSE_READ_DIEID_I3C_CRC1_ACT_X_NV_P03004_GREEN</t>
  </si>
  <si>
    <t>EFUSE_READ_DIEID_I3C_B2_ACT_X_NV_P03004_GREEN</t>
  </si>
  <si>
    <t>EFUSE_READ_DIEID_I3C_S2_ACT_X_NV_P03004_GREEN</t>
  </si>
  <si>
    <t>EFUSE_READ_DIEID_I3C_CRC2_ACT_X_NV_P03004_GREEN</t>
  </si>
  <si>
    <t>EFUSE_READ_DIEID_I3C_B3_ACT_X_NV_P03004_GREEN</t>
  </si>
  <si>
    <t>EFUSE_READ_DIEID_I3C_S3_ACT_X_NV_P03004_GREEN</t>
  </si>
  <si>
    <t>EFUSE_READ_DIEID_I3C_CRC3_ACT_X_NV_P03004_GREEN</t>
  </si>
  <si>
    <t>EFUSE_READ_DIEID_I3C_B4_ACT_X_NV_P03004_GREEN</t>
  </si>
  <si>
    <t>EFUSE_READ_DIEID_I3C_S4_ACT_X_NV_P03004_GREEN</t>
  </si>
  <si>
    <t>EFUSE_READ_DIEID_I3C_CRC4_ACT_X_NV_P03004_GREEN</t>
  </si>
  <si>
    <t>EFUSE_READ_DIEID_I3C_B5_ACT_BLANKCHECK_NV_P03004_GREEN</t>
  </si>
  <si>
    <t>EFUSE_READ_DIEID_I3C_S5_ACT_BLANKCHECK_P03004_GREEN</t>
  </si>
  <si>
    <t>EFUSE_READ_DIEID_I3C_CRC5_ACT_BLANKCHECK_NV_P03004_GREEN</t>
  </si>
  <si>
    <t>EFUSE_WRITE_DIEID_I3C_B5_EXP_PRE_NV_P03004_GREEN</t>
  </si>
  <si>
    <t>EFUSE_WRITE_DIEID_I3C_B5_ACT_PRE_NV_P03004_GREEN</t>
  </si>
  <si>
    <t>EFUSE_WRITE_DIEID_I3C_B5_MATCH_PRE_NV_P03004_GREEN</t>
  </si>
  <si>
    <t>EFUSE_READ_DIEID_I3C_CODE_ACT_X_NV_P03004_BLUE</t>
  </si>
  <si>
    <t>Panel ID Read(BLUE)</t>
  </si>
  <si>
    <t>EFUSE_READ_DIEID_I3C_REV_ACT_X_P03004_BLUE</t>
  </si>
  <si>
    <t>EFUSE_READ_DIEID_I3C_LOTID-0_ACT_X_NV_P03004_BLUE</t>
  </si>
  <si>
    <t>EFUSE_READ_DIEID_I3C_LOTID-1_ACT_X_NV_P03004_BLUE</t>
  </si>
  <si>
    <t>EFUSE_READ_DIEID_I3C_LOTID-2_ACT_X_NV_P03004_BLUE</t>
  </si>
  <si>
    <t>EFUSE_READ_DIEID_I3C_LOTID-3_ACT_X_NV_P03004_BLUE</t>
  </si>
  <si>
    <t>EFUSE_READ_DIEID_I3C_LOTID-4_ACT_X_NV_P03004_BLUE</t>
  </si>
  <si>
    <t>EFUSE_READ_DIEID_I3C_LOTID-5_ACT_X_NV_P03004_BLUE</t>
  </si>
  <si>
    <t>EFUSE_READ_DIEID_I3C_LOTID-6_ACT_X_NV_P03004_BLUE</t>
  </si>
  <si>
    <t>EFUSE_READ_DIEID_I3C_LOTID-7_ACT_X_NV_P03004_BLUE</t>
  </si>
  <si>
    <t>EFUSE_READ_DIEID_I3C_LOTID-8_ACT_X_NV_P03004_BLUE</t>
  </si>
  <si>
    <t>EFUSE_READ_DIEID_I3C_WAFERID_ACT_X_NV_P03004_BLUE</t>
  </si>
  <si>
    <t>EFUSE_READ_DIEID_I3C_WAFERX_ACT_X_NV_P03004_BLUE</t>
  </si>
  <si>
    <t>EFUSE_READ_DIEID_I3C_WAFERY_ACT_X_NV_P03004_BLUE</t>
  </si>
  <si>
    <t>EFUSE_READ_DIEID_I3C_FABID_ACT_X_NV_P03004_BLUE</t>
  </si>
  <si>
    <t>EFUSE_READ_DIEID_I3C_FUNDRYID_ACT_X_NV_P03004_BLUE</t>
  </si>
  <si>
    <t>EFUSE_READ_DIEID_I3C_B1_ACT_X_NV_P03004_BLUE</t>
  </si>
  <si>
    <t>EFUSE_READ_DIEID_I3C_S1_ACT_X_NV_P03004_BLUE</t>
  </si>
  <si>
    <t>EFUSE_READ_DIEID_I3C_CRC1_ACT_X_NV_P03004_BLUE</t>
  </si>
  <si>
    <t>EFUSE_READ_DIEID_I3C_B2_ACT_X_NV_P03004_BLUE</t>
  </si>
  <si>
    <t>EFUSE_READ_DIEID_I3C_S2_ACT_X_NV_P03004_BLUE</t>
  </si>
  <si>
    <t>EFUSE_READ_DIEID_I3C_CRC2_ACT_X_NV_P03004_BLUE</t>
  </si>
  <si>
    <t>EFUSE_READ_DIEID_I3C_B3_ACT_X_NV_P03004_BLUE</t>
  </si>
  <si>
    <t>EFUSE_READ_DIEID_I3C_S3_ACT_X_NV_P03004_BLUE</t>
  </si>
  <si>
    <t>EFUSE_READ_DIEID_I3C_CRC3_ACT_X_NV_P03004_BLUE</t>
  </si>
  <si>
    <t>EFUSE_READ_DIEID_I3C_B4_ACT_X_NV_P03004_BLUE</t>
  </si>
  <si>
    <t>EFUSE_READ_DIEID_I3C_S4_ACT_X_NV_P03004_BLUE</t>
  </si>
  <si>
    <t>EFUSE_READ_DIEID_I3C_CRC4_ACT_X_NV_P03004_BLUE</t>
  </si>
  <si>
    <t>EFUSE_READ_DIEID_I3C_B5_ACT_BLANKCHECK_NV_P03004_BLUE</t>
  </si>
  <si>
    <t>EFUSE_READ_DIEID_I3C_S5_ACT_BLANKCHECK_P03004_BLUE</t>
  </si>
  <si>
    <t>EFUSE_READ_DIEID_I3C_CRC5_ACT_BLANKCHECK_NV_P03004_BLUE</t>
  </si>
  <si>
    <t>EFUSE_WRITE_DIEID_I3C_B5_EXP_PRE_NV_P03004_BLUE</t>
  </si>
  <si>
    <t>EFUSE_WRITE_DIEID_I3C_B5_ACT_PRE_NV_P03004_BLUE</t>
  </si>
  <si>
    <t>EFUSE_WRITE_DIEID_I3C_B5_MATCH_PRE_NV_P03004_BLUE</t>
  </si>
  <si>
    <t>EFUSE_READ_DIEID_I3C_B5_BLANKCHECK_POST_NV_P03004_RED</t>
  </si>
  <si>
    <t>eFuse Post Write</t>
  </si>
  <si>
    <t>Need to check</t>
  </si>
  <si>
    <t>EFUSE_WRITE_DIEID_I3C_B5_EXP_POST_NV_P03004_RED</t>
  </si>
  <si>
    <t>EFUSE_WRITE_DIEID_I3C_B5_ACT_POST_NV_P03004_RED</t>
  </si>
  <si>
    <t>EFUSE_WRITE_DIEID_I3C_B5_MATCH_POST_NV_P03004_RED</t>
  </si>
  <si>
    <t>EFUSE_READ_DIEID_I3C_CRC5_BLANKCHECK_POST_NV_P03004_RED</t>
  </si>
  <si>
    <t>EFUSE_WRITE_DIEID_I3C_CRC5_EXP_POST_NV_P03004_RED</t>
  </si>
  <si>
    <t>EFUSE_WRITE_DIEID_I3C_CRC5_ACT_POST_NV_P03004_RED</t>
  </si>
  <si>
    <t>EFUSE_WRITE_DIEID_I3C_CRC5_MATCH_POST_NV_P03004_RED</t>
  </si>
  <si>
    <t>EFUSE_READ_DIEID_I3C_S5_BLANKCHECK_POST_NV_P03004_RED</t>
  </si>
  <si>
    <t>EFUSE_WRITE_DIEID_I3C_S5_EXP_POST_NV_P03004_RED</t>
  </si>
  <si>
    <t>EFUSE_WRITE_DIEID_I3C_S5_ACT_POST_NV_P03004_RED</t>
  </si>
  <si>
    <t>EFUSE_WRITE_DIEID_I3C_S5_MATCH_POST_NV_P03004_RED</t>
  </si>
  <si>
    <t>EFUSE_READ_DIEID_I3C_B5_BLANKCHECK_POST_NV_P03004_GREEN</t>
  </si>
  <si>
    <t>EFUSE_WRITE_DIEID_I3C_B5_EXP_POST_NV_P03004_GREEN</t>
  </si>
  <si>
    <t>EFUSE_WRITE_DIEID_I3C_B5_ACT_POST_NV_P03004_GREEN</t>
  </si>
  <si>
    <t>EFUSE_WRITE_DIEID_I3C_B5_MATCH_POST_NV_P03004_GREEN</t>
  </si>
  <si>
    <t>EFUSE_READ_DIEID_I3C_CRC5_BLANKCHECK_POST_NV_P03004_GREEN</t>
  </si>
  <si>
    <t>EFUSE_WRITE_DIEID_I3C_CRC5_EXP_POST_NV_P03004_GREEN</t>
  </si>
  <si>
    <t>EFUSE_WRITE_DIEID_I3C_CRC5_ACT_POST_NV_P03004_GREEN</t>
  </si>
  <si>
    <t>EFUSE_WRITE_DIEID_I3C_CRC5_MATCH_POST_NV_P03004_GREEN</t>
  </si>
  <si>
    <t>EFUSE_READ_DIEID_I3C_S5_BLANKCHECK_POST_NV_P03004_GREEN</t>
  </si>
  <si>
    <t>EFUSE_WRITE_DIEID_I3C_S5_EXP_POST_NV_P03004_GREEN</t>
  </si>
  <si>
    <t>EFUSE_WRITE_DIEID_I3C_S5_ACT_POST_NV_P03004_GREEN</t>
  </si>
  <si>
    <t>EFUSE_WRITE_DIEID_I3C_S5_MATCH_POST_NV_P03004_GREEN</t>
  </si>
  <si>
    <t>EFUSE_READ_DIEID_I3C_B5_BLANKCHECK_POST_NV_P03004_BLUE</t>
  </si>
  <si>
    <t>EFUSE_WRITE_DIEID_I3C_B5_EXP_POST_NV_P03004_BLUE</t>
  </si>
  <si>
    <t>EFUSE_WRITE_DIEID_I3C_B5_ACT_POST_NV_P03004_BLUE</t>
  </si>
  <si>
    <t>EFUSE_WRITE_DIEID_I3C_B5_MATCH_POST_NV_P03004_BLUE</t>
  </si>
  <si>
    <t>EFUSE_READ_DIEID_I3C_CRC5_BLANKCHECK_POST_NV_P03004_BLUE</t>
  </si>
  <si>
    <t>EFUSE_WRITE_DIEID_I3C_CRC5_EXP_POST_NV_P03004_BLUE</t>
  </si>
  <si>
    <t>EFUSE_WRITE_DIEID_I3C_CRC5_ACT_POST_NV_P03004_BLUE</t>
  </si>
  <si>
    <t>EFUSE_WRITE_DIEID_I3C_CRC5_MATCH_POST_NV_P03004_BLUE</t>
  </si>
  <si>
    <t>EFUSE_READ_DIEID_I3C_S5_BLANKCHECK_POST_NV_P03004_BLUE</t>
  </si>
  <si>
    <t>EFUSE_WRITE_DIEID_I3C_S5_EXP_POST_NV_P03004_BLUE</t>
  </si>
  <si>
    <t>EFUSE_WRITE_DIEID_I3C_S5_ACT_POST_NV_P03004_BLUE</t>
  </si>
  <si>
    <t>EFUSE_WRITE_DIEID_I3C_S5_MATCH_POST_NV_P03004_BLUE</t>
  </si>
  <si>
    <t>EFUSE_WRITE_DIEID_MIPI_CLK90_PRE_X_NV_P03004_RED</t>
  </si>
  <si>
    <t>MIPI Trimming(RED)</t>
  </si>
  <si>
    <t>7</t>
  </si>
  <si>
    <t>EFUSE_WRITE_DIEID_MIPI_CLK270_PRE_X_NV_P03004_RED</t>
  </si>
  <si>
    <t>EFUSE_WRITE_DIEID_MIPI_DATA90_PRE_X_NV_P03004_RED</t>
  </si>
  <si>
    <t>EFUSE_WRITE_DIEID_MIPI_DATA270_PRE_X_NV_P03004_RED</t>
  </si>
  <si>
    <t>EFUSE_READ_DIEID_MIPI_CLK90_BLANKCHECK_X_NV_P03004_RED</t>
  </si>
  <si>
    <t>EFUSE_WRITE_DIEID_MIPI_CLK90_EXP_X_NV_P03004_RED</t>
  </si>
  <si>
    <t>EFUSE_WRITE_DIEID_MIPI_CLK90_ACT_X_NV_P03004_RED</t>
  </si>
  <si>
    <t>EFUSE_WRITE_DIEID_MIPI_CLK90_MATCH_X_NV_P03004_RED</t>
  </si>
  <si>
    <t>EFUSE_READ_DIEID_MIPI_CLK270_BLANKCHECK_X_NV_P03004_RED</t>
  </si>
  <si>
    <t>EFUSE_WRITE_DIEID_MIPI_CLK270_EXP_X_NV_P03004_RED</t>
  </si>
  <si>
    <t>EFUSE_WRITE_DIEID_MIPI_CLK270_ACT_X_NV_P03004_RED</t>
  </si>
  <si>
    <t>EFUSE_WRITE_DIEID_MIPI_CLK270_MATCH_X_NV_P03004_RED</t>
  </si>
  <si>
    <t>EFUSE_READ_DIEID_MIPI_DATA90_BLANKCHECK_X_NV_P03004_RED</t>
  </si>
  <si>
    <t>EFUSE_WRITE_DIEID_MIPI_DATA90_EXP_X_NV_P03004_RED</t>
  </si>
  <si>
    <t>EFUSE_WRITE_DIEID_MIPI_DATA90_ACT_X_NV_P03004_RED</t>
  </si>
  <si>
    <t>EFUSE_WRITE_DIEID_MIPI_DATA90_MATCH_X_NV_P03004_RED</t>
  </si>
  <si>
    <t>EFUSE_READ_DIEID_MIPI_DATA270_BLANKCHECK_X_NV_P03004_RED</t>
  </si>
  <si>
    <t>EFUSE_WRITE_DIEID_MIPI_DATA270_EXP_X_NV_P03004_RED</t>
  </si>
  <si>
    <t>EFUSE_WRITE_DIEID_MIPI_DATA270_ACT_X_NV_P03004_RED</t>
  </si>
  <si>
    <t>EFUSE_WRITE_DIEID_MIPI_DATA270_MATCH_X_NV_P03004_RED</t>
  </si>
  <si>
    <t>EFUSE_READ_DIEID_MIPI_POINTA_EXP_X_NV_P03004_RED</t>
  </si>
  <si>
    <t>EFUSE_READ_DIEID_MIPI_POINTB_EXP_X_NV_P03004_RED</t>
  </si>
  <si>
    <t>EFUSE_READ_DIEID_MIPI_POINTA_ACT_CURRENT_NV_P03004_RED</t>
  </si>
  <si>
    <t>nA</t>
  </si>
  <si>
    <t>EFUSE_READ_DIEID_MIPI_POINTA_DIFF_CURRENT_NV_P03004_RED</t>
  </si>
  <si>
    <t>EFUSE_READ_DIEID_MIPI_POINTB_ACT_CURRENT_NV_P03004_RED</t>
  </si>
  <si>
    <t>EFUSE_READ_DIEID_MIPI_POINTB_DIFF_CURRENT_NV_P03004_RED</t>
  </si>
  <si>
    <t>EFUSE_READ_DIEID_MIPI_AVEE_ACT_BLANKCHECK_P03004_RED</t>
  </si>
  <si>
    <t>EFUSE_WRITE_DIEID_MIPI_AVEE_EXP_X_P03004_RED</t>
  </si>
  <si>
    <t>EFUSE_READ_DIEID_MIPI_AVEE_ACT_MATCH_P03004_RED</t>
  </si>
  <si>
    <t>EFUSE_WRITE_DIEID_MIPI_CLK90_PRE_X_P03004_GREEN</t>
  </si>
  <si>
    <t>MIPI Trimming(GREEN)</t>
  </si>
  <si>
    <t>EFUSE_WRITE_DIEID_MIPI_CLK270_PRE_X_P03004_GREEN</t>
  </si>
  <si>
    <t>EFUSE_WRITE_DIEID_MIPI_DATA90_PRE_X_P03004_GREEN</t>
  </si>
  <si>
    <t>EFUSE_WRITE_DIEID_MIPI_DATA270_PRE_X_P03004_GREEN</t>
  </si>
  <si>
    <t>EFUSE_READ_DIEID_MIPI_CLK90_PRE_BLANKCHECK_P03004_GREEN</t>
  </si>
  <si>
    <t>EFUSE_WRITE_DIEID_MIPI_CLK90_EXP_X_P03004_GREEN</t>
  </si>
  <si>
    <t>EFUSE_WRITE_DIEID_MIPI_CLK90_ACT_X_P03004_GREEN</t>
  </si>
  <si>
    <t>EFUSE_READ_DIEID_MIPI_CLK90_ACT_MATCH_P03004_GREEN</t>
  </si>
  <si>
    <t>EFUSE_READ_DIEID_MIPI_CLK270_PRE_BLANKCHECK_P03004_GREEN</t>
  </si>
  <si>
    <t>EFUSE_WRITE_DIEID_MIPI_CLK270_EXP_X_P03004_GREEN</t>
  </si>
  <si>
    <t>EFUSE_WRITE_DIEID_MIPI_CLK270_ACT_X_P03004_GREEN</t>
  </si>
  <si>
    <t>EFUSE_WRITE_DIEID_MIPI_CLK270_ACT_MATCH_P03004_GREEN</t>
  </si>
  <si>
    <t>EFUSE_READ_DIEID_MIPI_DATA90_ACT_BLANKCHECK_P03004_GREEN</t>
  </si>
  <si>
    <t>EFUSE_WRITE_DIEID_MIPI_DATA90_EXP_X_P03004_GREEN</t>
  </si>
  <si>
    <t>EFUSE_WRITE_DIEID_MIPI_DATA90_ACT_X_P03004_GREEN</t>
  </si>
  <si>
    <t>EFUSE_READ_DIEID_MIPI_DATA90_ACT_MATCH_P03004_GREEN</t>
  </si>
  <si>
    <t>EFUSE_READ_DIEID_MIPI_DATA270_PRE_BLANKCHECK_P03004_GREEN</t>
  </si>
  <si>
    <t>EFUSE_WRITE_DIEID_MIPI_DATA270_EXP_X_P03004_GREEN</t>
  </si>
  <si>
    <t>EFUSE_WRITE_DIEID_MIPI_DATA270_ACT_X_P03004_GREEN</t>
  </si>
  <si>
    <t>EFUSE_WRITE_DIEID_MIPI_DATA270_ACT_MATCH_P03004_GREEN</t>
  </si>
  <si>
    <t>EFUSE_READ_DIEID_MIPI_POINTA_EXP_X_P03004_GREEN</t>
  </si>
  <si>
    <t>EFUSE_READ_DIEID_MIPI_POINTB_EXP_X_P03004_GREEN</t>
  </si>
  <si>
    <t>EFUSE_READ_DIEID_MIPI_POINTA_ACT_CURRENT_P03004_GREEN</t>
  </si>
  <si>
    <t>EFUSE_READ_DIEID_MIPI_POINTA_DIFF_CURRENT_P03004_GREEN</t>
  </si>
  <si>
    <t>EFUSE_READ_DIEID_MIPI_POINTB_ACT_CURRENT_P03004_GREEN</t>
  </si>
  <si>
    <t>EFUSE_READ_DIEID_MIPI_POINTB_DIFF_CURRENT_P03004_GREEN</t>
  </si>
  <si>
    <t>EFUSE_READ_DIEID_MIPI_AVEE_ACT_BLANKCHECK_P03004_GREEN</t>
  </si>
  <si>
    <t>EFUSE_WRITE_DIEID_MIPI_AVEE_EXP_X_P03004_GREEN</t>
  </si>
  <si>
    <t>EFUSE_READ_DIEID_MIPI_AVEE_ACT_MATCH_P03004_GREEN</t>
  </si>
  <si>
    <t>EFUSE_WRITE_DIEID_MIPI_CLK90_PRE_X_NV_P03004_BLUE</t>
  </si>
  <si>
    <t>MIPI Trimming(BLUE)</t>
  </si>
  <si>
    <t>EFUSE_WRITE_DIEID_MIPI_CLK270_PRE_X_NV_P03004_BLUE</t>
  </si>
  <si>
    <t>EFUSE_WRITE_DIEID_MIPI_DATA90_PRE_X_NV_P03004_BLUE</t>
  </si>
  <si>
    <t>EFUSE_WRITE_DIEID_MIPI_DATA270_PRE_X_NV_P03004_BLUE</t>
  </si>
  <si>
    <t>EFUSE_READ_DIEID_MIPI_CLK90_BLANKCHECK_X_NV_P03004_BLUE</t>
  </si>
  <si>
    <t>EFUSE_WRITE_DIEID_MIPI_CLK90_EXP_X_NV_P03004_BLUE</t>
  </si>
  <si>
    <t>EFUSE_WRITE_DIEID_MIPI_CLK90_ACT_X_NV_P03004_BLUE</t>
  </si>
  <si>
    <t>EFUSE_READ_DIEID_MIPI_CLK90_MATCH_X_NV_P03004_BLUE</t>
  </si>
  <si>
    <t>EFUSE_READ_DIEID_MIPI_CLK270_BLANKCHECK_X_NV_P03004_BLUE</t>
  </si>
  <si>
    <t>EFUSE_WRITE_DIEID_MIPI_CLK270_EXP_X_NV_P03004_BLUE</t>
  </si>
  <si>
    <t>EFUSE_WRITE_DIEID_MIPI_CLK270_ACT_X_NV_P03004_BLUE</t>
  </si>
  <si>
    <t>EFUSE_WRITE_DIEID_MIPI_CLK270_MATCH_X_NV_P03004_BLUE</t>
  </si>
  <si>
    <t>EFUSE_READ_DIEID_MIPI_DATA90_BLANKCHECK_X_NV_P03004_BLUE</t>
  </si>
  <si>
    <t>EFUSE_WRITE_DIEID_MIPI_DATA90_EXP_X_NV_P03004_BLUE</t>
  </si>
  <si>
    <t>EFUSE_WRITE_DIEID_MIPI_DATA90_ACT_X_NV_P03004_BLUE</t>
  </si>
  <si>
    <t>EFUSE_READ_DIEID_MIPI_DATA90_MATCH_X_NV_P03004_BLUE</t>
  </si>
  <si>
    <t>EFUSE_READ_DIEID_MIPI_DATA270_BLANKCHECK_X_NV_P03004_BLUE</t>
  </si>
  <si>
    <t>EFUSE_WRITE_DIEID_MIPI_DATA270_EXP_X_NV_P03004_BLUE</t>
  </si>
  <si>
    <t>EFUSE_WRITE_DIEID_MIPI_DATA270_ACT_X_NV_P03004_BLUE</t>
  </si>
  <si>
    <t>EFUSE_WRITE_DIEID_MIPI_DATA270_MATCH_X_NV_P03004_BLUE</t>
  </si>
  <si>
    <t>EFUSE_READ_DIEID_MIPI_POINTA_EXP_X_NV_P03004_BLUE</t>
  </si>
  <si>
    <t>EFUSE_READ_DIEID_MIPI_POINTB_EXP_X_NV_P03004_BLUE</t>
  </si>
  <si>
    <t>EFUSE_READ_DIEID_MIPI_POINTA_ACT_CURRENT_NV_P03004_BLUE</t>
  </si>
  <si>
    <t>EFUSE_READ_DIEID_MIPI_POINTA_DIFF_CURRENT_NV_P03004_BLUE</t>
  </si>
  <si>
    <t>EFUSE_READ_DIEID_MIPI_POINTB_ACT_CURRENT_NV_P03004_BLUE</t>
  </si>
  <si>
    <t>EFUSE_READ_DIEID_MIPI_POINTB_DIFF_CURRENT_NV_P03004_BLUE</t>
  </si>
  <si>
    <t>EFUSE_READ_DIEID_MIPI_AVEE_ACT_BLANKCHECK_NV_P03004_BLUE</t>
  </si>
  <si>
    <t>EFUSE_WRITE_DIEID_MIPI_AVEE_EXP_X_P03004_NV_BLUE</t>
  </si>
  <si>
    <t>EFUSE_READ_DIEID_MIPI_AVEE_ACT_MATCH_P03004_NV_BLUE</t>
  </si>
  <si>
    <t>DC_INIT_CURRENT_VDD18_X_X_X_NV_P03004_RED</t>
  </si>
  <si>
    <t>DC_INIT_CURRENT_VDD10_X_X_X_NV_P03004_RED</t>
  </si>
  <si>
    <t>DC_INIT_CURRENT_VQPS_X_X_X_NV_P03004_RED</t>
  </si>
  <si>
    <t>DC_INIT_CURRENT_AVEE_X_X_X_NV_P03004_RED</t>
  </si>
  <si>
    <t>DC_INIT_CURRENT_VDD18_X_X_X_NV_P03004_GREEN</t>
  </si>
  <si>
    <t>DC_INIT_CURRENT_VDD10_X_X_X_NV_P03004_GREEN</t>
  </si>
  <si>
    <t>DC_INIT_CURRENT_VQPS_X_X_X_NV_P03004_GREEN</t>
  </si>
  <si>
    <t>DC_INIT_CURRENT_AVEE_X_X_X_NV_P03004_GREEN</t>
  </si>
  <si>
    <t>DC_INIT_CURRENT_VDD18_X_X_X_NV_P03004_BLUE</t>
  </si>
  <si>
    <t>DC_INIT_CURRENT_VDD10_X_X_X_NV_P03004_BLUE</t>
  </si>
  <si>
    <t>DC_INIT_CURRENT_VQPS_X_X_X_NV_P03004_BLUE</t>
  </si>
  <si>
    <t>DC_INIT_CURRENT_AVEE_X_X_X_NV_P03004_BLUE</t>
  </si>
  <si>
    <t>TEMPSNS_STANDBY_THERM0_I3C_DEGREEC_IDEL_X_NV_P03004_RED</t>
  </si>
  <si>
    <t>TEMPSNS_STANDBY_THERM1_I3C_DEGREEC_IDEL_X_NV_P03004_RED</t>
  </si>
  <si>
    <t>TEMPSNS_ACTIVE_THERM0_I3C_DEGREEC_SYSSPEC_X_NV_P03004_RED</t>
  </si>
  <si>
    <t>TEMPSNS_ACTIVE_THERM1_I3C_DEGREEC_SYSSPEC_X_NV_P03004_RED</t>
  </si>
  <si>
    <t>TEMPSNS_ACTIVE_THERM0_I3C_DEGREEC_SYSANSI_X_NV_P03004_RED</t>
  </si>
  <si>
    <t>TEMPSNS_ACTIVE_THERM1_I3C_DEGREEC_SYSANSI_X_NV_P03004_RED</t>
  </si>
  <si>
    <t>TEMPSNS_STANDBY_THERM0_I2C_DEGREEC_IDEL_X_NV_P03004_GREEN</t>
  </si>
  <si>
    <t>TEMPSNS_STANDBY_THERM1_I2C_DEGREEC_IDEL_X_NV_P03004_GREEN</t>
  </si>
  <si>
    <t>TEMPSNS_ACTIVE_THERM0_I2C_DEGREEC_SYSSPEC_X_NV_P03004_GREEN</t>
  </si>
  <si>
    <t>TEMPSNS_ACTIVE_THERM1_I2C_DEGREEC_SYSSPEC_X_NV_P03004_GREEN</t>
  </si>
  <si>
    <t>TEMPSNS_ACTIVE_THERM0_I2C_DEGREEC_SYSANSI_X_NV_P03004_GREEN</t>
  </si>
  <si>
    <t>TEMPSNS_ACTIVE_THERM1_I2C_DEGREEC_SYSANSI_X_NV_P03004_GREEN</t>
  </si>
  <si>
    <t>TEMPSNS_STANDBY_THERM0_I2C_DEGREEC_IDEL_X_NV_P03004_BLUE</t>
  </si>
  <si>
    <t>TEMPSNS_STANDBY_THERM1_I2C_DEGREEC_IDEL_X_NV_P03004_BLUE</t>
  </si>
  <si>
    <t>TEMPSNS_ACTIVE_THERM0_I2C_DEGREEC_SYSSPEC_X_NV_P03004_BLUE</t>
  </si>
  <si>
    <t>TEMPSNS_ACTIVE_THERM1_I2C_DEGREEC_SYSSPEC_X_NV_P03004_BLUE</t>
  </si>
  <si>
    <t>TEMPSNS_ACTIVE_THERM0_I2C_DEGREEC_SYSANSI_X_NV_P03004_BLUE</t>
  </si>
  <si>
    <t>TEMPSNS_ACTIVE_THERM1_I2C_DEGREEC_SYSANSI_X_NV_P03004_BLUE</t>
  </si>
  <si>
    <t>FUNC_COM_DPHY_AAAAAAAA_X_X_H4_NV_P03004_RED</t>
  </si>
  <si>
    <t>FUNC_COM_DPHY_AAAAAAAA_X_X_L4_NV_P03004_RED</t>
  </si>
  <si>
    <t>FUNC_COM_DPHY_55555555_X_X_H4_NV_P03004_RED</t>
  </si>
  <si>
    <t>FUNC_COM_DPHY_55555555_X_X_L4_NV_P03004_RED</t>
  </si>
  <si>
    <t>FUNC_COM_DPHY_FFFFFFFF_X_X_H4_NV_P03004_RED</t>
  </si>
  <si>
    <t>FUNC_COM_DPHY_FFFFFFFF_X_X_L4_NV_P03004_RED</t>
  </si>
  <si>
    <t>FUNC_COM_DPHY_00000000_X_X_H4_NV_P03004_RED</t>
  </si>
  <si>
    <t>FUNC_COM_DPHY_00000000_X_X_L4_NV_P03004_RED</t>
  </si>
  <si>
    <t>FUNC_COM_DPHY_AAAAAAAA_X_X_H4_NV_P03004_GREEN</t>
  </si>
  <si>
    <t>FUNC_COM_DPHY_AAAAAAAA_X_X_L4_NV_P03004_GREEN</t>
  </si>
  <si>
    <t>FUNC_COM_DPHY_55555555_X_X_H4_NV_P03004_GREEN</t>
  </si>
  <si>
    <t>FUNC_COM_DPHY_55555555_X_X_L4_NV_P03004_GREEN</t>
  </si>
  <si>
    <t>FUNC_COM_DPHY_FFFFFFFF_X_X_H4_NV_P03004_GREEN</t>
  </si>
  <si>
    <t>FUNC_COM_DPHY_FFFFFFFF_X_X_L4_NV_P03004_GREEN</t>
  </si>
  <si>
    <t>FUNC_COM_DPHY_00000000_X_X_H4_NV_P03004_GREEN</t>
  </si>
  <si>
    <t>FUNC_COM_DPHY_00000000_X_X_L4_NV_P03004_GREEN</t>
  </si>
  <si>
    <t>FUNC_COM_DPHY_AAAAAAAA_X_X_H4_NV_P03004_BLUE</t>
  </si>
  <si>
    <t>FUNC_COM_DPHY_AAAAAAAA_X_X_L4_NV_P03004_BLUE</t>
  </si>
  <si>
    <t>FUNC_COM_DPHY_55555555_X_X_H4_NV_P03004_BLUE</t>
  </si>
  <si>
    <t>FUNC_COM_DPHY_55555555_X_X_L4_NV_P03004_BLUE</t>
  </si>
  <si>
    <t>FUNC_COM_DPHY_FFFFFFFF_X_X_H4_NV_P03004_BLUE</t>
  </si>
  <si>
    <t>FUNC_COM_DPHY_FFFFFFFF_X_X_L4_NV_P03004_BLUE</t>
  </si>
  <si>
    <t>FUNC_COM_DPHY_00000000_X_X_H4_NV_P03004_BLUE</t>
  </si>
  <si>
    <t>FUNC_COM_DPHY_00000000_X_X_L4_NV_P03004_BLUE</t>
  </si>
  <si>
    <t>FUNC_COM_DPHY_CHECK_X_X_H4_NV_P03004_RED</t>
  </si>
  <si>
    <t>FUNC_COM_DPHY_CHECK_X_X_H4_NV_P03004_GREEN</t>
  </si>
  <si>
    <t>FUNC_COM_DPHY_CHECK_X_X_H4_NV_P03004_BLUE</t>
  </si>
  <si>
    <t>FUNC_DEMURALOAD_FOUNDFILE_X_X_X_H4_NV_P03004_RED</t>
  </si>
  <si>
    <t>Load Demura Table</t>
  </si>
  <si>
    <t>FUNC_DEMURALOAD_DPHY_LOADSUCCESS_X_X_H4_NV_P03004_RED</t>
  </si>
  <si>
    <t>FUNC_DEMURALOAD_FOUNDFILE_X_X_X_H4_NV_P03004_GREEN</t>
  </si>
  <si>
    <t>FUNC_DEMURALOAD_DPHY_LOADSUCCESS_X_X_H4_NV_P03004_GREEN</t>
  </si>
  <si>
    <t>FUNC_DEMURALOAD_FOUNDFILE_X_X_X_H4_NV_P03004_BLUE</t>
  </si>
  <si>
    <t>FUNC_DEMURALOAD_DPHY_LOADSUCCESS_X_X_H4_NV_P03004_BLUE</t>
  </si>
  <si>
    <t>DC_ACTIVE_CURRENT_VDD18_X_X_X_NV_P03004_RED</t>
  </si>
  <si>
    <t>Active Power Test
In Panel ANSI demura off</t>
  </si>
  <si>
    <t>DC_ACTIVE_CURRENT_VDD10_X_X_X_NV_P03004_RED</t>
  </si>
  <si>
    <t>DC_ACTIVE_CURRENT_VQPS_X_X_X_NV_P03004_RED</t>
  </si>
  <si>
    <t>DC_ACTIVE_CURRENT_AVEE_X_X_X_NV_P03004_RED</t>
  </si>
  <si>
    <t>Active Power Test
In Panel ANSI demura on</t>
  </si>
  <si>
    <t>DC_ACTIVE_CURRENT_VDD18_X_X_X_NV_P03004_GREEN</t>
  </si>
  <si>
    <t>DC_ACTIVE_CURRENT_VDD10_X_X_X_NV_P03004_GREEN</t>
  </si>
  <si>
    <t>DC_ACTIVE_CURRENT_VQPS_X_X_X_NV_P03004_GREEN</t>
  </si>
  <si>
    <t>DC_ACTIVE_CURRENT_AVEE_X_X_X_NV_P03004_GREEN</t>
  </si>
  <si>
    <t>DC_ACTIVE_CURRENT_VDD18_X_X_X_NV_P03004_BLUE</t>
  </si>
  <si>
    <t>DC_ACTIVE_CURRENT_VDD10_X_X_X_NV_P03004_BLUE</t>
  </si>
  <si>
    <t>DC_ACTIVE_CURRENT_VQPS_X_X_X_NV_P03004_BLUE</t>
  </si>
  <si>
    <t>DC_ACTIVE_CURRENT_AVEE_X_X_X_NV_P03004_BLUE</t>
  </si>
  <si>
    <t>OPTICAL_AVEE_X_X_X_X_X_NV_P03004_RED</t>
  </si>
  <si>
    <t>Optical Driving Condition record(Voltage, current, DAC word)</t>
  </si>
  <si>
    <t>OPTICAL_PIXELCURRENT_X_X_X_X_X_NV_P03004_RED</t>
  </si>
  <si>
    <t>uA</t>
  </si>
  <si>
    <t>OPTICAL_DACWORD_X_X_X_X_X_NV_P03004_RED</t>
  </si>
  <si>
    <t>OPTICAL_AVEE_X_X_X_X_X_NV_P03004_GREEN</t>
  </si>
  <si>
    <t>OPTICAL_PIXELCURRENT_X_X_X_X_X_NV_P03004_GREEN</t>
  </si>
  <si>
    <t>OPTICAL_DACWORD_X_X_X_X_X_NV_P03004_GREEN</t>
  </si>
  <si>
    <t>OPTICAL_AVEE_X_X_X_X_X_NV_P03004_BLUE</t>
  </si>
  <si>
    <t>OPTICAL_PIXELCURRENT_X_X_X_X_X_NV_P03004_BLUE</t>
  </si>
  <si>
    <t>OPTICAL_DACWORD_X_X_X_X_X_NV_P03004_BLUE</t>
  </si>
  <si>
    <t>OPTIC_COMMONSETTING_FRAMERATE_X_X_X_X_NV_P03004_X</t>
  </si>
  <si>
    <t>90</t>
  </si>
  <si>
    <t>OPTIC_COMMONSETTING_NDFILTER_X_X_X_X_NV_P03004_X</t>
  </si>
  <si>
    <t>OPTIC_IMG_ALLON_PREFOCUS_N1P8V_3P2UA_4P59%_NV_P03004_RED</t>
  </si>
  <si>
    <t>Save Image - All On - PreFocus- DemuraOFF</t>
  </si>
  <si>
    <t>OPTIC_IMG_ALLON1_POSTFOCUS_N1P8V_3P2UA_4P59%_NV_P03004_RED</t>
  </si>
  <si>
    <t>Save Image - All on- Post Focus Cal</t>
  </si>
  <si>
    <t>OPTIC_IMG_ALLON1_FRAMECNT_N1P8V_3P2UA_4P59%_NV_P03004_RED</t>
  </si>
  <si>
    <t>OPTIC_IMG_ALLON2_DEMURAOFF_N1p8V_3P2UA_4P59%_NV_P03004_RED</t>
  </si>
  <si>
    <t>OPTIC_IMG_ALLON2_FRAMECNT_N1p8V_3P2UA_4P59%_NV_P03004_RED</t>
  </si>
  <si>
    <t>OPTIC_IMG_ALLON3_DEMURAON_N1p8V_3P2UA_4P59%_NV_P03004_RED</t>
  </si>
  <si>
    <t>OPTIC_IMG_ALLON3_FRAMECNT_N1p8V_3P2UA_4P59%_NV_P03004_RED</t>
  </si>
  <si>
    <t>OPTIC_IMG_ALLON_PREFOCUS_N3V_0P7UA_4P59%_NV_P03004_GREEN</t>
  </si>
  <si>
    <t>OPTIC_IMG_ALLON1_POSTFOCUS_N3V_0P7UA_4P59%_NV_P03004_GREEN</t>
  </si>
  <si>
    <t>OPTIC_IMG_ALLON1_FRAMECNT_N3V_0P7UA_4P59%_NV_P03004_GREEN</t>
  </si>
  <si>
    <t>OPTIC_IMG_ALLON2_DEMURAOFF_N1p8V_3P2UA_4P59%_NV_P03004_GREEN</t>
  </si>
  <si>
    <t>OPTIC_IMG_ALLON2_FRAMECNT_N1p8V_3P2UA_4P59%_NV_P03004_GREEN</t>
  </si>
  <si>
    <t>OPTIC_IMG_ALLON3_DEMURAON_N1p8V_3P2UA_4P59%_NV_P03004_GREEN</t>
  </si>
  <si>
    <t>OPTIC_IMG_ALLON3_FRAMECNT_N1p8V_3P2UA_4P59%_NV_P03004_GREEN</t>
  </si>
  <si>
    <t>OPTIC_IMG_ALLON_PREFOCUS_N3V_1UA_4P59%_NV_P03004_BLUE</t>
  </si>
  <si>
    <t>OPTIC_IMG_ALLON1_POSTFOCUS_N3V_1UA_4P59%_NV_P03004_BLUE</t>
  </si>
  <si>
    <t>OPTIC_IMG_ALLON1_FRAMECNT_N3V_1UA_4P59%_NV_P03004_BLUE</t>
  </si>
  <si>
    <t>15</t>
  </si>
  <si>
    <t>OPTIC_IMG_ALLON2_DEMURAOFF_N1p8V_3P2UA_4P59%_NV_P03004_BLUE</t>
  </si>
  <si>
    <t>OPTIC_IMG_ALLON2_FRAMECNT_N1p8V_3P2UA_4P59%_NV_P03004_BLUE</t>
  </si>
  <si>
    <t>OPTIC_IMG_ALLON3_DEMURAON_N1p8V_3P2UA_4P59%_NV_P03004_BLUE</t>
  </si>
  <si>
    <t>OPTIC_IMG_ALLON3_FRAMECNT_N1p8V_3P2UA_4P59%_NV_P03004_BLUE</t>
  </si>
  <si>
    <t>OPTIC_ANSI-DEMURAOFF_ALLON_X_N1P8V_3P2UA_4P59%_NV_P03004_RED</t>
  </si>
  <si>
    <t>ANSI_SysCond(demura off RED)</t>
  </si>
  <si>
    <t>OPTIC_ANSI-DEMURAOFF_ALLON_NORM30%_N1P8V_3P2UA_4P59%_NV_P03004_RED</t>
  </si>
  <si>
    <t>OPTIC_ANSI-DEMURAOFF_EXPOSETIME_X_N1P8V_3P2UA_4P59%_NV_P03004_RED</t>
  </si>
  <si>
    <t>OPTIC_ANSI-DEMURAOFF_FRAMECNT_X_N1P8V_3P2UA_4P59%_NV_P03004_RED</t>
  </si>
  <si>
    <t>OPTIC_ANSI-DEMURAOFF_UNIFORMITY%MINMAX_144UM_N1P8V_3P2UA_4P59%_NV_P03004_RED</t>
  </si>
  <si>
    <t>OPTIC_ANSI-DEMURAOFF_UNIFORMITY%5THPERCENTILE_144UM_N1P8V_3P2UA_4P59%_NV_P03004_RED</t>
  </si>
  <si>
    <t>OPTIC_ANSI-DEMURAOFF_UNIFORMITY%STDEV_144UM_N1P8V_3P2UA_4P59%_NV_P03004_RED</t>
  </si>
  <si>
    <t>OPTIC_ANSI-DEMURAOFF_FLAG_OVEREXP_N1P8V_3P2UA_4P59%_NV_P03004_RED</t>
  </si>
  <si>
    <t>OPTIC_ANSI-DEMURAOFF_CDPERW_18P5DEG_N1P8V_3P2UA_4P59%_NV_P03004_RED</t>
  </si>
  <si>
    <t>3.2 for drop 1</t>
  </si>
  <si>
    <t>OPTIC_ANSI-DEMURAON_ALLON_X_N1P8V_3P2UA_4P59%_NV_P03004_RED</t>
  </si>
  <si>
    <t>ANSI_SysCond( demura on RED)</t>
  </si>
  <si>
    <t>OPTIC_ANSI-DEMURAON_ALLON_NORM30%_N1P8V_3P2UA_4P59%_NV_P03004_RED</t>
  </si>
  <si>
    <t>OPTIC_ANSI-DEMURAON_EXPOSETIME_X_N1P8V_3P2UA_4P59%_NV_P03004_RED</t>
  </si>
  <si>
    <t>OPTIC_ANSI-DEMURAON_FRAMECNT_X_N1P8V_3P2UA_4P59%_NV_P03004_RED</t>
  </si>
  <si>
    <t>OPTIC_ANSI-DEMURAON_UNIFORMITY%MINMAX_144UM_N1P8V_3P2UA_4P59%_NV_P03004_RED</t>
  </si>
  <si>
    <t>OPTIC_ANSI-DEMURAON_UNIFORMITY%5THPERCENTILE_144UM_N1P8V_3P2UA_4P59%_NV_P03004_RED</t>
  </si>
  <si>
    <t>OPTIC_ANSI-DEMURAON_UNIFORMITY%STDEV_144UM_N1P8V_3P2UA_4P59%_NV_P03004_RED</t>
  </si>
  <si>
    <t>OPTIC_ANSI-DEMURAON_FLAG_OVEREXP_N1P8V_3P2UA_4P59%_NV_P03004_RED</t>
  </si>
  <si>
    <t>OPTIC_ANSI-DEMURAON_CDPERW_18P5DEG_N1P8V_3P2UA_4P59%_NV_P03004_RED</t>
  </si>
  <si>
    <t>OPTIC_ANSI-DEMURAOFF_ALLON_X_N3V_0P7UA_4P59%_NV_P03004_GREEN</t>
  </si>
  <si>
    <t>ANSI_SysCond(demura off GREEN)</t>
  </si>
  <si>
    <t>OPTIC_ANSI-DEMURAOFF_ALLON_NORM39%_N3V_0P7UA_4P59%_NV_P03004_GREEN</t>
  </si>
  <si>
    <t>OPTIC_ANSI-DEMURAOFF_EXPOSETIME_X_N3V_0P7UA_4P59%_NV_P03004_GREEN</t>
  </si>
  <si>
    <t>OPTIC_ANSI-DEMURAOFF_FRAMECNT_X_N3V_0P7UA_4P59%_NV_P03004_GREEN</t>
  </si>
  <si>
    <t>OPTIC_ANSI-DEMURAOFF_UNIFORMITY%MINMAX_144UM_N3V_0P7UA_4P59%_NV_P03004_GREEN</t>
  </si>
  <si>
    <t>OPTIC_ANSI-DEMURAOFF_UNIFORMITY%5THPERCENTILE_144UM_N3V_0P7UA_4P59%_NV_P03004_GREEN</t>
  </si>
  <si>
    <t>OPTIC_ANSI-DEMURAOFF_UNIFORMITY%STDEV_144UM_N3V_0P7UA_4P59%_NV_P03004_GREEN</t>
  </si>
  <si>
    <t>OPTIC_ANSI-DEMURAOFF_FLAG_OVEREXP_N3V_0P7UA_4P59%_NV_P03004_GREEN</t>
  </si>
  <si>
    <t>OPTIC_ANSI-DEMURAOFF_CDPERW_18P5DEG_N3V_0P7UA_4P59%_NV_P03004_GREEN</t>
  </si>
  <si>
    <t>14 for drop 1</t>
  </si>
  <si>
    <t>OPTIC_ANSI-DEMURAON_ALLON_X_N3V_0P7UA_4P59%_NV_P03004_GREEN</t>
  </si>
  <si>
    <t>ANSI_SysCond( demura on GREEN)</t>
  </si>
  <si>
    <t>OPTIC_ANSI-DEMURAON_ALLON_NORM39%_N3V_0P7UA_4P59%_NV_P03004_GREEN</t>
  </si>
  <si>
    <t>OPTIC_ANSI-DEMURAON_EXPOSETIME_X_N3V_0P7UA_4P59%_NV_P03004_GREEN</t>
  </si>
  <si>
    <t>OPTIC_ANSI-DEMURAON_FRAMECNT_X_N3V_0P7UA_4P59%_NV_P03004_GREEN</t>
  </si>
  <si>
    <t>OPTIC_ANSI-DEMURAON_UNIFORMITY%MINMAX_144UM_N3V_0P7UA_4P59%_NV_P03004_GREEN</t>
  </si>
  <si>
    <t>OPTIC_ANSI-DEMURAON_UNIFORMITY%5THPERCENTILE_144UM_N3V_0P7UA_4P59%_NV_P03004_GREEN</t>
  </si>
  <si>
    <t>OPTIC_ANSI-DEMURAON_UNIFORMITY%STDEV_144UM_N3V_0P7UA_4P59%_NV_P03004_GREEN</t>
  </si>
  <si>
    <t>OPTIC_ANSI-DEMURAON_FLAG_OVEREXP_N3V_0P7UA_4P59%_NV_P03004_GREEN</t>
  </si>
  <si>
    <t>OPTIC_ANSI-DEMURAON_CDPERW_18P5DEG_N3V_0P7UA_4P59%_NV_P03004_GREEN</t>
  </si>
  <si>
    <t>OPTIC_ANSI-DEMURAOFF_ALLON_X_N3V_1UA_4P59%_NV_P03004_BLUE</t>
  </si>
  <si>
    <t>ANSI_SysCond(demura off BLUE)</t>
  </si>
  <si>
    <t>OPTIC_ANSI-DEMURAOFF_ALLON_NORM30%_N3V_1UA_4P59%_NV_P03004_BLUE</t>
  </si>
  <si>
    <t>OPTIC_ANSI-DEMURAOFF_EXPOSETIME_X_N3V_1UA_4P59%_NV_P03004_BLUE</t>
  </si>
  <si>
    <t>OPTIC_ANSI-DEMURAOFF_FRAMECNT_X_N3V_1UA_4P59%_NV_P03004_BLUE</t>
  </si>
  <si>
    <t>OPTIC_ANSI-DEMURAOFF_UNIFORMITY%MINMAX_144UM_N3V_1UA_4P59%_NV_P03004_BLUE</t>
  </si>
  <si>
    <t>OPTIC_ANSI-DEMURAOFF_UNIFORMITY%5THPERCENTILE_144UM_N3V_1UA_4P59%_NV_P03004_BLUE</t>
  </si>
  <si>
    <t>OPTIC_ANSI-DEMURAOFF_UNIFORMITY%STDEV_144UM_N3V_1UA_4P59%_NV_P03004_BLUE</t>
  </si>
  <si>
    <t>OPTIC_ANSI-DEMURAOFF_FLAG_OVEREXP_N3V_1UA_4P59%_NV_P03004_BLUE</t>
  </si>
  <si>
    <t>OPTIC_ANSI-DEMURAOFF_CDPERW_18P5DEG_N3V_1UA_4P59%_NV_P03004_BLUE</t>
  </si>
  <si>
    <t>0.6 for drop1</t>
  </si>
  <si>
    <t>OPTIC_ANSI-DEMURAON_ALLON_X_N3V_1UA_4P59%_NV_P03004_BLUE</t>
  </si>
  <si>
    <t>ANSI_SysCond( demura on BLUE)</t>
  </si>
  <si>
    <t>OPTIC_ANSI-DEMURAON_ALLON_NORM30%_N3V_1UA_4P59%_NV_P03004_BLUE</t>
  </si>
  <si>
    <t>OPTIC_ANSI-DEMURAON_EXPOSETIME_X_N3V_1UA_4P59%_NV_P03004_BLUE</t>
  </si>
  <si>
    <t>OPTIC_ANSI-DEMURAON_FRAMECNT_X_N3V_1UA_4P59%_NV_P03004_BLUE</t>
  </si>
  <si>
    <t>OPTIC_ANSI-DEMURAON_UNIFORMITY%MINMAX_144UM_N3V_1UA_4P59%_NV_P03004_BLUE</t>
  </si>
  <si>
    <t>OPTIC_ANSI-DEMURAON_UNIFORMITY%5THPERCENTILE_144UM_N3V_1UA_4P59%_NV_P03004_BLUE</t>
  </si>
  <si>
    <t>OPTIC_ANSI-DEMURAON_UNIFORMITY%STDEV_144UM_N3V_1UA_4P59%_NV_P03004_BLUE</t>
  </si>
  <si>
    <t>OPTIC_ANSI-DEMURAON_FLAG_OVEREXP_N3V_1UA_4P59%_NV_P03004_BLUE</t>
  </si>
  <si>
    <t>OPTIC_ANSI-DEMURAON_CDPERW_18P5DEG_N3V_1UA_4P59%_NV_P03004_BLUE</t>
  </si>
  <si>
    <t>OPTIC_SPEC_DOMWLTH_CENTER_N1P8V_3P2UA_4P59%_NV_P03004_RED</t>
  </si>
  <si>
    <t>OPTIC_SPEC_PKWLTH_CENTER_N1P8V_3P2UA_4P59%_NV_P03004_RED</t>
  </si>
  <si>
    <t>OPTIC_SPEC_CETLTH_CENTER_N1P8V_3P2UA_4P59%_NV_P03004_RED</t>
  </si>
  <si>
    <t>625</t>
  </si>
  <si>
    <t>635</t>
  </si>
  <si>
    <t>OPTIC_SPEC_COLORX_CENTER_N1P8V_3P2UA_4P59%_NV_P03004_RED</t>
  </si>
  <si>
    <t>OPTIC_SPEC_COLORY_CENTER_N1P8V_3P2UA_4P59%_NV_P03004_RED</t>
  </si>
  <si>
    <t>OPTIC_SPEC_SIGNALSTRENGTH_CENTER_N1P8V_3P2UA_4P59%_NV_P03004_RED</t>
  </si>
  <si>
    <t>OPTIC_SPEC_FWHM_CENTER_N1P8V_3P2UA_4P59%_NV_P03004_RED</t>
  </si>
  <si>
    <t>OPTIC_SPEC_DOMWLTH_CENTER_N3V_0P7UA_4P59%_NV_P03004_GREEN</t>
  </si>
  <si>
    <t>OPTIC_SPEC_PLWLTH_CENTER_N3V_0P7UA_4P59%_NV_P03004_GREEN</t>
  </si>
  <si>
    <t>OPTIC_SPEC_CETLTH_CENTER_N3V_0P7UA_4P59%_NV_P03004_GREEN</t>
  </si>
  <si>
    <t>515</t>
  </si>
  <si>
    <t>525 -&gt; 515</t>
  </si>
  <si>
    <t>OPTIC_SPEC_COLORX_CENTER_N3V_0P7UA_4P59%_NV_P03004_GREEN</t>
  </si>
  <si>
    <t>OPTIC_SPEC_COLORY_CENTER_N3V_0P7UA_4P59%_NV_P03004_GREEN</t>
  </si>
  <si>
    <t>OPTIC_SPEC_SIGNALSTRENGTH_CENTER_N3V_0P7UA_4P59%_NV_P03004_GREEN</t>
  </si>
  <si>
    <t>OPTIC_SPEC_FWHM_CENTER_N3V_0P7UA_4P59%_NV_P03004_GREEN</t>
  </si>
  <si>
    <t>25</t>
  </si>
  <si>
    <t>OPTIC_SPEC_DOMWLTH_CENTER_N3V_1UA_4P59%_NV_P03004_BLUE</t>
  </si>
  <si>
    <t>OPTIC_SPEC_PKWLTH_CENTER_N3V_1UA_4P59%_NV_P03004_BLUE</t>
  </si>
  <si>
    <t>OPTIC_SPEC_CETLTH_CENTER_N3V_1UA_4P59%_NV_P03004_BLUE</t>
  </si>
  <si>
    <t>470</t>
  </si>
  <si>
    <t>OPTIC_SPEC_COLORX_CENTER_N3V_1UA_4P59%_NV_P03004_BLUE</t>
  </si>
  <si>
    <t>OPTIC_SPEC_COLORY_CENTER_N3V_1UA_4P59%_NV_P03004_BLUE</t>
  </si>
  <si>
    <t>OPTIC_SPEC_SIGNALSTRENGTH_N3V_1UA_4P59%_NV_P03004_BLUE</t>
  </si>
  <si>
    <t>OPTIC_SPEC_FWHM_CENTER_N3V_1UA_4P59%_NV_P03004_BLUE</t>
  </si>
  <si>
    <t>The Hi Lo limit ?</t>
  </si>
  <si>
    <t>OPTIC_DARKPANEL_MEDIAN_X_N1P8V_3P2UA_4P59%_NV_P03004_RED</t>
  </si>
  <si>
    <t>OPTIC_DARKPANEL_MAX_X_N1P8V_3P2UA_4P59%_NV_P03004_RED</t>
  </si>
  <si>
    <t>OPTIC_DARKPANEL_FRAMECNT_X_N1P8V_3P2UA_4P59%_NV_P03004_RED</t>
  </si>
  <si>
    <t>OPTIC_DARKPANEL_MEDIAN_X_N3V_0P7UA_4P59%_NV_P03004_GREEN</t>
  </si>
  <si>
    <t>OPTIC_DARKPANEL_MAX_X_N3V_0P7UA_4P59%_NV_P03004_GREEN</t>
  </si>
  <si>
    <t>OPTIC_DARKPANEL_FRAMECNT_X_N3V_0P7UA_4P59%_NV_P03004_GREEN</t>
  </si>
  <si>
    <t>OPTIC_DARKPANEL_MEDIAN_X_N3V_1UA_4P59%_NV_P03004_BLUE</t>
  </si>
  <si>
    <t>OPTIC_DARKPANEL_MAX_X_N3V_1UA_4P59%_NV_P03004_BLUE</t>
  </si>
  <si>
    <t>OPTIC_DARKPANEL_FRAMECNT_X_N3V_1UA_4P59%_NV_P03004_BLUE</t>
  </si>
  <si>
    <t>DC_DARKPANEL_CURRENT_VDD18_X_X_X_NV_P03004_RED</t>
  </si>
  <si>
    <t>DC_DARKPANEL_CURRENT_VDD10_X_X_X_NV_P03004_RED</t>
  </si>
  <si>
    <t>DC_DARKPANEL_CURRENT_AVEE_X_X_X_NV_P03004_RED</t>
  </si>
  <si>
    <t>DC_DARKPANEL_CURRENT_VDD18_X_X_X_NV_P03004_GREEN</t>
  </si>
  <si>
    <t>DC_DARKPANEL_CURRENT_VDD10_X_X_X_NV_P03004_GREEN</t>
  </si>
  <si>
    <t>DC_DARKPANEL_CURRENT_AVEE_X_X_X_NV_P03004_GREEN</t>
  </si>
  <si>
    <t>DC_DARKPANEL_CURRENT_VDD18_X_X_X_NV_P03004_BLUE</t>
  </si>
  <si>
    <t>DC_DARKPANEL_CURRENT_VDD10_X_X_X_NV_P03004_BLUE</t>
  </si>
  <si>
    <t>DC_DARKPANEL_CURRENT_AVEE_X_X_X_NV_P03004_BLUE</t>
  </si>
  <si>
    <t>OPTIC_IMG_DARKPANEL_GRAY0_N1P8V_3P2UA_4P59%_NV_P03004_RED</t>
  </si>
  <si>
    <t>OPTIC_IMG_DARKPANEL_GRAY0_N3V_0P7UA_4P59%_NV_P03004_GREEN</t>
  </si>
  <si>
    <t>OPTIC_IMG_DARKPANEL_GRAY0_N3V_1UA_4P59%_NV_P03004_BLUE</t>
  </si>
  <si>
    <t>OPTIC_IMG_SPARSEGRIDX0Y0_X_N1P8V_3P2UA_4P59%_NV_P03004_RED</t>
  </si>
  <si>
    <t>OPTIC_IMG_SPARSEGRIDX0Y0_X_N3V_0P7UA_4P59%_NV_P03004_GREEN</t>
  </si>
  <si>
    <t>OPTIC_IMG_SPARSEGRIDX0Y0_X_N3V_1UA_4P59%_NV_P03004_BLUE</t>
  </si>
  <si>
    <t>OPTIC_IMG_SPARSEGRIDX3Y2_X_N1P8V_3P2UA_4P59%_NV_P03004_RED</t>
  </si>
  <si>
    <t>Save Image - Sparse Grid_X3Y2</t>
  </si>
  <si>
    <t>OPTIC_IMG_SPARSEGRIDX3Y2_X_N3V_0P7UA_4P59%_NV_P03004_GREEN</t>
  </si>
  <si>
    <t>OPTIC_IMG_SPARSEGRIDX3Y2_X_N3V_1UA_4P59%_NV_P03004_BLUE</t>
  </si>
  <si>
    <t>OPTIC_PLM_CLUSTER-ALGO-VER_PREDEMURA_X_X_X_NV_P03004_X</t>
  </si>
  <si>
    <t>OPTIC_PLM_FAIL-RETEST_PREDEMURA_N1P8V_3P2UA_4P59%_NV_P03004_RED</t>
  </si>
  <si>
    <t>OPTIC_PLM_TXT_PREDEMURA_N1P8V_3P2UA_4P59%_NV_P03004_RED</t>
  </si>
  <si>
    <t>OPTIC_PLM_FLAG-MISREGISTRATION_PREDEMURA_N1P8V_3P2UA_4P59%_NV_P03004_RED</t>
  </si>
  <si>
    <t>OPTIC_PLM_TOPLINEAVG_PREDEMURA_N1P8V_3P2UA_4P59%_NV_P03004_RED</t>
  </si>
  <si>
    <t>OPTIC_PLM_BOTLINEAVG_PREDEMURA_N1P8V_3P2UA_4P59%_NV_P03004_RED</t>
  </si>
  <si>
    <t>OPTIC_PLM_RIGHTLINEAVG_PREDEMURA_N1P8V_3P2UA_4P59%_NV_P03004_RED</t>
  </si>
  <si>
    <t>OPTIC_PLM_LEFTLINEAVG_PREDEMURA_N1P8V_3P2UA_4P59%_NV_P03004_RED</t>
  </si>
  <si>
    <t>OPTIC_PLM_FULLPIXELAVG15%_PREDEMURA_N1P8V_3P2UA_4P59%_NV_P03004_RED</t>
  </si>
  <si>
    <t>OPTIC_PLM_FRAMECNT_PREDEMURA_N1P8V_3P2UA_4P59%_NV_P03004_RED</t>
  </si>
  <si>
    <t>OPTIC_PLM_FLAG-OVEREXP_PREDEMURA_N1P8V_3P2UA_4P59%_NV_P03004_RED</t>
  </si>
  <si>
    <t>OPTIC_PLM_BRIDGEDPIXEL_PREDEMURA_N1P8V_3P2UA_4P59%_NV_P03004_RED</t>
  </si>
  <si>
    <t>OPTIC_PLM_DEADPIX-ALLMETHODS_PREDEMURA_N1P8V_3P2UA_4P59%_NV_P03004_RED</t>
  </si>
  <si>
    <t>OPTIC_PLM_DEADPIXCNT-REL-PERC_PREDEMURA_N1P8V_3P2UA_4P59%_NV_P03004_RED</t>
  </si>
  <si>
    <t>OPTIC_PLM_5X5CLUSTERCOUNT_PREDEMURA_N1P8V_3P2UA_4P59%_NV_P03004_RED</t>
  </si>
  <si>
    <t>OPTIC_PLM_MACRO-CLUSTERCOUNT_PREDEMURA_N1P8V_3P2UA_4P59%_NV_P03004_RED</t>
  </si>
  <si>
    <t>OPTIC_PLM_MACRO-MAXCLUSTERSIZE_PREDEMURA_N1P8V_3P2UA_4P59%_NV_P03004_RED</t>
  </si>
  <si>
    <t>OPTIC_PLM_MACRO-AVG-SIZE_PREDEMURA_N1P8V_3P2UA_4P59%_NV_P03004_RED</t>
  </si>
  <si>
    <t>OPTIC_PLM_BRIGHTPIXEL-THRESHOLD_PREDEMURA_N1P8V_3P2UA_4P59%_NV_P03004_RED</t>
  </si>
  <si>
    <t>OPTIC_PLM_BRIGHTPIXEL-CNT_PREDEMURA_N1P8V_3P2UA_4P59%_NV_P03004_RED</t>
  </si>
  <si>
    <t>OPTIC_PLM_BRIGHTPIXEL-PERC_PREDEMURA_N1P8V_3P2UA_4P59%_NV_P03004_RED</t>
  </si>
  <si>
    <t>OPTIC_PLM_PIXUNIFORMITY-P99-OVER-P1_PREDEMURA_N1P8V_3P2UA_4P59%_NV_P03004_RED</t>
  </si>
  <si>
    <t>OPTIC_PLM_PIXUNIFORMITY-P95-OVER-P5_PREDEMURA_N1P8V_3P2UA_4P59%_NV_P03004_RED</t>
  </si>
  <si>
    <t>OPTIC_PLM_PIXUNIFORMITY-STD-OVER-MEAN_PREDEMURA_N1P8V_3P2UA_4P59%_NV_P03004_RED</t>
  </si>
  <si>
    <t>OPTIC_PLM_DIMPIXCNT_PREDEMURA_N1P8V_3P2UA_4P59%_NV_P03004_RED</t>
  </si>
  <si>
    <t>OPTIC_PLM_DIMPIXCNT-REL-PERC_PREDEMURA_N1P8V_3P2UA_4P59%_NV_P03004_RED</t>
  </si>
  <si>
    <t>OPTIC_PLM_FAIL-RETEST_PREDEMURA_N3V_0P7UA_4P59%_NV_P03004_GREEN</t>
  </si>
  <si>
    <t>OPTIC_PLM_TXT_PREDEMURA_N3V_0P7UA_4P59%_NV_P03004_GREEN</t>
  </si>
  <si>
    <t>OPTIC_PLM_FLAG-MISREGISTRATION_PREDEMURA_N3V_0P7UA_4P59%_NV_P03004_GREEN</t>
  </si>
  <si>
    <t>OPTIC_PLM_TOPLINEAVG_PREDEMURA_N3V_0P7UA_4P59%_NV_P03004_GREEN</t>
  </si>
  <si>
    <t>OPTIC_PLM_BOTLINEAVG_PREDEMURA_N3V_0P7UA_4P59%_NV_P03004_GREEN</t>
  </si>
  <si>
    <t>OPTIC_PLM_RIGHTLINEAVG_PREDEMURA_N3V_0P7UA_4P59%_NV_P03004_GREEN</t>
  </si>
  <si>
    <t>OPTIC_PLM_LEFTLINEAVG_PREDEMURA_N3V_0P7UA_4P59%_NV_P03004_GREEN</t>
  </si>
  <si>
    <t>OPTIC_PLM_FULLPIXELAVG15%_PREDEMURA_N3V_0P7UA_4P59%_NV_P03004_GREEN</t>
  </si>
  <si>
    <t>OPTIC_PLM_FRAMECNT_PREDEMURA_N3V_0P7UA_4P59%_NV_P03004_GREEN</t>
  </si>
  <si>
    <t>OPTIC_PLM_FLAG-OVEREXP_PREDEMURA_N3V_0P7UA_4P59%_NV_P03004_GREEN</t>
  </si>
  <si>
    <t>OPTIC_PLM_BRIDGEDPIXEL_PREDEMURA_2V_3P2UA_32%_NV_P03004_GREEN</t>
  </si>
  <si>
    <t>OPTIC_PLM_DEADPIX-ALLMETHODS_PREDEMURA_N3V_0P7UA_4P59%_NV_P03004_GREEN</t>
  </si>
  <si>
    <t>OPTIC_PLM_DEADPIXCNT-REL-PERC_PREDEMURA_N3V_0P7UA_4P59%_NV_P03004_GREEN</t>
  </si>
  <si>
    <t>OPTIC_PLM_5X5CLUSTERCOUNT_PREDEMURA_N3V_0P7UA_4P59%_NV_P03004_GREEN</t>
  </si>
  <si>
    <t>OPTIC_PLM_MACRO-CLUSTERCOUNT_PREDEMURA_N3V_0P7UA_4P59%_NV_P03004_GREEN</t>
  </si>
  <si>
    <t>OPTIC_PLM_MACRO-MAXCLUSTERSIZE_PREDEMURA_N3V_0P7UA_4P59%_NV_P03004_GREEN</t>
  </si>
  <si>
    <t>OPTIC_PLM_MACRO-AVG-SIZE_PREDEMURA_N3V_0P7UA_4P59%_NV_P03004_GREEN</t>
  </si>
  <si>
    <t>OPTIC_PLM_BRIGHTPIXEL-THRESHOLD_PREDEMURA_N3V_0P7UA_4P59%_NV_P03004_GREEN</t>
  </si>
  <si>
    <t>OPTIC_PLM_BRIGHTPIXEL-CNT_PREDEMURA_N3V_0P7UA_4P59%_NV_P03004_GREEN</t>
  </si>
  <si>
    <t>OPTIC_PLM_BRIGHTPIXEL-PERC_PREDEMURA_N3V_0P7UA_4P59%_NV_P03004_GREEN</t>
  </si>
  <si>
    <t>OPTIC_PLM_PIXUNIFORMITY-P99-OVER-P1_PREDEMURA_N3V_0P7UA_4P59%_NV_P03004_GREEN</t>
  </si>
  <si>
    <t>OPTIC_PLM_PIXUNIFORMITY-P95-OVER-P5_PREDEMURA_N3V_0P7UA_4P59%_NV_P03004_GREEN</t>
  </si>
  <si>
    <t>OPTIC_PLM_PIXUNIFORMITY-STD-OVER-MEAN_PREDEMURA_N3V_0P7UA_4P59%_NV_P03004_GREEN</t>
  </si>
  <si>
    <t>OPTIC_PLM_DIMPIXCNT_PREDEMURA_N3V_0P7UA_4P59%_NV_P03004_GREEN</t>
  </si>
  <si>
    <t>OPTIC_PLM_DIMPIXCNT-REL-PERC_PREDEMURA_N3V_0P7UA_4P59%_NV_P03004_GREEN</t>
  </si>
  <si>
    <t>OPTIC_PLM_FAIL-RETEST_PREDEMURA_N3V_1UA_4P59%_NV_P03004_BLUE</t>
  </si>
  <si>
    <t>OPTIC_PLM_TXT_PREDEMURA_N3V_1UA_4P59%_NV_P03004_BLUE</t>
  </si>
  <si>
    <t>OPTIC_PLM_FLAG-MISREGISTRATION_PREDEMURA_N3V_1UA_4P59%_NV_P03004_BLUE</t>
  </si>
  <si>
    <t>OPTIC_PLM_TOPLINEAVG_PREDEMURA_N3V_1UA_4P59%_NV_P03004_BLUE</t>
  </si>
  <si>
    <t>OPTIC_PLM_BOTLINEAVG_PREDEMURA_N3V_1UA_4P59%_NV_P03004_BLUE</t>
  </si>
  <si>
    <t>OPTIC_PLM_RIGHTLINEAVG_PREDEMURA_N3V_1UA_4P59%_NV_P03004_BLUE</t>
  </si>
  <si>
    <t>OPTIC_PLM_LEFTLINEAVG_PREDEMURA_N3V_1UA_4P59%_NV_P03004_BLUE</t>
  </si>
  <si>
    <t>OPTIC_PLM_FULLPIXELAVG15%_PREDEMURA_N3V_1UA_4P59%_NV_P03004_BLUE</t>
  </si>
  <si>
    <t>OPTIC_PLM_FRAMECNT_PREDEMURA_N2V_0P8UA_28%_NV_P03004_BLUE</t>
  </si>
  <si>
    <t>OPTIC_PLM_FLAG-OVEREXP_PREDEMURA_N3V_1UA_4P59%_NV_P03004_BLUE</t>
  </si>
  <si>
    <t>OPTIC_PLM_BRIDGEDPIXEL_PREDEMURA_2V_3P2UA_32%_NV_P03004_BLUE</t>
  </si>
  <si>
    <t>OPTIC_PLM_DEADPIX-ALLMETHODS_PREDEMURA_N2V_0P8UA_28%_NV_P03004_BLUE</t>
  </si>
  <si>
    <t>OPTIC_PLM_DEADPIXCNT-REL-PERC_PREDEMURA_N2V_0P8UA_28%_NV_P03004_BLUE</t>
  </si>
  <si>
    <t>OPTIC_PLM_5X5CLUSTERCOUNT_PREDEMURA_N2V_0P8UA_28%_NV_P03004_BLUE</t>
  </si>
  <si>
    <t>OPTIC_PLM_MACRO-CLUSTERCOUNT_PREDEMURA_N2V_0P8UA_28%_NV_P03004_BLUE</t>
  </si>
  <si>
    <t>OPTIC_PLM_MACRO-MAXCLUSTERSIZE_PREDEMURA_N2V_0P8UA_28%_NV_P03004_BLUE</t>
  </si>
  <si>
    <t>OPTIC_PLM_MACRO-AVG-SIZE_PREDEMURA_N2V_0P8UA_28%_NV_P03004_BLUE</t>
  </si>
  <si>
    <t>OPTIC_PLM_BRIGHTPIXEL-THRESHOLD_PREDEMURA_N2V_0P8UA_28%_NV_P03004_BLUE</t>
  </si>
  <si>
    <t>OPTIC_PLM_BRIGHTPIXEL-CNT_PREDEMURA_N2V_0P8UA_28%_NV_P03004_BLUE</t>
  </si>
  <si>
    <t>OPTIC_PLM_BRIGHTPIXEL-PERC_PREDEMURA_N2V_0P8UA_28%_NV_P03004_BLUE</t>
  </si>
  <si>
    <t>OPTIC_PLM_PIXUNIFORMITY-P99-OVER-P1_PREDEMURA_N2V_0P8UA_28%_NV_P03004_BLUE</t>
  </si>
  <si>
    <t>OPTIC_PLM_PIXUNIFORMITY-P95-OVER-P5_PREDEMURA_N2V_0P8UA_28%_NV_P03004_BLUE</t>
  </si>
  <si>
    <t>OPTIC_PLM_PIXUNIFORMITY-STD-OVER-MEAN_PREDEMURA_N2V_0P8UA_28%_NV_P03004_BLUE</t>
  </si>
  <si>
    <t>OPTIC_PLM_DIMPIXCNT_PREDEMURA_N2V_0P8UA_28%_NV_P03004_BLUE</t>
  </si>
  <si>
    <t>OPTIC_PLM_DIMPIXCNT-REL-PERC_PREDEMURA_N2V_0P8UA_28%_NV_P03004_BLUE</t>
  </si>
  <si>
    <t>OPTIC_PLM_FAIL-RETEST_POSTDEMURA_N1P8V_3P2UA_4P59%_NV_P03004_RED</t>
  </si>
  <si>
    <t>OPTIC_PLM_TXT_POSTDEMURA_N1P8V_3P2UA_4P59%_NV_P03004_RED</t>
  </si>
  <si>
    <t>OPTIC_PLM_FLAG-MISREGISTRATION_POSTDEMURA_N1P8V_3P2UA_4P59%_NV_P03004_RED</t>
  </si>
  <si>
    <t>OPTIC_PLM_TOPLINEAVG_POSTDEMURA_N1P8V_3P2UA_4P59%_NV_P03004_RED</t>
  </si>
  <si>
    <t>OPTIC_PLM_BOTLINEAVG_POSTDEMURA_N1P8V_3P2UA_4P59%_NV_P03004_RED</t>
  </si>
  <si>
    <t>OPTIC_PLM_RIGHTLINEAVG_POSTDEMURA_N1P8V_3P2UA_4P59%_NV_P03004_RED</t>
  </si>
  <si>
    <t>OPTIC_PLM_LEFTLINEAVG_POSTDEMURA_N1P8V_3P2UA_4P59%_NV_P03004_RED</t>
  </si>
  <si>
    <t>OPTIC_PLM_FULLPIXELAVG15%_POSTDEMURA_N1P8V_3P2UA_4P59%_NV_P03004_RED</t>
  </si>
  <si>
    <t>OPTIC_PLM_FRAMECNT_POSTDEMURA_N1P8V_3P2UA_4P59%_NV_P03004_RED</t>
  </si>
  <si>
    <t>OPTIC_PLM_FLAG-OVEREXP_POSTDEMURA_N1P8V_3P2UA_4P59%_NV_P03004_RED</t>
  </si>
  <si>
    <t>OPTIC_PLM_BRIDGEDPIXEL_POSTDEMURA_2V_3P2UA_32%_NV_P03004_RED</t>
  </si>
  <si>
    <t>OPTIC_PLM_DEADPIX-ALLMETHODS_POSTDEMURA_N1P8V_3P2UA_4P59%_NV_P03004_RED</t>
  </si>
  <si>
    <t>OPTIC_PLM_DEADPIXCNT-REL-PERC_POSTDEMURA_N1P8V_3P2UA_4P59%_NV_P03004_RED</t>
  </si>
  <si>
    <t>OPTIC_PLM_5X5CLUSTERCOUNT_POSTDEMURA_N1P8V_3P2UA_4P59%_NV_P03004_RED</t>
  </si>
  <si>
    <t>OPTIC_PLM_MACRO-CLUSTERCOUNT_POSTDEMURA_N1P8V_3P2UA_4P59%_NV_P03004_RED</t>
  </si>
  <si>
    <t>OPTIC_PLM_MACRO-MAXCLUSTERSIZE_POSTDEMURA_N1P8V_3P2UA_4P59%_NV_P03004_RED</t>
  </si>
  <si>
    <t>OPTIC_PLM_MACRO-AVG-SIZE_POSTDEMURA_N1P8V_3P2UA_4P59%_NV_P03004_RED</t>
  </si>
  <si>
    <t>OPTIC_PLM_BRIGHTPIXEL-THRESHOLD_POSTDEMURA_N1P8V_3P2UA_4P59%_NV_P03004_RED</t>
  </si>
  <si>
    <t>OPTIC_PLM_BRIGHTPIXEL-CNT_POSTDEMURA_N1P8V_3P2UA_4P59%_NV_P03004_RED</t>
  </si>
  <si>
    <t>Nb of pixels &gt;160% median luminance</t>
  </si>
  <si>
    <t>OPTIC_PLM_BRIGHTPIXEL-PERC_POSTDEMURA_N1P8V_3P2UA_4P59%_NV_P03004_RED</t>
  </si>
  <si>
    <t>OPTIC_PLM_PIXUNIFORMITY-P99-OVER-P1_POSTDEMURA_N1P8V_3P2UA_4P59%_NV_P03004_RED</t>
  </si>
  <si>
    <t>OPTIC_PLM_PIXUNIFORMITY-P95-OVER-P5_POSTDEMURA_N1P8V_3P2UA_4P59%_NV_P03004_RED</t>
  </si>
  <si>
    <t>OPTIC_PLM_PIXUNIFORMITY-STD-OVER-MEAN_POSTDEMURA_N1P8V_3P2UA_4P59%_NV_P03004_RED</t>
  </si>
  <si>
    <t>OPTIC_PLM_DIMPIXCNT_POSTDEMURA_N1P8V_3P2UA_4P59%_NV_P03004_RED</t>
  </si>
  <si>
    <t>OPTIC_PLM_DIMPIXCNT-REL-PERC_POSTDEMURA_N1P8V_3P2UA_4P59%_NV_P03004_RED</t>
  </si>
  <si>
    <t>OPTIC_PLM_FAIL-RETEST_POSTDEMURA_N3V_0P7UA_4P59%_NV_P03004_GREEN</t>
  </si>
  <si>
    <t>OPTIC_PLM_TXT_POSTDEMURA_N3V_0P7UA_4P59%_NV_P03004_GREEN</t>
  </si>
  <si>
    <t>OPTIC_PLM_FLAG-MISREGISTRATION_POSTDEMURA_N3V_0P7UA_4P59%_NV_P03004_GREEN</t>
  </si>
  <si>
    <t>OPTIC_PLM_TOPLINEAVG_POSTDEMURA_N3V_0P7UA_4P59%_NV_P03004_GREEN</t>
  </si>
  <si>
    <t>OPTIC_PLM_BOTLINEAVG_POSTDEMURA_N3V_0P7UA_4P59%_NV_P03004_GREEN</t>
  </si>
  <si>
    <t>OPTIC_PLM_RIGHTLINEAVG_POSTDEMURA_N3V_0P7UA_4P59%_NV_P03004_GREEN</t>
  </si>
  <si>
    <t>OPTIC_PLM_LEFTLINEAVG_POSTDEMURA_N3V_0P7UA_4P59%_NV_P03004_GREEN</t>
  </si>
  <si>
    <t>OPTIC_PLM_FULLPIXELAVG15%_POSTDEMURA_N3V_0P7UA_4P59%_NV_P03004_GREEN</t>
  </si>
  <si>
    <t>OPTIC_PLM_FRAMECNT_POSTDEMURA_N3V_0P7UA_4P59%_NV_P03004_GREEN</t>
  </si>
  <si>
    <t>OPTIC_PLM_FLAG-OVEREXP_POSTDEMURA_N3V_0P7UA_4P59%_NV_P03004_GREEN</t>
  </si>
  <si>
    <t>OPTIC_PLM_BRIDGEDPIXEL_POSTDEMURA_2V_3P2UA_32%_NV_P03004_GREEN</t>
  </si>
  <si>
    <t>OPTIC_PLM_DEADPIX-ALLMETHODS_POSTDEMURA_N3V_0P7UA_4P59%_NV_P03004_GREEN</t>
  </si>
  <si>
    <t>OPTIC_PLM_DEADPIXCNT-REL-PERC_POSTDEMURA_N3V_0P7UA_4P59%_NV_P03004_GREEN</t>
  </si>
  <si>
    <t>OPTIC_PLM_5X5CLUSTERCOUNT_POSTDEMURA_N3V_0P7UA_4P59%_NV_P03004_GREEN</t>
  </si>
  <si>
    <t>OPTIC_PLM_MACRO-CLUSTERCOUNT_POSTDEMURA_N3V_0P7UA_4P59%_NV_P03004_GREEN</t>
  </si>
  <si>
    <t>OPTIC_PLM_MACRO-MAXCLUSTERSIZE_POSTDEMURA_N3V_0P7UA_4P59%_NV_P03004_GREEN</t>
  </si>
  <si>
    <t>OPTIC_PLM_MACRO-AVG-SIZE_POSTDEMURA_N3V_0P7UA_4P59%_NV_P03004_GREEN</t>
  </si>
  <si>
    <t>OPTIC_PLM_BRIGHTPIXEL-THRESHOLD_POSTDEMURA_N3V_0P7UA_4P59%_NV_P03004_GREEN</t>
  </si>
  <si>
    <t>OPTIC_PLM_BRIGHTPIXEL-CNT_POSTDEMURA_N3V_0P7UA_4P59%_NV_P03004_GREEN</t>
  </si>
  <si>
    <t>OPTIC_PLM_BRIGHTPIXEL-PERC_POSTDEMURA_N3V_0P7UA_4P59%_NV_P03004_GREEN</t>
  </si>
  <si>
    <t>0.01 Nb of pixels &gt;160% median luminance</t>
  </si>
  <si>
    <t>OPTIC_PLM_PIXUNIFORMITY-P99-OVER-P1_POSTDEMURA_N3V_0P7UA_4P59%_NV_P03004_GREEN</t>
  </si>
  <si>
    <t>OPTIC_PLM_PIXUNIFORMITY-P95-OVER-P5_POSTDEMURA_N3V_0P7UA_4P59%_NV_P03004_GREEN</t>
  </si>
  <si>
    <t>OPTIC_PLM_PIXUNIFORMITY-STD-OVER-MEAN_POSTDEMURA_N3V_0P7UA_4P59%_NV_P03004_GREEN</t>
  </si>
  <si>
    <t>OPTIC_PLM_DIMPIXCNT_POSTDEMURA_N3V_0P7UA_4P59%_NV_P03004_GREEN</t>
  </si>
  <si>
    <t>OPTIC_PLM_DIMPIXCNT-REL-PERC_POSTDEMURA_N3V_0P7UA_4P59%_NV_P03004_GREEN</t>
  </si>
  <si>
    <t>OPTIC_PLM_FAIL-RETEST_POSTDEMURA_N3V_1UA_4P59%_NV_P03004_BLUE</t>
  </si>
  <si>
    <t>OPTIC_PLM_TXT_POSTDEMURA_N3V_1UA_4P59%_NV_P03004_BLUE</t>
  </si>
  <si>
    <t>OPTIC_PLM_FLAG-MISREGISTRATION_POSTDEMURA_N3V_1UA_4P59%_NV_P03004_BLUE</t>
  </si>
  <si>
    <t>OPTIC_PLM_TOPLINEAVG_POSTDEMURA_N3V_1UA_4P59%_NV_P03004_BLUE</t>
  </si>
  <si>
    <t>OPTIC_PLM_BOTLINEAVG_POSTDEMURA_N3V_1UA_4P59%_NV_P03004_BLUE</t>
  </si>
  <si>
    <t>OPTIC_PLM_RIGHTLINEAVG_POSTDEMURA_N3V_1UA_4P59%_NV_P03004_BLUE</t>
  </si>
  <si>
    <t>OPTIC_PLM_LEFTLINEAVG_POSTDEMURA_N3V_1UA_4P59%_NV_P03004_BLUE</t>
  </si>
  <si>
    <t>OPTIC_PLM_FULLPIXELAVG15%_POSTDEMURA_N3V_1UA_4P59%_NV_P03004_BLUE</t>
  </si>
  <si>
    <t>OPTIC_PLM_FRAMECNT_POSTDEMURA_N2V_0P8UA_28%_NV_P03004_BLUE</t>
  </si>
  <si>
    <t>OPTIC_PLM_FLAG-OVEREXP_POSTDEMURA_N3V_1UA_4P59%_NV_P03004_BLUE</t>
  </si>
  <si>
    <t>OPTIC_PLM_BRIDGEDPIXEL_POSTDEMURA_2V_3P2UA_32%_NV_P03004_BLUE</t>
  </si>
  <si>
    <t>OPTIC_PLM_DEADPIX-ALLMETHODS_POSTDEMURA_N2V_0P8UA_28%_NV_P03004_BLUE</t>
  </si>
  <si>
    <t>OPTIC_PLM_DEADPIXCNT-REL-PERC_POSTDEMURA_N2V_0P8UA_28%_NV_P03004_BLUE</t>
  </si>
  <si>
    <t>OPTIC_PLM_5X5CLUSTERCOUNT_POSTDEMURA_N2V_0P8UA_28%_NV_P03004_BLUE</t>
  </si>
  <si>
    <t>OPTIC_PLM_MACRO-CLUSTERCOUNT_POSTDEMURA_N2V_0P8UA_28%_NV_P03004_BLUE</t>
  </si>
  <si>
    <t>OPTIC_PLM_MACRO-MAXCLUSTERSIZE_POSTDEMURA_N2V_0P8UA_28%_NV_P03004_BLUE</t>
  </si>
  <si>
    <t>OPTIC_PLM_MACRO-AVG-SIZE_POSTDEMURA_N2V_0P8UA_28%_NV_P03004_BLUE</t>
  </si>
  <si>
    <t>OPTIC_PLM_BRIGHTPIXEL-THRESHOLD_POSTDEMURA_N2V_0P8UA_28%_NV_P03004_BLUE</t>
  </si>
  <si>
    <t>OPTIC_PLM_BRIGHTPIXEL-CNT_POSTDEMURA_N2V_0P8UA_28%_NV_P03004_BLUE</t>
  </si>
  <si>
    <t>OPTIC_PLM_BRIGHTPIXEL-PERC_POSTDEMURA_N2V_0P8UA_28%_NV_P03004_BLUE</t>
  </si>
  <si>
    <t>OPTIC_PLM_PIXUNIFORMITY-P99-OVER-P1_POSTDEMURA_N2V_0P8UA_28%_NV_P03004_BLUE</t>
  </si>
  <si>
    <t>OPTIC_PLM_PIXUNIFORMITY-P95-OVER-P5_POSTDEMURA_N2V_0P8UA_28%_NV_P03004_BLUE</t>
  </si>
  <si>
    <t>OPTIC_PLM_PIXUNIFORMITY-STD-OVER-MEAN_POSTDEMURA_N2V_0P8UA_28%_NV_P03004_BLUE</t>
  </si>
  <si>
    <t>OPTIC_PLM_DIMPIXCNT_POSTDEMURA_N2V_0P8UA_28%_NV_P03004_BLUE</t>
  </si>
  <si>
    <t>OPTIC_PLM_DIMPIXCNT-REL-PERC_POSTDEMURA_N2V_0P8UA_28%_NV_P03004_BLUE</t>
  </si>
  <si>
    <t>OPTIC_IMG_AAXHAIR_X_N1P8V_3P2UA_4P59%_NV_P03004_RED</t>
  </si>
  <si>
    <t>Save Image - AAXhair
 AAxHair Test, MTF at 1/2 Nyquist frequency
  (f_nyquist = 1 / (2 * pitch)) (89lp/mm)</t>
  </si>
  <si>
    <t>OPTIC_IMG_AAXHAIR_FRAMECNT_N1P8V_3P2UA_4P59%_NV_P03004_RED</t>
  </si>
  <si>
    <t>OPTIC_AA_DEADPIXEL_DETECT_N1P8V_3P2UA_4P59%_NV_P03004_RED</t>
  </si>
  <si>
    <t>OPTIC_AA_DEADPIXEL_NUMBER_N1P8V_3P2UA_4P59%_NV_P03004_RED</t>
  </si>
  <si>
    <t>OPTIC_AA_DEADPIXEL_MISSINGLEG_N1P8V_3P2UA_4P59%_NV_P03004_RED</t>
  </si>
  <si>
    <t>OPTIC_AA_DEADPIXEL_GRAYLV_N1P8V_3P2UA_4P59%_NV_P03004_RED</t>
  </si>
  <si>
    <t>OPTIC_AA_FOV1_MTFTOP_N1P8V_3P2UA_4P59%_NV_P03004_RED</t>
  </si>
  <si>
    <t>OPTIC_AA_FOV1_MTFBOTTOM_N1P8V_3P2UA_4P59%_NV_P03004_RED</t>
  </si>
  <si>
    <t>OPTIC_AA_FOV1_MTFLEFT_N1P8V_3P2UA_4P59%_NV_P03004_RED</t>
  </si>
  <si>
    <t>OPTIC_AA_FOV1_MTFRIGHT_N1P8V_3P2UA_4P59%_NV_P03004_RED</t>
  </si>
  <si>
    <t>OPTIC_AA_FOV2_MTFTOP_N1P8V_3P2UA_4P59%_NV_P03004_RED</t>
  </si>
  <si>
    <t>OPTIC_AA_FOV2_MTFBOTTOM_N1P8V_3P2UA_4P59%_NV_P03004_RED</t>
  </si>
  <si>
    <t>OPTIC_AA_FOV2_MTFLEFT_N1P8V_3P2UA_4P59%_NV_P03004_RED</t>
  </si>
  <si>
    <t>OPTIC_AA_FOV2_MTFRIGHT_N1P8V_3P2UA_4P59%_NV_P03004_RED</t>
  </si>
  <si>
    <t>OPTIC_AA_FOV3_MTFTOP_N1P8V_3P2UA_4P59%_NV_P03004_RED</t>
  </si>
  <si>
    <t>OPTIC_AA_FOV3_MTFBOTTOM_N1P8V_3P2UA_4P59%_NV_P03004_RED</t>
  </si>
  <si>
    <t>OPTIC_AA_FOV3_MTFLEFT_N1P8V_3P2UA_4P59%_NV_P03004_RED</t>
  </si>
  <si>
    <t>OPTIC_AA_FOV3_MTFRIGHT_N1P8V_3P2UA_4P59%_NV_P03004_RED</t>
  </si>
  <si>
    <t>OPTIC_AA_FOV4_MTFTOP_N1P8V_3P2UA_4P59%_NV_P03004_RED</t>
  </si>
  <si>
    <t>OPTIC_AA_FOV4_MTFBOTTOM_N1P8V_3P2UA_4P59%_NV_P03004_RED</t>
  </si>
  <si>
    <t>OPTIC_AA_FOV4_MTFLEFT_N1P8V_3P2UA_4P59%_NV_P03004_RED</t>
  </si>
  <si>
    <t>OPTIC_AA_FOV4_MTFRIGHT_N1P8V_3P2UA_4P59%_NV_P03004_RED</t>
  </si>
  <si>
    <t>OPTIC_AA_FOV5_MTFTOP_N1P8V_3P2UA_4P59%_NV_P03004_RED</t>
  </si>
  <si>
    <t>OPTIC_AA_FOV5_MTFBOTTOM_N1P8V_3P2UA_4P59%_NV_P03004_RED</t>
  </si>
  <si>
    <t>OPTIC_AA_FOV5_MTFLEFT_N1P8V_3P2UA_4P59%_NV_P03004_RED</t>
  </si>
  <si>
    <t>OPTIC_AA_FOV5_MTFRIGHT_N1P8V_3P2UA_4P59%_NV_P03004_RED</t>
  </si>
  <si>
    <t>OPTIC_AA_FOV6_MTFTOP_N1P8V_3P2UA_4P59%_NV_P03004_RED</t>
  </si>
  <si>
    <t>OPTIC_AA_FOV6_MTFBOTTOM_N1P8V_3P2UA_4P59%_NV_P03004_RED</t>
  </si>
  <si>
    <t>OPTIC_AA_FOV6_MTFLEFT_N1P8V_3P2UA_4P59%_NV_P03004_RED</t>
  </si>
  <si>
    <t>OPTIC_AA_FOV6_MTFRIGHT_N1P8V_3P2UA_4P59%_NV_P03004_RED</t>
  </si>
  <si>
    <t>OPTIC_AA_FOV7_MTFTOP_N1P8V_3P2UA_4P59%_NV_P03004_RED</t>
  </si>
  <si>
    <t>OPTIC_AA_FOV7_MTFBOTTOM_N1P8V_3P2UA_4P59%_NV_P03004_RED</t>
  </si>
  <si>
    <t>OPTIC_AA_FOV7_MTFLEFT_N1P8V_3P2UA_4P59%_NV_P03004_RED</t>
  </si>
  <si>
    <t>OPTIC_AA_FOV7_MTFRIGHT_N1P8V_3P2UA_4P59%_NV_P03004_RED</t>
  </si>
  <si>
    <t>OPTIC_AA_FOV8_MTFTOP_N1P8V_3P2UA_4P59%_NV_P03004_RED</t>
  </si>
  <si>
    <t>OPTIC_AA_FOV8_MTFBOTTOM_N1P8V_3P2UA_4P59%_NV_P03004_RED</t>
  </si>
  <si>
    <t>OPTIC_AA_FOV8_MTFLEFT_N1P8V_3P2UA_4P59%_NV_P03004_RED</t>
  </si>
  <si>
    <t>OPTIC_AA_FOV8_MTFRIGHT_N1P8V_3P2UA_4P59%_NV_P03004_RED</t>
  </si>
  <si>
    <t>OPTIC_AA_FOV9_MTFTOP_N1P8V_3P2UA_4P59%_NV_P03004_RED</t>
  </si>
  <si>
    <t>OPTIC_AA_FOV9_MTFBOTTOM_N1P8V_3P2UA_4P59%_NV_P03004_RED</t>
  </si>
  <si>
    <t>OPTIC_AA_FOV9_MTFLEFT_N1P8V_3P2UA_4P59%_NV_P03004_RED</t>
  </si>
  <si>
    <t>OPTIC_AA_FOV9_MTFRIGHT_N1P8V_3P2UA_4P59%_NV_P03004_RED</t>
  </si>
  <si>
    <t>OPTIC_IMG_AAXHAIR_X_N3V_0P7UA_4P59%_NV_P03004_GREEN</t>
  </si>
  <si>
    <t>OPTIC_IMG_AAXHAIR_FRAMECNT_N3V_0P7UA_4P59%_NV_P03004_GREEN</t>
  </si>
  <si>
    <t>OPTIC_AA_DEADPIXEL_DETECT_N3V_0P7UA_4P59%_NV_P03004_GREEN</t>
  </si>
  <si>
    <t>OPTIC_AA_DEADPIXEL_NUMBER_N3V_0P7UA_4P59%_NV_P03004_GREEN</t>
  </si>
  <si>
    <t>OPTIC_AA_DEADPIXEL_MISSINGLEG_N3V_0P7UA_4P59%_NV_P03004_GREEN</t>
  </si>
  <si>
    <t>OPTIC_AA_DEADPIXEL_GRAYLV_N3V_0P7UA_4P59%_NV_P03004_GREEN</t>
  </si>
  <si>
    <t>OPTIC_AA_FOV1_MTFTOP_N3V_0P7UA_4P59%_NV_P03004_GREEN</t>
  </si>
  <si>
    <t>OPTIC_AA_FOV1_MTFBOTTOM_N3V_0P7UA_4P59%_NV_P03004_GREEN</t>
  </si>
  <si>
    <t>OPTIC_AA_FOV1_MTFLEFT_N3V_0P7UA_4P59%_NV_P03004_GREEN</t>
  </si>
  <si>
    <t>OPTIC_AA_FOV1_MTFRIGHT_N3V_0P7UA_4P59%_NV_P03004_GREEN</t>
  </si>
  <si>
    <t>OPTIC_AA_FOV2_MTFTOP_N3V_0P7UA_4P59%_NV_P03004_GREEN</t>
  </si>
  <si>
    <t>OPTIC_AA_FOV2_MTFBOTTOM_N3V_0P7UA_4P59%_NV_P03004_GREEN</t>
  </si>
  <si>
    <t>OPTIC_AA_FOV2_MTFLEFT_N3V_0P7UA_4P59%_NV_P03004_GREEN</t>
  </si>
  <si>
    <t>OPTIC_AA_FOV2_MTFRIGHT_N3V_0P7UA_4P59%_NV_P03004_GREEN</t>
  </si>
  <si>
    <t>OPTIC_AA_FOV3_MTFTOP_N3V_0P7UA_4P59%_NV_P03004_GREEN</t>
  </si>
  <si>
    <t>OPTIC_AA_FOV3_MTFBOTTOM_N3V_0P7UA_4P59%_NV_P03004_GREEN</t>
  </si>
  <si>
    <t>OPTIC_AA_FOV3_MTFLEFT_N3V_0P7UA_4P59%_NV_P03004_GREEN</t>
  </si>
  <si>
    <t>OPTIC_AA_FOV3_MTFRIGHT_N3V_0P7UA_4P59%_NV_P03004_GREEN</t>
  </si>
  <si>
    <t>OPTIC_AA_FOV4_MTFTOP_N3V_0P7UA_4P59%_NV_P03004_GREEN</t>
  </si>
  <si>
    <t>OPTIC_AA_FOV4_MTFBOTTOM_N3V_0P7UA_4P59%_NV_P03004_GREEN</t>
  </si>
  <si>
    <t>OPTIC_AA_FOV4_MTFLEFT_N3V_0P7UA_4P59%_NV_P03004_GREEN</t>
  </si>
  <si>
    <t>OPTIC_AA_FOV4_MTFRIGHT_N3V_0P7UA_4P59%_NV_P03004_GREEN</t>
  </si>
  <si>
    <t>OPTIC_AA_FOV5_MTFTOP_N3V_0P7UA_4P59%_NV_P03004_GREEN</t>
  </si>
  <si>
    <t>OPTIC_AA_FOV5_MTFBOTTOM_N3V_0P7UA_4P59%_NV_P03004_GREEN</t>
  </si>
  <si>
    <t>OPTIC_AA_FOV5_MTFLEFT_N3V_0P7UA_4P59%_NV_P03004_GREEN</t>
  </si>
  <si>
    <t>OPTIC_AA_FOV5_MTFRIGHT_N3V_0P7UA_4P59%_NV_P03004_GREEN</t>
  </si>
  <si>
    <t>OPTIC_AA_FOV6_MTFTOP_N3V_0P7UA_4P59%_NV_P03004_GREEN</t>
  </si>
  <si>
    <t>OPTIC_AA_FOV6_MTFBOTTOM_N3V_0P7UA_4P59%_NV_P03004_GREEN</t>
  </si>
  <si>
    <t>OPTIC_AA_FOV6_MTFLEFT_N3V_0P7UA_4P59%_NV_P03004_GREEN</t>
  </si>
  <si>
    <t>OPTIC_AA_FOV6_MTFRIGHT_N3V_0P7UA_4P59%_NV_P03004_GREEN</t>
  </si>
  <si>
    <t>OPTIC_AA_FOV7_MTFTOP_N3V_0P7UA_4P59%_NV_P03004_GREEN</t>
  </si>
  <si>
    <t>OPTIC_AA_FOV7_MTFBOTTOM_N3V_0P7UA_4P59%_NV_P03004_GREEN</t>
  </si>
  <si>
    <t>OPTIC_AA_FOV7_MTFLEFT_N3V_0P7UA_4P59%_NV_P03004_GREEN</t>
  </si>
  <si>
    <t>OPTIC_AA_FOV7_MTFRIGHT_N3V_0P7UA_4P59%_NV_P03004_GREEN</t>
  </si>
  <si>
    <t>OPTIC_AA_FOV8_MTFTOP_N3V_0P7UA_4P59%_NV_P03004_GREEN</t>
  </si>
  <si>
    <t>OPTIC_AA_FOV8_MTFBOTTOM_N3V_0P7UA_4P59%_NV_P03004_GREEN</t>
  </si>
  <si>
    <t>OPTIC_AA_FOV8_MTFLEFT_N3V_0P7UA_4P59%_NV_P03004_GREEN</t>
  </si>
  <si>
    <t>OPTIC_AA_FOV8_MTFRIGHT_N3V_0P7UA_4P59%_NV_P03004_GREEN</t>
  </si>
  <si>
    <t>OPTIC_AA_FOV9_MTFTOP_N3V_0P7UA_4P59%_NV_P03004_GREEN</t>
  </si>
  <si>
    <t>OPTIC_AA_FOV9_MTFBOTTOM_N3V_0P7UA_4P59%_NV_P03004_GREEN</t>
  </si>
  <si>
    <t>OPTIC_AA_FOV9_MTFLEFT_N3V_0P7UA_4P59%_NV_P03004_GREEN</t>
  </si>
  <si>
    <t>OPTIC_AA_FOV9_MTFRIGHT_N3V_0P7UA_4P59%_NV_P03004_GREEN</t>
  </si>
  <si>
    <t>OPTIC_IMG_AAXHAIR_X_N3V_1UA_4P59%_NV_P03004_BLUE</t>
  </si>
  <si>
    <t>OPTIC_IMG_AAXHAIR_FRAMECNT_N3V_1UA_4P59%_NV_P03004_BLUE</t>
  </si>
  <si>
    <t>OPTIC_AA_DEADPIXEL_DETECT_N3V_1UA_4P59%_NV_P03004_BLUE</t>
  </si>
  <si>
    <t>OPTIC_AA_DEADPIXEL_NUMBER_N3V_1UA_4P59%_NV_P03004_BLUE</t>
  </si>
  <si>
    <t>OPTIC_AA_DEADPIXEL_MISSINGLEG_N3V_1UA_4P59%_NV_P03004_BLUE</t>
  </si>
  <si>
    <t>OPTIC_AA_DEADPIXEL_GRAYLV_N3V_1UA_4P59%_NV_P03004_BLUE</t>
  </si>
  <si>
    <t>OPTIC_AA_FOV1_MTFTOP_N3V_1UA_4P59%_NV_P03004_BLUE</t>
  </si>
  <si>
    <t>OPTIC_AA_FOV1_MTFBOTTOM_N3V_1UA_4P59%_NV_P03004_BLUE</t>
  </si>
  <si>
    <t>OPTIC_AA_FOV1_MTFLEFT_N3V_1UA_4P59%_NV_P03004_BLUE</t>
  </si>
  <si>
    <t>OPTIC_AA_FOV1_MTFRIGHT_N3V_1UA_4P59%_NV_P03004_BLUE</t>
  </si>
  <si>
    <t>OPTIC_AA_FOV2_MTFTOP_N3V_1UA_4P59%_NV_P03004_BLUE</t>
  </si>
  <si>
    <t>OPTIC_AA_FOV2_MTFBOTTOM_N3V_1UA_4P59%_NV_P03004_BLUE</t>
  </si>
  <si>
    <t>OPTIC_AA_FOV2_MTFLEFT_N3V_1UA_4P59%_NV_P03004_BLUE</t>
  </si>
  <si>
    <t>OPTIC_AA_FOV2_MTFRIGHT_N3V_1UA_4P59%_NV_P03004_BLUE</t>
  </si>
  <si>
    <t>OPTIC_AA_FOV3_MTFTOP_N3V_1UA_4P59%_NV_P03004_BLUE</t>
  </si>
  <si>
    <t>OPTIC_AA_FOV3_MTFBOTTOM_N3V_1UA_4P59%_NV_P03004_BLUE</t>
  </si>
  <si>
    <t>OPTIC_AA_FOV3_MTFLEFT_N3V_1UA_4P59%_NV_P03004_BLUE</t>
  </si>
  <si>
    <t>OPTIC_AA_FOV3_MTFRIGHT_N3V_1UA_4P59%_NV_P03004_BLUE</t>
  </si>
  <si>
    <t>OPTIC_AA_FOV4_MTFTOP_N3V_1UA_4P59%_NV_P03004_BLUE</t>
  </si>
  <si>
    <t>OPTIC_AA_FOV4_MTFBOTTOM_N3V_1UA_4P59%_NV_P03004_BLUE</t>
  </si>
  <si>
    <t>OPTIC_AA_FOV4_MTFLEFT_N3V_1UA_4P59%_NV_P03004_BLUE</t>
  </si>
  <si>
    <t>OPTIC_AA_FOV4_MTFRIGHT_N3V_1UA_4P59%_NV_P03004_BLUE</t>
  </si>
  <si>
    <t>OPTIC_AA_FOV5_MTFTOP_N3V_1UA_4P59%_NV_P03004_BLUE</t>
  </si>
  <si>
    <t>OPTIC_AA_FOV5_MTFBOTTOM_N3V_1UA_4P59%_NV_P03004_BLUE</t>
  </si>
  <si>
    <t>OPTIC_AA_FOV5_MTFLEFT_N3V_1UA_4P59%_NV_P03004_BLUE</t>
  </si>
  <si>
    <t>OPTIC_AA_FOV5_MTFRIGHT_N3V_1UA_4P59%_NV_P03004_BLUE</t>
  </si>
  <si>
    <t>OPTIC_AA_FOV6_MTFTOP_N3V_1UA_4P59%_NV_P03004_BLUE</t>
  </si>
  <si>
    <t>OPTIC_AA_FOV6_MTFBOTTOM_N3V_1UA_4P59%_NV_P03004_BLUE</t>
  </si>
  <si>
    <t>OPTIC_AA_FOV6_MTFLEFT_N3V_1UA_4P59%_NV_P03004_BLUE</t>
  </si>
  <si>
    <t>OPTIC_AA_FOV6_MTFRIGHT_N3V_1UA_4P59%_NV_P03004_BLUE</t>
  </si>
  <si>
    <t>OPTIC_AA_FOV7_MTFTOP_N3V_1UA_4P59%_NV_P03004_BLUE</t>
  </si>
  <si>
    <t>OPTIC_AA_FOV7_MTFBOTTOM_N3V_1UA_4P59%_NV_P03004_BLUE</t>
  </si>
  <si>
    <t>OPTIC_AA_FOV7_MTFLEFT_N3V_1UA_4P59%_NV_P03004_BLUE</t>
  </si>
  <si>
    <t>OPTIC_AA_FOV7_MTFRIGHT_N3V_1UA_4P59%_NV_P03004_BLUE</t>
  </si>
  <si>
    <t>OPTIC_AA_FOV8_MTFTOP_N3V_1UA_4P59%_NV_P03004_BLUE</t>
  </si>
  <si>
    <t>OPTIC_AA_FOV8_MTFBOTTOM_N3V_1UA_4P59%_NV_P03004_BLUE</t>
  </si>
  <si>
    <t>OPTIC_AA_FOV8_MTFLEFT_N3V_1UA_4P59%_NV_P03004_BLUE</t>
  </si>
  <si>
    <t>OPTIC_AA_FOV8_MTFRIGHT_N3V_1UA_4P59%_NV_P03004_BLUE</t>
  </si>
  <si>
    <t>OPTIC_AA_FOV9_MTFTOP_N3V_1UA_4P59%_NV_P03004_BLUE</t>
  </si>
  <si>
    <t>OPTIC_AA_FOV9_MTFBOTTOM_N3V_1UA_4P59%_NV_P03004_BLUE</t>
  </si>
  <si>
    <t>OPTIC_AA_FOV9_MTFLEFT_N3V_1UA_4P59%_NV_P03004_BLUE</t>
  </si>
  <si>
    <t>OPTIC_AA_FOV9_MTFRIGHT_N3V_1UA_4P59%_NV_P03004_BLUE</t>
  </si>
  <si>
    <t>OPTIC_CONTRAST_144UM_MIN_N1P8V_3P2UA_4P59%_NV_P03004_RED</t>
  </si>
  <si>
    <t>Contrast Test,
 Save Image - Check Board</t>
  </si>
  <si>
    <t>OPTIC_CONTRAST_144UM_AVG_N1P8V_3P2UA_4P59%_NV_P03004_RED</t>
  </si>
  <si>
    <t>OPTIC_CONTRAST_FRAMECNT_X_N1P8V_3P2UA_4P59%_NV_P03004_RED</t>
  </si>
  <si>
    <t>OPTIC_CONTRAST_144UM_MIN_N3V_0P7UA_4P59%_NV_P03004_GREEN</t>
  </si>
  <si>
    <t>OPTIC_CONTRAST_144UM_AVG_N3V_0P7UA_4P59%_NV_P03004_GREEN</t>
  </si>
  <si>
    <t>OPTIC_CONTRAST_FRAMECNT_X_N3V_0P7UA_4P59%_NV_P03004_GREEN</t>
  </si>
  <si>
    <t>OPTIC_CONTRAST_144UM_MIN_N3V_1UA_4P59%_NV_P03004_BLUE</t>
  </si>
  <si>
    <t>OPTIC_CONTRAST_144UM_AVG_N3V_1UA_4P59%_NV_P03004_BLUE</t>
  </si>
  <si>
    <t>OPTIC_CONTRAST_FRAMECNT_X_N3V_1UA_4P59%_NV_P03004_BLUE</t>
  </si>
  <si>
    <t>OPTIC_IMG_CKB_X_N1P8V_3P2UA_4P59%_NV_P03004_RED</t>
  </si>
  <si>
    <t>OPTIC_IMG_CKB_FRAMECNT_N1P8V_3P2UA_4P59%_NV_P03004_RED</t>
  </si>
  <si>
    <t>OPTIC_IMG_INVCKB_X_N1P8V_3P2UA_4P59%_NV_P03004_RED</t>
  </si>
  <si>
    <t>OPTIC_IMG_INVCKB_FRAMECNT_N1P8V_3P2UA_4P59%_NV_P03004_RED</t>
  </si>
  <si>
    <t>OPTIC_IMG_CKB_X_N3V_0P7UA_4P59%_NV_P03004_GREEN</t>
  </si>
  <si>
    <t>OPTIC_IMG_CKB_FRAMECNT_N3V_0P7UA_4P59%_NV_P03004_GREEN</t>
  </si>
  <si>
    <t>OPTIC_IMG_INVCKB_X_N3V_0P7UA_4P59%_NV_P03004_GREEN</t>
  </si>
  <si>
    <t>OPTIC_IMG_INVCKB_FRAMECNT_N3V_0P7UA_4P59%_NV_P03004_GREEN</t>
  </si>
  <si>
    <t>OPTIC_IMG_CKB_X_N3V_1UA_4P59%_NV_P03004_BLUE</t>
  </si>
  <si>
    <t>OPTIC_IMG_CKB_FRAMECNT_N3V_1UA_4P59%_NV_P03004_BLUE</t>
  </si>
  <si>
    <t>OPTIC_IMG_INVCKB_X_N3V_1UA_4P59%_NV_P03004_BLUE</t>
  </si>
  <si>
    <t>OPTIC_IMG_INVCKB_FRAMECNT_N3V_1UA_4P59%_NV_P03004_BLUE</t>
  </si>
  <si>
    <t>OPTIC_GAMMA_158UM_X_N1P8V_3P2UA_4P59%_NV_P03004_RED</t>
  </si>
  <si>
    <t>OPTIC_GAMMA_158UM_X_N3V_3P2UA_4P59%_NV_P03004_GREEN</t>
  </si>
  <si>
    <t>OPTIC_GAMMA_158UM_X_N3V_3P2UA_4P59%_NV_P03004_BLUE</t>
  </si>
  <si>
    <t>OPTIC_DITHERON_158UM_GRAY0_N1P8V_3P2UA_4P59%_NV_P03004_RED</t>
  </si>
  <si>
    <t>OPTIC_DITHERON_158UM_GRAY1_N1P8V_3P2UA_4P59%_NV_P03004_RED</t>
  </si>
  <si>
    <t>OPTIC_DITHERON_158UM_GRAY2_N1P8V_3P2UA_4P59%_NV_P03004_RED</t>
  </si>
  <si>
    <t>OPTIC_DITHERON_158UM_GRAY3_N1P8V_3P2UA_4P59%_NV_P03004_RED</t>
  </si>
  <si>
    <t>OPTIC_DITHERON_158UM_GRAY4_N1P8V_3P2UA_4P59%_NV_P03004_RED</t>
  </si>
  <si>
    <t>OPTIC_DITHERON_158UM_GRAY5_N1P8V_3P2UA_4P59%_NV_P03004_RED</t>
  </si>
  <si>
    <t>OPTIC_DITHERON_158UM_GRAY6_N1P8V_3P2UA_4P59%_NV_P03004_RED</t>
  </si>
  <si>
    <t>OPTIC_DITHERON_158UM_GRAY7_N1P8V_3P2UA_4P59%_NV_P03004_RED</t>
  </si>
  <si>
    <t>OPTIC_DITHERON_158UM_GRAY8_N1P8V_3P2UA_4P59%_NV_P03004_RED</t>
  </si>
  <si>
    <t>OPTIC_DITHERON_158UM_GRAY9_N1P8V_3P2UA_4P59%_NV_P03004_RED</t>
  </si>
  <si>
    <t>OPTIC_DITHERON_158UM_GRAY10_N1P8V_3P2UA_4P59%_NV_P03004_RED</t>
  </si>
  <si>
    <t>OPTIC_DITHERON_158UM_GRAY11_N1P8V_3P2UA_4P59%_NV_P03004_RED</t>
  </si>
  <si>
    <t>OPTIC_DITHERON_158UM_GRAY12_N1P8V_3P2UA_4P59%_NV_P03004_RED</t>
  </si>
  <si>
    <t>OPTIC_DITHERON_158UM_GRAY13_N1P8V_3P2UA_4P59%_NV_P03004_RED</t>
  </si>
  <si>
    <t>OPTIC_DITHERON_158UM_GRAY14_N1P8V_3P2UA_4P59%_NV_P03004_RED</t>
  </si>
  <si>
    <t>OPTIC_DITHERON_158UM_GRAY27_N1P8V_3P2UA_4P59%_NV_P03004_RED</t>
  </si>
  <si>
    <t>OPTIC_DITHERON_158UM_GRAY39_N1P8V_3P2UA_4P59%_NV_P03004_RED</t>
  </si>
  <si>
    <t>OPTIC_DITHERON_158UM_GRAY51_N1P8V_3P2UA_4P59%_NV_P03004_RED</t>
  </si>
  <si>
    <t>OPTIC_DITHERON_158UM_GRAY63_N1P8V_3P2UA_4P59%_NV_P03004_RED</t>
  </si>
  <si>
    <t>OPTIC_DITHERON_158UM_GRAY75_N1P8V_3P2UA_4P59%_NV_P03004_RED</t>
  </si>
  <si>
    <t>OPTIC_DITHERON_158UM_GRAY87_N1P8V_3P2UA_4P59%_NV_P03004_RED</t>
  </si>
  <si>
    <t>OPTIC_DITHERON_158UM_GRAY99_N1P8V_3P2UA_4P59%_NV_P03004_RED</t>
  </si>
  <si>
    <t>OPTIC_DITHERON_158UM_GRAY111_N1P8V_3P2UA_4P59%_NV_P03004_RED</t>
  </si>
  <si>
    <t>OPTIC_DITHERON_158UM_GRAY123_N1P8V_3P2UA_4P59%_NV_P03004_RED</t>
  </si>
  <si>
    <t>OPTIC_DITHERON_158UM_GRAY135_N1P8V_3P2UA_4P59%_NV_P03004_RED</t>
  </si>
  <si>
    <t>OPTIC_DITHERON_158UM_GRAY147_N1P8V_3P2UA_4P59%_NV_P03004_RED</t>
  </si>
  <si>
    <t>OPTIC_DITHERON_158UM_GRAY159_N1P8V_3P2UA_4P59%_NV_P03004_RED</t>
  </si>
  <si>
    <t>OPTIC_DITHERON_158UM_GRAY171_N1P8V_3P2UA_4P59%_NV_P03004_RED</t>
  </si>
  <si>
    <t>OPTIC_DITHERON_158UM_GRAY183_N1P8V_3P2UA_4P59%_NV_P03004_RED</t>
  </si>
  <si>
    <t>OPTIC_DITHERON_158UM_GRAY195_N1P8V_3P2UA_4P59%_NV_P03004_RED</t>
  </si>
  <si>
    <t>OPTIC_DITHERON_158UM_GRAY207_N1P8V_3P2UA_4P59%_NV_P03004_RED</t>
  </si>
  <si>
    <t>OPTIC_DITHERON_158UM_GRAY219_N1P8V_3P2UA_4P59%_NV_P03004_RED</t>
  </si>
  <si>
    <t>OPTIC_DITHERON_158UM_GRAY231_N1P8V_3P2UA_4P59%_NV_P03004_RED</t>
  </si>
  <si>
    <t>OPTIC_DITHERON_158UM_GRAY243_N1P8V_3P2UA_4P59%_NV_P03004_RED</t>
  </si>
  <si>
    <t>OPTIC_DITHERON_158UM_GRAY255_N1P8V_3P2UA_4P59%_NV_P03004_RED</t>
  </si>
  <si>
    <t>OPTIC_DITHEROFF_158UM_GRAY0_N1P8V_3P2UA_4P59%_NV_P03004_RED</t>
  </si>
  <si>
    <t>OPTIC_DITHEROFF_158UM_GRAY1_N1P8V_3P2UA_4P59%_NV_P03004_RED</t>
  </si>
  <si>
    <t>OPTIC_DITHEROFF_158UM_GRAY2_N1P8V_3P2UA_4P59%_NV_P03004_RED</t>
  </si>
  <si>
    <t>OPTIC_DITHEROFF_158UM_GRAY3_N1P8V_3P2UA_4P59%_NV_P03004_RED</t>
  </si>
  <si>
    <t>OPTIC_DITHEROFF_158UM_GRAY4_N1P8V_3P2UA_4P59%_NV_P03004_RED</t>
  </si>
  <si>
    <t>OPTIC_DITHEROFF_158UM_GRAY5_N1P8V_3P2UA_4P59%_NV_P03004_RED</t>
  </si>
  <si>
    <t>OPTIC_DITHEROFF_158UM_GRAY6_N1P8V_3P2UA_4P59%_NV_P03004_RED</t>
  </si>
  <si>
    <t>OPTIC_DITHEROFF_158UM_GRAY7_N1P8V_3P2UA_4P59%_NV_P03004_RED</t>
  </si>
  <si>
    <t>OPTIC_DITHEROFF_158UM_GRAY8_N1P8V_3P2UA_4P59%_NV_P03004_RED</t>
  </si>
  <si>
    <t>OPTIC_DITHEROFF_158UM_GRAY9_N1P8V_3P2UA_4P59%_NV_P03004_RED</t>
  </si>
  <si>
    <t>OPTIC_DITHEROFF_158UM_GRAY10_N1P8V_3P2UA_4P59%_NV_P03004_RED</t>
  </si>
  <si>
    <t>OPTIC_DITHEROFF_158UM_GRAY11_N1P8V_3P2UA_4P59%_NV_P03004_RED</t>
  </si>
  <si>
    <t>OPTIC_DITHEROFF_158UM_GRAY12_N1P8V_3P2UA_4P59%_NV_P03004_RED</t>
  </si>
  <si>
    <t>OPTIC_DITHEROFF_158UM_GRAY13_N1P8V_3P2UA_4P59%_NV_P03004_RED</t>
  </si>
  <si>
    <t>OPTIC_DITHEROFF_158UM_GRAY14_N1P8V_3P2UA_4P59%_NV_P03004_RED</t>
  </si>
  <si>
    <t>OPTIC_DITHEROFF_158UM_GRAY27_N1P8V_3P2UA_4P59%_NV_P03004_RED</t>
  </si>
  <si>
    <t>OPTIC_DITHEROFF_158UM_GRAY39_N1P8V_3P2UA_4P59%_NV_P03004_RED</t>
  </si>
  <si>
    <t>OPTIC_DITHEROFF_158UM_GRAY51_N1P8V_3P2UA_4P59%_NV_P03004_RED</t>
  </si>
  <si>
    <t>OPTIC_DITHEROFF_158UM_GRAY63_N1P8V_3P2UA_4P59%_NV_P03004_RED</t>
  </si>
  <si>
    <t>OPTIC_DITHEROFF_158UM_GRAY75_N1P8V_3P2UA_4P59%_NV_P03004_RED</t>
  </si>
  <si>
    <t>OPTIC_DITHEROFF_158UM_GRAY87_N1P8V_3P2UA_4P59%_NV_P03004_RED</t>
  </si>
  <si>
    <t>OPTIC_DITHEROFF_158UM_GRAY99_N1P8V_3P2UA_4P59%_NV_P03004_RED</t>
  </si>
  <si>
    <t>OPTIC_DITHEROFF_158UM_GRAY111_N1P8V_3P2UA_4P59%_NV_P03004_RED</t>
  </si>
  <si>
    <t>OPTIC_DITHEROFF_158UM_GRAY123_N1P8V_3P2UA_4P59%_NV_P03004_RED</t>
  </si>
  <si>
    <t>OPTIC_DITHEROFF_158UM_GRAY135_N1P8V_3P2UA_4P59%_NV_P03004_RED</t>
  </si>
  <si>
    <t>OPTIC_DITHEROFF_158UM_GRAY147_N1P8V_3P2UA_4P59%_NV_P03004_RED</t>
  </si>
  <si>
    <t>OPTIC_DITHEROFF_158UM_GRAY159_N1P8V_3P2UA_4P59%_NV_P03004_RED</t>
  </si>
  <si>
    <t>OPTIC_DITHEROFF_158UM_GRAY171_N1P8V_3P2UA_4P59%_NV_P03004_RED</t>
  </si>
  <si>
    <t>OPTIC_DITHEROFF_158UM_GRAY183_N1P8V_3P2UA_4P59%_NV_P03004_RED</t>
  </si>
  <si>
    <t>OPTIC_DITHEROFF_158UM_GRAY195_N1P8V_3P2UA_4P59%_NV_P03004_RED</t>
  </si>
  <si>
    <t>OPTIC_DITHEROFF_158UM_GRAY207_N1P8V_3P2UA_4P59%_NV_P03004_RED</t>
  </si>
  <si>
    <t>OPTIC_DITHEROFF_158UM_GRAY219_N1P8V_3P2UA_4P59%_NV_P03004_RED</t>
  </si>
  <si>
    <t>OPTIC_DITHEROFF_158UM_GRAY231_N1P8V_3P2UA_4P59%_NV_P03004_RED</t>
  </si>
  <si>
    <t>OPTIC_DITHEROFF_158UM_GRAY243_N1P8V_3P2UA_4P59%_NV_P03004_RED</t>
  </si>
  <si>
    <t>OPTIC_DITHEROFF_158UM_GRAY255_N1P8V_3P2UA_4P59%_NV_P03004_RED</t>
  </si>
  <si>
    <t>OPTIC_DITHERON_158UM_GRAY0_N3V_3P2UA_4P59%_NV_P03004_GREEN</t>
  </si>
  <si>
    <t>OPTIC_DITHERON_158UM_GRAY1_N3V_3P2UA_4P59%_NV_P03004_GREEN</t>
  </si>
  <si>
    <t>OPTIC_DITHERON_158UM_GRAY2_N3V_3P2UA_4P59%_NV_P03004_GREEN</t>
  </si>
  <si>
    <t>OPTIC_DITHERON_158UM_GRAY3_N3V_3P2UA_4P59%_NV_P03004_GREEN</t>
  </si>
  <si>
    <t>OPTIC_DITHERON_158UM_GRAY4_N3V_3P2UA_4P59%_NV_P03004_GREEN</t>
  </si>
  <si>
    <t>OPTIC_DITHERON_158UM_GRAY5_N3V_3P2UA_4P59%_NV_P03004_GREEN</t>
  </si>
  <si>
    <t>OPTIC_DITHERON_158UM_GRAY6_N3V_3P2UA_4P59%_NV_P03004_GREEN</t>
  </si>
  <si>
    <t>OPTIC_DITHERON_158UM_GRAY7_N3V_3P2UA_4P59%_NV_P03004_GREEN</t>
  </si>
  <si>
    <t>OPTIC_DITHERON_158UM_GRAY8_N3V_3P2UA_4P59%_NV_P03004_GREEN</t>
  </si>
  <si>
    <t>OPTIC_DITHERON_158UM_GRAY9_N3V_3P2UA_4P59%_NV_P03004_GREEN</t>
  </si>
  <si>
    <t>OPTIC_DITHERON_158UM_GRAY10_N3V_3P2UA_4P59%_NV_P03004_GREEN</t>
  </si>
  <si>
    <t>OPTIC_DITHERON_158UM_GRAY11_N3V_3P2UA_4P59%_NV_P03004_GREEN</t>
  </si>
  <si>
    <t>OPTIC_DITHERON_158UM_GRAY12_N3V_3P2UA_4P59%_NV_P03004_GREEN</t>
  </si>
  <si>
    <t>OPTIC_DITHERON_158UM_GRAY13_N3V_3P2UA_4P59%_NV_P03004_GREEN</t>
  </si>
  <si>
    <t>OPTIC_DITHERON_158UM_GRAY14_N3V_3P2UA_4P59%_NV_P03004_GREEN</t>
  </si>
  <si>
    <t>OPTIC_DITHERON_158UM_GRAY27_N3V_3P2UA_4P59%_NV_P03004_GREEN</t>
  </si>
  <si>
    <t>OPTIC_DITHERON_158UM_GRAY39_N3V_3P2UA_4P59%_NV_P03004_GREEN</t>
  </si>
  <si>
    <t>OPTIC_DITHERON_158UM_GRAY51_N3V_3P2UA_4P59%_NV_P03004_GREEN</t>
  </si>
  <si>
    <t>OPTIC_DITHERON_158UM_GRAY63_N3V_3P2UA_4P59%_NV_P03004_GREEN</t>
  </si>
  <si>
    <t>OPTIC_DITHERON_158UM_GRAY75_N3V_3P2UA_4P59%_NV_P03004_GREEN</t>
  </si>
  <si>
    <t>OPTIC_DITHERON_158UM_GRAY87_N3V_3P2UA_4P59%_NV_P03004_GREEN</t>
  </si>
  <si>
    <t>OPTIC_DITHERON_158UM_GRAY99_N3V_3P2UA_4P59%_NV_P03004_GREEN</t>
  </si>
  <si>
    <t>OPTIC_DITHERON_158UM_GRAY111_N3V_3P2UA_4P59%_NV_P03004_GREEN</t>
  </si>
  <si>
    <t>OPTIC_DITHERON_158UM_GRAY123_N3V_3P2UA_4P59%_NV_P03004_GREEN</t>
  </si>
  <si>
    <t>OPTIC_DITHERON_158UM_GRAY135_N3V_3P2UA_4P59%_NV_P03004_GREEN</t>
  </si>
  <si>
    <t>OPTIC_DITHERON_158UM_GRAY147_N3V_3P2UA_4P59%_NV_P03004_GREEN</t>
  </si>
  <si>
    <t>OPTIC_DITHERON_158UM_GRAY159_N3V_3P2UA_4P59%_NV_P03004_GREEN</t>
  </si>
  <si>
    <t>OPTIC_DITHERON_158UM_GRAY171_N3V_3P2UA_4P59%_NV_P03004_GREEN</t>
  </si>
  <si>
    <t>OPTIC_DITHERON_158UM_GRAY183_N3V_3P2UA_4P59%_NV_P03004_GREEN</t>
  </si>
  <si>
    <t>OPTIC_DITHERON_158UM_GRAY195_N3V_3P2UA_4P59%_NV_P03004_GREEN</t>
  </si>
  <si>
    <t>OPTIC_DITHERON_158UM_GRAY207_N3V_3P2UA_4P59%_NV_P03004_GREEN</t>
  </si>
  <si>
    <t>OPTIC_DITHERON_158UM_GRAY219_N3V_3P2UA_4P59%_NV_P03004_GREEN</t>
  </si>
  <si>
    <t>OPTIC_DITHERON_158UM_GRAY231_N3V_3P2UA_4P59%_NV_P03004_GREEN</t>
  </si>
  <si>
    <t>OPTIC_DITHERON_158UM_GRAY243_N3V_3P2UA_4P59%_NV_P03004_GREEN</t>
  </si>
  <si>
    <t>OPTIC_DITHERON_158UM_GRAY255_N3V_3P2UA_4P59%_NV_P03004_GREEN</t>
  </si>
  <si>
    <t>OPTIC_DITHEROFF_158UM_GRAY0_N3V_3P2UA_4P59%_NV_P03004_GREEN</t>
  </si>
  <si>
    <t>OPTIC_DITHEROFF_158UM_GRAY1_N3V_3P2UA_4P59%_NV_P03004_GREEN</t>
  </si>
  <si>
    <t>OPTIC_DITHEROFF_158UM_GRAY2_N3V_3P2UA_4P59%_NV_P03004_GREEN</t>
  </si>
  <si>
    <t>OPTIC_DITHEROFF_158UM_GRAY3_N3V_3P2UA_4P59%_NV_P03004_GREEN</t>
  </si>
  <si>
    <t>OPTIC_DITHEROFF_158UM_GRAY4_N3V_3P2UA_4P59%_NV_P03004_GREEN</t>
  </si>
  <si>
    <t>OPTIC_DITHEROFF_158UM_GRAY5_N3V_3P2UA_4P59%_NV_P03004_GREEN</t>
  </si>
  <si>
    <t>OPTIC_DITHEROFF_158UM_GRAY6_N3V_3P2UA_4P59%_NV_P03004_GREEN</t>
  </si>
  <si>
    <t>OPTIC_DITHEROFF_158UM_GRAY7_N3V_3P2UA_4P59%_NV_P03004_GREEN</t>
  </si>
  <si>
    <t>OPTIC_DITHEROFF_158UM_GRAY8_N3V_3P2UA_4P59%_NV_P03004_GREEN</t>
  </si>
  <si>
    <t>OPTIC_DITHEROFF_158UM_GRAY9_N3V_3P2UA_4P59%_NV_P03004_GREEN</t>
  </si>
  <si>
    <t>OPTIC_DITHEROFF_158UM_GRAY10_N3V_3P2UA_4P59%_NV_P03004_GREEN</t>
  </si>
  <si>
    <t>OPTIC_DITHEROFF_158UM_GRAY11_N3V_3P2UA_4P59%_NV_P03004_GREEN</t>
  </si>
  <si>
    <t>OPTIC_DITHEROFF_158UM_GRAY12_N3V_3P2UA_4P59%_NV_P03004_GREEN</t>
  </si>
  <si>
    <t>OPTIC_DITHEROFF_158UM_GRAY13_N3V_3P2UA_4P59%_NV_P03004_GREEN</t>
  </si>
  <si>
    <t>OPTIC_DITHEROFF_158UM_GRAY14_N3V_3P2UA_4P59%_NV_P03004_GREEN</t>
  </si>
  <si>
    <t>OPTIC_DITHEROFF_158UM_GRAY27_N3V_3P2UA_4P59%_NV_P03004_GREEN</t>
  </si>
  <si>
    <t>OPTIC_DITHEROFF_158UM_GRAY39_N3V_3P2UA_4P59%_NV_P03004_GREEN</t>
  </si>
  <si>
    <t>OPTIC_DITHEROFF_158UM_GRAY51_N3V_3P2UA_4P59%_NV_P03004_GREEN</t>
  </si>
  <si>
    <t>OPTIC_DITHEROFF_158UM_GRAY63_N3V_3P2UA_4P59%_NV_P03004_GREEN</t>
  </si>
  <si>
    <t>OPTIC_DITHEROFF_158UM_GRAY75_N3V_3P2UA_4P59%_NV_P03004_GREEN</t>
  </si>
  <si>
    <t>OPTIC_DITHEROFF_158UM_GRAY87_N3V_3P2UA_4P59%_NV_P03004_GREEN</t>
  </si>
  <si>
    <t>OPTIC_DITHEROFF_158UM_GRAY99_N3V_3P2UA_4P59%_NV_P03004_GREEN</t>
  </si>
  <si>
    <t>OPTIC_DITHEROFF_158UM_GRAY111_N3V_3P2UA_4P59%_NV_P03004_GREEN</t>
  </si>
  <si>
    <t>OPTIC_DITHEROFF_158UM_GRAY123_N3V_3P2UA_4P59%_NV_P03004_GREEN</t>
  </si>
  <si>
    <t>OPTIC_DITHEROFF_158UM_GRAY135_N3V_3P2UA_4P59%_NV_P03004_GREEN</t>
  </si>
  <si>
    <t>OPTIC_DITHEROFF_158UM_GRAY147_N3V_3P2UA_4P59%_NV_P03004_GREEN</t>
  </si>
  <si>
    <t>OPTIC_DITHEROFF_158UM_GRAY159_N3V_3P2UA_4P59%_NV_P03004_GREEN</t>
  </si>
  <si>
    <t>OPTIC_DITHEROFF_158UM_GRAY171_N3V_3P2UA_4P59%_NV_P03004_GREEN</t>
  </si>
  <si>
    <t>OPTIC_DITHEROFF_158UM_GRAY183_N3V_3P2UA_4P59%_NV_P03004_GREEN</t>
  </si>
  <si>
    <t>OPTIC_DITHEROFF_158UM_GRAY195_N3V_3P2UA_4P59%_NV_P03004_GREEN</t>
  </si>
  <si>
    <t>OPTIC_DITHEROFF_158UM_GRAY207_N3V_3P2UA_4P59%_NV_P03004_GREEN</t>
  </si>
  <si>
    <t>OPTIC_DITHEROFF_158UM_GRAY219_N3V_3P2UA_4P59%_NV_P03004_GREEN</t>
  </si>
  <si>
    <t>OPTIC_DITHEROFF_158UM_GRAY231_N3V_3P2UA_4P59%_NV_P03004_GREEN</t>
  </si>
  <si>
    <t>OPTIC_DITHEROFF_158UM_GRAY243_N3V_3P2UA_4P59%_NV_P03004_GREEN</t>
  </si>
  <si>
    <t>OPTIC_DITHEROFF_158UM_GRAY255_N3V_3P2UA_4P59%_NV_P03004_GREEN</t>
  </si>
  <si>
    <t>OPTIC_DITHERON_158UM_GRAY0_N3V_3P2UA_4P59%_NV_P03004_BLUE</t>
  </si>
  <si>
    <t>OPTIC_DITHERON_158UM_GRAY1_N3V_3P2UA_4P59%_NV_P03004_BLUE</t>
  </si>
  <si>
    <t>OPTIC_DITHERON_158UM_GRAY2_N3V_3P2UA_4P59%_NV_P03004_BLUE</t>
  </si>
  <si>
    <t>OPTIC_DITHERON_158UM_GRAY3_N3V_3P2UA_4P59%_NV_P03004_BLUE</t>
  </si>
  <si>
    <t>OPTIC_DITHERON_158UM_GRAY4_N3V_3P2UA_4P59%_NV_P03004_BLUE</t>
  </si>
  <si>
    <t>OPTIC_DITHERON_158UM_GRAY5_N3V_3P2UA_4P59%_NV_P03004_BLUE</t>
  </si>
  <si>
    <t>OPTIC_DITHERON_158UM_GRAY6_N3V_3P2UA_4P59%_NV_P03004_BLUE</t>
  </si>
  <si>
    <t>OPTIC_DITHERON_158UM_GRAY7_N3V_3P2UA_4P59%_NV_P03004_BLUE</t>
  </si>
  <si>
    <t>OPTIC_DITHERON_158UM_GRAY8_N3V_3P2UA_4P59%_NV_P03004_BLUE</t>
  </si>
  <si>
    <t>OPTIC_DITHERON_158UM_GRAY9_N3V_3P2UA_4P59%_NV_P03004_BLUE</t>
  </si>
  <si>
    <t>OPTIC_DITHERON_158UM_GRAY10_N3V_3P2UA_4P59%_NV_P03004_BLUE</t>
  </si>
  <si>
    <t>OPTIC_DITHERON_158UM_GRAY11_N3V_3P2UA_4P59%_NV_P03004_BLUE</t>
  </si>
  <si>
    <t>OPTIC_DITHERON_158UM_GRAY12_N3V_3P2UA_4P59%_NV_P03004_BLUE</t>
  </si>
  <si>
    <t>OPTIC_DITHERON_158UM_GRAY13_N3V_3P2UA_4P59%_NV_P03004_BLUE</t>
  </si>
  <si>
    <t>OPTIC_DITHERON_158UM_GRAY14_N3V_3P2UA_4P59%_NV_P03004_BLUE</t>
  </si>
  <si>
    <t>OPTIC_DITHERON_158UM_GRAY27_N3V_3P2UA_4P59%_NV_P03004_BLUE</t>
  </si>
  <si>
    <t>OPTIC_DITHERON_158UM_GRAY39_N3V_3P2UA_4P59%_NV_P03004_BLUE</t>
  </si>
  <si>
    <t>OPTIC_DITHERON_158UM_GRAY51_N3V_3P2UA_4P59%_NV_P03004_BLUE</t>
  </si>
  <si>
    <t>OPTIC_DITHERON_158UM_GRAY63_N3V_3P2UA_4P59%_NV_P03004_BLUE</t>
  </si>
  <si>
    <t>OPTIC_DITHERON_158UM_GRAY75_N3V_3P2UA_4P59%_NV_P03004_BLUE</t>
  </si>
  <si>
    <t>OPTIC_DITHERON_158UM_GRAY87_N3V_3P2UA_4P59%_NV_P03004_BLUE</t>
  </si>
  <si>
    <t>OPTIC_DITHERON_158UM_GRAY99_N3V_3P2UA_4P59%_NV_P03004_BLUE</t>
  </si>
  <si>
    <t>OPTIC_DITHERON_158UM_GRAY111_N3V_3P2UA_4P59%_NV_P03004_BLUE</t>
  </si>
  <si>
    <t>OPTIC_DITHERON_158UM_GRAY123_N3V_3P2UA_4P59%_NV_P03004_BLUE</t>
  </si>
  <si>
    <t>OPTIC_DITHERON_158UM_GRAY135_N3V_3P2UA_4P59%_NV_P03004_BLUE</t>
  </si>
  <si>
    <t>OPTIC_DITHERON_158UM_GRAY147_N3V_3P2UA_4P59%_NV_P03004_BLUE</t>
  </si>
  <si>
    <t>OPTIC_DITHERON_158UM_GRAY159_N3V_3P2UA_4P59%_NV_P03004_BLUE</t>
  </si>
  <si>
    <t>OPTIC_DITHERON_158UM_GRAY171_N3V_3P2UA_4P59%_NV_P03004_BLUE</t>
  </si>
  <si>
    <t>OPTIC_DITHERON_158UM_GRAY183_N3V_3P2UA_4P59%_NV_P03004_BLUE</t>
  </si>
  <si>
    <t>OPTIC_DITHERON_158UM_GRAY195_N3V_3P2UA_4P59%_NV_P03004_BLUE</t>
  </si>
  <si>
    <t>OPTIC_DITHERON_158UM_GRAY207_N3V_3P2UA_4P59%_NV_P03004_BLUE</t>
  </si>
  <si>
    <t>OPTIC_DITHERON_158UM_GRAY219_N3V_3P2UA_4P59%_NV_P03004_BLUE</t>
  </si>
  <si>
    <t>OPTIC_DITHERON_158UM_GRAY231_N3V_3P2UA_4P59%_NV_P03004_BLUE</t>
  </si>
  <si>
    <t>OPTIC_DITHERON_158UM_GRAY243_N3V_3P2UA_4P59%_NV_P03004_BLUE</t>
  </si>
  <si>
    <t>OPTIC_DITHERON_158UM_GRAY255_N3V_3P2UA_4P59%_NV_P03004_BLUE</t>
  </si>
  <si>
    <t>OPTIC_DITHEROFF_158UM_GRAY0_N3V_3P2UA_4P59%_NV_P03004_BLUE</t>
  </si>
  <si>
    <t>OPTIC_DITHEROFF_158UM_GRAY1_N3V_3P2UA_4P59%_NV_P03004_BLUE</t>
  </si>
  <si>
    <t>OPTIC_DITHEROFF_158UM_GRAY2_N3V_3P2UA_4P59%_NV_P03004_BLUE</t>
  </si>
  <si>
    <t>OPTIC_DITHEROFF_158UM_GRAY3_N3V_3P2UA_4P59%_NV_P03004_BLUE</t>
  </si>
  <si>
    <t>OPTIC_DITHEROFF_158UM_GRAY4_N3V_3P2UA_4P59%_NV_P03004_BLUE</t>
  </si>
  <si>
    <t>OPTIC_DITHEROFF_158UM_GRAY5_N3V_3P2UA_4P59%_NV_P03004_BLUE</t>
  </si>
  <si>
    <t>OPTIC_DITHEROFF_158UM_GRAY6_N3V_3P2UA_4P59%_NV_P03004_BLUE</t>
  </si>
  <si>
    <t>OPTIC_DITHEROFF_158UM_GRAY7_N3V_3P2UA_4P59%_NV_P03004_BLUE</t>
  </si>
  <si>
    <t>OPTIC_DITHEROFF_158UM_GRAY8_N3V_3P2UA_4P59%_NV_P03004_BLUE</t>
  </si>
  <si>
    <t>OPTIC_DITHEROFF_158UM_GRAY9_N3V_3P2UA_4P59%_NV_P03004_BLUE</t>
  </si>
  <si>
    <t>OPTIC_DITHEROFF_158UM_GRAY10_N3V_3P2UA_4P59%_NV_P03004_BLUE</t>
  </si>
  <si>
    <t>OPTIC_DITHEROFF_158UM_GRAY11_N3V_3P2UA_4P59%_NV_P03004_BLUE</t>
  </si>
  <si>
    <t>OPTIC_DITHEROFF_158UM_GRAY12_N3V_3P2UA_4P59%_NV_P03004_BLUE</t>
  </si>
  <si>
    <t>OPTIC_DITHEROFF_158UM_GRAY13_N3V_3P2UA_4P59%_NV_P03004_BLUE</t>
  </si>
  <si>
    <t>OPTIC_DITHEROFF_158UM_GRAY14_N3V_3P2UA_4P59%_NV_P03004_BLUE</t>
  </si>
  <si>
    <t>OPTIC_DITHEROFF_158UM_GRAY27_N3V_3P2UA_4P59%_NV_P03004_BLUE</t>
  </si>
  <si>
    <t>OPTIC_DITHEROFF_158UM_GRAY39_N3V_3P2UA_4P59%_NV_P03004_BLUE</t>
  </si>
  <si>
    <t>OPTIC_DITHEROFF_158UM_GRAY51_N3V_3P2UA_4P59%_NV_P03004_BLUE</t>
  </si>
  <si>
    <t>OPTIC_DITHEROFF_158UM_GRAY63_N3V_3P2UA_4P59%_NV_P03004_BLUE</t>
  </si>
  <si>
    <t>OPTIC_DITHEROFF_158UM_GRAY75_N3V_3P2UA_4P59%_NV_P03004_BLUE</t>
  </si>
  <si>
    <t>OPTIC_DITHEROFF_158UM_GRAY87_N3V_3P2UA_4P59%_NV_P03004_BLUE</t>
  </si>
  <si>
    <t>OPTIC_DITHEROFF_158UM_GRAY99_N3V_3P2UA_4P59%_NV_P03004_BLUE</t>
  </si>
  <si>
    <t>OPTIC_DITHEROFF_158UM_GRAY111_N3V_3P2UA_4P59%_NV_P03004_BLUE</t>
  </si>
  <si>
    <t>OPTIC_DITHEROFF_158UM_GRAY123_N3V_3P2UA_4P59%_NV_P03004_BLUE</t>
  </si>
  <si>
    <t>OPTIC_DITHEROFF_158UM_GRAY135_N3V_3P2UA_4P59%_NV_P03004_BLUE</t>
  </si>
  <si>
    <t>OPTIC_DITHEROFF_158UM_GRAY147_N3V_3P2UA_4P59%_NV_P03004_BLUE</t>
  </si>
  <si>
    <t>OPTIC_DITHEROFF_158UM_GRAY159_N3V_3P2UA_4P59%_NV_P03004_BLUE</t>
  </si>
  <si>
    <t>OPTIC_DITHEROFF_158UM_GRAY171_N3V_3P2UA_4P59%_NV_P03004_BLUE</t>
  </si>
  <si>
    <t>OPTIC_DITHEROFF_158UM_GRAY183_N3V_3P2UA_4P59%_NV_P03004_BLUE</t>
  </si>
  <si>
    <t>OPTIC_DITHEROFF_158UM_GRAY195_N3V_3P2UA_4P59%_NV_P03004_BLUE</t>
  </si>
  <si>
    <t>OPTIC_DITHEROFF_158UM_GRAY207_N3V_3P2UA_4P59%_NV_P03004_BLUE</t>
  </si>
  <si>
    <t>OPTIC_DITHEROFF_158UM_GRAY219_N3V_3P2UA_4P59%_NV_P03004_BLUE</t>
  </si>
  <si>
    <t>OPTIC_DITHEROFF_158UM_GRAY231_N3V_3P2UA_4P59%_NV_P03004_BLUE</t>
  </si>
  <si>
    <t>OPTIC_DITHEROFF_158UM_GRAY243_N3V_3P2UA_4P59%_NV_P03004_BLUE</t>
  </si>
  <si>
    <t>OPTIC_DITHEROFF_158UM_GRAY255_N3V_3P2UA_4P59%_NV_P03004_BLUE</t>
  </si>
  <si>
    <t>OPTIC_IMG_FLARE_1-3-4-6-7-9_N1P8V_3P2UA_4P59%_NV_P03004_RED</t>
  </si>
  <si>
    <t>OPTIC_IMG_FLARE134679_FRAMECNT_N1P8V_3P2UA_4P59%_NV_P03004_RED</t>
  </si>
  <si>
    <t>OPTIC_IMG_FLARE_2-5-8_N1P8V_3P2UA_4P59%_NV_P03004_RED</t>
  </si>
  <si>
    <t>OPTIC_IMG_FLARE258_FRAMECNT_N1P8V_3P2UA_4P59%_NV_P03004_RED</t>
  </si>
  <si>
    <t>OPTIC_IMG_FLARE_1-3-4-6-7-9_N3V_0P7UA_4P59%_NV_P03004_GREEN</t>
  </si>
  <si>
    <t>OPTIC_IMG_FLARE134679_FRAMECNT_N3V_0P7UA_4P59%_NV_P03004_GREEN</t>
  </si>
  <si>
    <t>OPTIC_IMG_FLARE_2-5-8_N3V_0P7UA_4P59%_NV_P03004_GREEN</t>
  </si>
  <si>
    <t>OPTIC_IMG_FLARE258_FRAMECNT_N3V_0P7UA_4P59%_NV_P03004_GREEN</t>
  </si>
  <si>
    <t>OPTIC_IMG_FLARE_1-3-4-6-7-9_N3V_1UA_4P59%_NV_P03004_BLUE</t>
  </si>
  <si>
    <t>OPTIC_IMG_FLARE134679_FRAMECNT_N3V_1UA_4P59%_NV_P03004_BLUE</t>
  </si>
  <si>
    <t>OPTIC_IMG_FLARE_2-5-8_N3V_1UA_4P59%_NV_P03004_BLUE</t>
  </si>
  <si>
    <t>OPTIC_IMG_FLARE258_FRAMECNT_N3V_1UA_4P59%_NV_P03004_BLUE</t>
  </si>
  <si>
    <t>OPTIC_QCAL_FOCUSSCORE_BEFORECAL_X_X_X_NV_P03004_RED</t>
  </si>
  <si>
    <t>OPTIC_QCAL_FOCUSSCORE_AFTERCAL_X_X_X_NV_P03004_RED</t>
  </si>
  <si>
    <t>0.4</t>
  </si>
  <si>
    <t>2.5</t>
  </si>
  <si>
    <t>OPTIC_QCAL_FOCUSSCORE_BEFORECAL_X_X_X_NV_P03004_GREEN</t>
  </si>
  <si>
    <t>OPTIC_QCAL_FOCUSSCORE_AFTERCAL_X_X_X_NV_P03004_GREEN</t>
  </si>
  <si>
    <t>OPTIC_QCAL_FOCUSSCORE_BEFORECAL_X_X_X_NV_P03004_BLUE</t>
  </si>
  <si>
    <t>OPTIC_QCAL_FOCUSSCORE_AFTERCAL_X_X_X_NV_P03004_BLUE</t>
  </si>
  <si>
    <t>OPTIC_CAL_WXYCAL_FULLPANEL_BEFORECAL_X_X_NV_P03004_RED</t>
  </si>
  <si>
    <t>OPTIC_CAL_WXYCAL_FULLPANEL_BEFORECAL_Y_X_NV_P03004_RED</t>
  </si>
  <si>
    <t>OPTIC_CAL_WXYCAL_FULLPANEL_BEFORECAL_Z_X_NV_P03004_RED</t>
  </si>
  <si>
    <t>OPTIC_CAL_WXYCAL_FULLPANEL_BEFORECAL_U_X_NV_P03004_RED</t>
  </si>
  <si>
    <t>OPTIC_CAL_WXYCAL_FULLPANEL_BEFORECAL_V_X_NV_P03004_RED</t>
  </si>
  <si>
    <t>OPTIC_CAL_WXYCAL_FULLPANEL_BEFORECAL_W_X_NV_P03004_RED</t>
  </si>
  <si>
    <t>OPTIC_CAL_WXYCAL_FULLPANEL_AFTERCAL_X_X_NV_P03004_RED</t>
  </si>
  <si>
    <t>OPTIC_CAL_WXYCAL_FULLPANEL_AFTERCAL_Y_X_NV_P03004_RED</t>
  </si>
  <si>
    <t>OPTIC_CAL_WXYCAL_FULLPANEL_AFTERCAL_Z_X_NV_P03004_RED</t>
  </si>
  <si>
    <t>OPTIC_CAL_WXYCAL_FULLPANEL_AFTERCAL_U_X_NV_P03004_RED</t>
  </si>
  <si>
    <t>OPTIC_CAL_WXYCAL_FULLPANEL_AFTERCAL_V_X_NV_P03004_RED</t>
  </si>
  <si>
    <t>OPTIC_CAL_WXYCAL_FULLPANEL_AFTERCAL_W_X_NV_P03004_RED</t>
  </si>
  <si>
    <t>OPTIC_CAL_WXYCAL_OOB_X_X_X_NV_P03004_RED</t>
  </si>
  <si>
    <t>OPTIC_CAL_WXYCAL_OOB_Y_X_X_NV_P03004_RED</t>
  </si>
  <si>
    <t>OPTIC_CAL_WXYCAL_OOB_Z_X_X_NV_P03004_RED</t>
  </si>
  <si>
    <t>OPTIC_CAL_WXYCAL_OOB_U_X_X_NV_P03004_RED</t>
  </si>
  <si>
    <t>OPTIC_CAL_WXYCAL_OOB_V_X_X_NV_P03004_RED</t>
  </si>
  <si>
    <t>OPTIC_CAL_WXYCAL_OOB_W_X_X_NV_P03004_RED</t>
  </si>
  <si>
    <t>OPTIC_CAL_WXYCAL_OOB_FLAG_X_X_NV_P03004_RED</t>
  </si>
  <si>
    <t>OPTIC_FULLFOCUS_FULLPANEL_AFTERCAL_X_X_X_NV_P03004_RED</t>
  </si>
  <si>
    <t>OPTIC_FULLFOCUS_FULLPANEL_AFTERCAL_Y_X_X_NV_P03004_RED</t>
  </si>
  <si>
    <t>OPTIC_FULLFOCUS_FULLPANEL_AFTERCAL_Z_X_X_NV_P03004_RED</t>
  </si>
  <si>
    <t>OPTIC_FULLFOCUS_FULLPANEL_AFTERCAL_U_X_X_NV_P03004_RED</t>
  </si>
  <si>
    <t>OPTIC_FULLFOCUS_FULLPANEL_AFTERCAL_V_X_X_NV_P03004_RED</t>
  </si>
  <si>
    <t>OPTIC_FULLFOCUS_FULLPANEL_AFTERCAL_W_X_X_NV_P03004_RED</t>
  </si>
  <si>
    <t>OPTIC_CAL_WXYCAL_FULLPANEL_BEFORECAL_X_X_NV_P03004_GREEN</t>
  </si>
  <si>
    <t>OPTIC_CAL_WXYCAL_FULLPANEL_BEFORECAL_Y_X_NV_P03004_GREEN</t>
  </si>
  <si>
    <t>OPTIC_CAL_WXYCAL_FULLPANEL_BEFORECAL_Z_X_NV_P03004_GREEN</t>
  </si>
  <si>
    <t>OPTIC_CAL_WXYCAL_FULLPANEL_BEFORECAL_U_X_NV_P03004_GREEN</t>
  </si>
  <si>
    <t>OPTIC_CAL_WXYCAL_FULLPANEL_BEFORECAL_V_X_NV_P03004_GREEN</t>
  </si>
  <si>
    <t>OPTIC_CAL_WXYCAL_FULLPANEL_BEFORECAL_W_X_NV_P03004_GREEN</t>
  </si>
  <si>
    <t>OPTIC_CAL_WXYCAL_FULLPANEL_AFTERCAL_X_X_NV_P03004_GREEN</t>
  </si>
  <si>
    <t>OPTIC_CAL_WXYCAL_FULLPANEL_AFTERCAL_Y_X_NV_P03004_GREEN</t>
  </si>
  <si>
    <t>OPTIC_CAL_WXYCAL_FULLPANEL_AFTERCAL_Z_X_NV_P03004_GREEN</t>
  </si>
  <si>
    <t>OPTIC_CAL_WXYCAL_FULLPANEL_AFTERCAL_U_X_NV_P03004_GREEN</t>
  </si>
  <si>
    <t>OPTIC_CAL_WXYCAL_FULLPANEL_AFTERCAL_V_X_NV_P03004_GREEN</t>
  </si>
  <si>
    <t>OPTIC_CAL_WXYCAL_FULLPANEL_AFTERCAL_W_X_NV_P03004_GREEN</t>
  </si>
  <si>
    <t>OPTIC_CAL_WXYCAL_OOB_X_X_X_NV_P03004_GREEN</t>
  </si>
  <si>
    <t>OPTIC_CAL_WXYCAL_OOB_Y_X_X_NV_P03004_GREEN</t>
  </si>
  <si>
    <t>OPTIC_CAL_WXYCAL_OOB_Z_X_X_NV_P03004_GREEN</t>
  </si>
  <si>
    <t>OPTIC_CAL_WXYCAL_OOB_U_X_X_NV_P03004_GREEN</t>
  </si>
  <si>
    <t>OPTIC_CAL_WXYCAL_OOB_V_X_X_NV_P03004_GREEN</t>
  </si>
  <si>
    <t>OPTIC_CAL_WXYCAL_OOB_W_X_X_NV_P03004_GREEN</t>
  </si>
  <si>
    <t>OPTIC_CAL_WXYCAL_OOB_FLAG_X_X_NV_P03004_GREEN</t>
  </si>
  <si>
    <t>OPTIC_FULLFOCUS_FULLPANEL_AFTERCAL_X_X_X_NV_P03004_GREEN</t>
  </si>
  <si>
    <t>OPTIC_FULLFOCUS_FULLPANEL_AFTERCAL_Y_X_X_NV_P03004_GREEN</t>
  </si>
  <si>
    <t>OPTIC_FULLFOCUS_FULLPANEL_AFTERCAL_Z_X_X_NV_P03004_GREEN</t>
  </si>
  <si>
    <t>OPTIC_FULLFOCUS_FULLPANEL_AFTERCAL_U_X_X_NV_P03004_GREEN</t>
  </si>
  <si>
    <t>OPTIC_FULLFOCUS_FULLPANEL_AFTERCAL_V_X_X_NV_P03004_GREEN</t>
  </si>
  <si>
    <t>OPTIC_FULLFOCUS_FULLPANEL_AFTERCAL_W_X_X_NV_P03004_GREEN</t>
  </si>
  <si>
    <t>OPTIC_CAL_WXYCAL_FULLPANEL_BEFORECAL_X_X_NV_P03004_BLUE</t>
  </si>
  <si>
    <t>OPTIC_CAL_WXYCAL_FULLPANEL_BEFORECAL_Y_X_NV_P03004_BLUE</t>
  </si>
  <si>
    <t>OPTIC_CAL_WXYCAL_FULLPANEL_BEFORECAL_Z_X_NV_P03004_BLUE</t>
  </si>
  <si>
    <t>OPTIC_CAL_WXYCAL_FULLPANEL_BEFORECAL_U_X_NV_P03004_BLUE</t>
  </si>
  <si>
    <t>OPTIC_CAL_WXYCAL_FULLPANEL_BEFORECAL_V_X_NV_P03004_BLUE</t>
  </si>
  <si>
    <t>OPTIC_CAL_WXYCAL_FULLPANEL_BEFORECAL_W_X_NV_P03004_BLUE</t>
  </si>
  <si>
    <t>OPTIC_CAL_WXYCAL_FULLPANEL_AFTERCAL_X_X_NV_P03004_BLUE</t>
  </si>
  <si>
    <t>OPTIC_CAL_WXYCAL_FULLPANEL_AFTERCAL_Y_X_NV_P03004_BLUE</t>
  </si>
  <si>
    <t>OPTIC_CAL_WXYCAL_FULLPANEL_AFTERCAL_Z_X_NV_P03004_BLUE</t>
  </si>
  <si>
    <t>OPTIC_CAL_WXYCAL_FULLPANEL_AFTERCAL_U_X_NV_P03004_BLUE</t>
  </si>
  <si>
    <t>OPTIC_CAL_WXYCAL_FULLPANEL_AFTERCAL_V_X_NV_P03004_BLUE</t>
  </si>
  <si>
    <t>OPTIC_CAL_WXYCAL_FULLPANEL_AFTERCAL_W_X_NV_P03004_BLUE</t>
  </si>
  <si>
    <t>OPTIC_CAL_WXYCAL_OOB_X_X_X_NV_P03004_BLUE</t>
  </si>
  <si>
    <t>OPTIC_CAL_WXYCAL_OOB_Y_X_X_NV_P03004_BLUE</t>
  </si>
  <si>
    <t>OPTIC_CAL_WXYCAL_OOB_Z_X_X_NV_P03004_BLUE</t>
  </si>
  <si>
    <t>OPTIC_CAL_WXYCAL_OOB_U_X_X_NV_P03004_BLUE</t>
  </si>
  <si>
    <t>OPTIC_CAL_WXYCAL_OOB_V_X_X_NV_P03004_BLUE</t>
  </si>
  <si>
    <t>OPTIC_CAL_WXYCAL_OOB_W_X_X_NV_P03004_BLUE</t>
  </si>
  <si>
    <t>OPTIC_CAL_WXYCAL_OOB_FLAG_X_X_NV_P03004_BLUE</t>
  </si>
  <si>
    <t>OPTIC_FULLFOCUS_FULLPANEL_AFTERCAL_X_X_X_NV_P03004_BLUE</t>
  </si>
  <si>
    <t>OPTIC_FULLFOCUS_FULLPANEL_AFTERCAL_Y_X_X_NV_P03004_BLUE</t>
  </si>
  <si>
    <t>OPTIC_FULLFOCUS_FULLPANEL_AFTERCAL_Z_X_X_NV_P03004_BLUE</t>
  </si>
  <si>
    <t>OPTIC_FULLFOCUS_FULLPANEL_AFTERCAL_U_X_X_NV_P03004_BLUE</t>
  </si>
  <si>
    <t>OPTIC_FULLFOCUS_FULLPANEL_AFTERCAL_V_X_X_NV_P03004_BLUE</t>
  </si>
  <si>
    <t>OPTIC_FULLFOCUS_FULLPANEL_AFTERCAL_W_X_X_NV_P03004_BLUE</t>
  </si>
  <si>
    <t>DC_POINTB_X_DUTY_X_X_X_NV_P03004_RED</t>
  </si>
  <si>
    <t>Test_pointB_current (RED)</t>
  </si>
  <si>
    <t>DC_POINTB_X_AVEE_N1P00V_X_X_NV_P03004_RED</t>
  </si>
  <si>
    <t>DC_POINTB_X_DARKCURRENT_N1P00V_X_X_NV_P03004_RED</t>
  </si>
  <si>
    <t>DC_POINTB_X_AVEECURRENT_N1P00V_X_X_NV_P03004_RED</t>
  </si>
  <si>
    <t>DC_POINTB_X_PIXELCURENT_N1P00V_X_X_NV_P03004_RED</t>
  </si>
  <si>
    <t>DC_POINTB_X_AVEE_N1P10V_X_X_NV_P03004_RED</t>
  </si>
  <si>
    <t>DC_POINTB_X_DARKCURRENT_N1P10V_X_X_NV_P03004_RED</t>
  </si>
  <si>
    <t>DC_POINTB_X_AVEECURRENT_N1P10V_X_X_NV_P03004_RED</t>
  </si>
  <si>
    <t>DC_POINTB_X_PIXELCURENT_N1P10V_X_X_NV_P03004_RED</t>
  </si>
  <si>
    <t>DC_POINTB_X_AVEE_N1P20V_X_X_NV_P03004_RED</t>
  </si>
  <si>
    <t>DC_POINTB_X_DARKCURRENT_N1P20V_X_X_NV_P03004_RED</t>
  </si>
  <si>
    <t>DC_POINTB_X_AVEECURRENT_N1P20V_X_X_NV_P03004_RED</t>
  </si>
  <si>
    <t>DC_POINTB_X_PIXELCURENT_N1P20V_X_X_NV_P03004_RED</t>
  </si>
  <si>
    <t>DC_POINTB_X_AVEE_N1P30V_X_X_NV_P03004_RED</t>
  </si>
  <si>
    <t>DC_POINTB_X_DARKCURRENT_N1P30V_X_X_NV_P03004_RED</t>
  </si>
  <si>
    <t>DC_POINTB_X_AVEECURRENT_N1P30V_X_X_NV_P03004_RED</t>
  </si>
  <si>
    <t>DC_POINTB_X_PIXELCURENT_N1P30V_X_X_NV_P03004_RED</t>
  </si>
  <si>
    <t>DC_POINTB_X_AVEE_N1P40V_X_X_NV_P03004_RED</t>
  </si>
  <si>
    <t>DC_POINTB_X_DARKCURRENT_N1P40V_X_X_NV_P03004_RED</t>
  </si>
  <si>
    <t>DC_POINTB_X_AVEECURRENT_N1P40V_X_X_NV_P03004_RED</t>
  </si>
  <si>
    <t>DC_POINTB_X_PIXELCURENT_N1P40V_X_X_NV_P03004_RED</t>
  </si>
  <si>
    <t>DC_POINTB_X_AVEE_N1P50V_X_X_NV_P03004_RED</t>
  </si>
  <si>
    <t>DC_POINTB_X_DARKCURRENT_N1P50V_X_X_NV_P03004_RED</t>
  </si>
  <si>
    <t>DC_POINTB_X_AVEECURRENT_N1P50V_X_X_NV_P03004_RED</t>
  </si>
  <si>
    <t>DC_POINTB_X_PIXELCURENT_N1P50V_X_X_NV_P03004_RED</t>
  </si>
  <si>
    <t>DC_POINTB_X_AVEE_N1P60V_X_X_NV_P03004_RED</t>
  </si>
  <si>
    <t>DC_POINTB_X_DARKCURRENT_N1P60V_X_X_NV_P03004_RED</t>
  </si>
  <si>
    <t>DC_POINTB_X_AVEECURRENT_N1P60V_X_X_NV_P03004_RED</t>
  </si>
  <si>
    <t>DC_POINTB_X_PIXELCURENT_N1P60V_X_X_NV_P03004_RED</t>
  </si>
  <si>
    <t>DC_POINTB_X_AVEE_N1P70V_X_X_NV_P03004_RED</t>
  </si>
  <si>
    <t>DC_POINTB_X_DARKCURRENT_N1P70V_X_X_NV_P03004_RED</t>
  </si>
  <si>
    <t>DC_POINTB_X_AVEECURRENT_N1P70V_X_X_NV_P03004_RED</t>
  </si>
  <si>
    <t>DC_POINTB_X_PIXELCURENT_N1P70V_X_X_NV_P03004_RED</t>
  </si>
  <si>
    <t>DC_POINTB_X_AVEE_N1P80V_X_X_NV_P03004_RED</t>
  </si>
  <si>
    <t>DC_POINTB_X_DARKCURRENT_N1P80V_X_X_NV_P03004_RED</t>
  </si>
  <si>
    <t>DC_POINTB_X_AVEECURRENT_N1P80V_X_X_NV_P03004_RED</t>
  </si>
  <si>
    <t>DC_POINTB_X_PIXELCURENT_N1P80V_X_X_NV_P03004_RED</t>
  </si>
  <si>
    <t>DC_POINTB_X_AVEE_N1P90V_X_X_NV_P03004_RED</t>
  </si>
  <si>
    <t>DC_POINTB_X_DARKCURRENT_N1P90V_X_X_NV_P03004_RED</t>
  </si>
  <si>
    <t>DC_POINTB_X_AVEECURRENT_N1P90V_X_X_NV_P03004_RED</t>
  </si>
  <si>
    <t>DC_POINTB_X_PIXELCURENT_N1P90V_X_X_NV_P03004_RED</t>
  </si>
  <si>
    <t>DC_POINTB_X_AVEE_N2P00V_X_X_NV_P03004_RED</t>
  </si>
  <si>
    <t>DC_POINTB_X_DARKCURRENT_N2P00V_X_X_NV_P03004_RED</t>
  </si>
  <si>
    <t>DC_POINTB_X_AVEECURRENT_N2P00V_X_X_NV_P03004_RED</t>
  </si>
  <si>
    <t>DC_POINTB_X_PIXELCURENT_N2P00V_X_X_NV_P03004_RED</t>
  </si>
  <si>
    <t>DC_POINTB_X_AVEE_N2P10V_X_X_NV_P03004_RED</t>
  </si>
  <si>
    <t>DC_POINTB_X_DARKCURRENT_N2P10V_X_X_NV_P03004_RED</t>
  </si>
  <si>
    <t>DC_POINTB_X_AVEECURRENT_N2P10V_X_X_NV_P03004_RED</t>
  </si>
  <si>
    <t>DC_POINTB_X_PIXELCURENT_N2P10V_X_X_NV_P03004_RED</t>
  </si>
  <si>
    <t>DC_POINTB_X_AVEE_N2P20V_X_X_NV_P03004_RED</t>
  </si>
  <si>
    <t>DC_POINTB_X_DARKCURRENT_N2P20V_X_X_NV_P03004_RED</t>
  </si>
  <si>
    <t>DC_POINTB_X_AVEECURRENT_N2P20V_X_X_NV_P03004_RED</t>
  </si>
  <si>
    <t>DC_POINTB_X_PIXELCURENT_N2P20V_X_X_NV_P03004_RED</t>
  </si>
  <si>
    <t>DC_POINTB_X_AVEE_N2P30V_X_X_NV_P03004_RED</t>
  </si>
  <si>
    <t>DC_POINTB_X_DARKCURRENT_N2P30V_X_X_NV_P03004_RED</t>
  </si>
  <si>
    <t>DC_POINTB_X_AVEECURRENT_N2P30V_X_X_NV_P03004_RED</t>
  </si>
  <si>
    <t>DC_POINTB_X_PIXELCURENT_N2P30V_X_X_NV_P03004_RED</t>
  </si>
  <si>
    <t>DC_POINTB_X_AVEE_N2P40V_X_X_NV_P03004_RED</t>
  </si>
  <si>
    <t>DC_POINTB_X_DARKCURRENT_N2P40V_X_X_NV_P03004_RED</t>
  </si>
  <si>
    <t>DC_POINTB_X_AVEECURRENT_N2P40V_X_X_NV_P03004_RED</t>
  </si>
  <si>
    <t>DC_POINTB_X_PIXELCURENT_N2P40V_X_X_NV_P03004_RED</t>
  </si>
  <si>
    <t>DC_POINTB_X_AVEE_N2P50V_X_X_NV_P03004_RED</t>
  </si>
  <si>
    <t>DC_POINTB_X_DARKCURRENT_N2P50V_X_X_NV_P03004_RED</t>
  </si>
  <si>
    <t>DC_POINTB_X_AVEECURRENT_N2P50V_X_X_NV_P03004_RED</t>
  </si>
  <si>
    <t>DC_POINTB_X_PIXELCURENT_N2P50V_X_X_NV_P03004_RED</t>
  </si>
  <si>
    <t>DC_POINTB_X_AVEE_N2P60V_X_X_NV_P03004_RED</t>
  </si>
  <si>
    <t>DC_POINTB_X_DARKCURRENT_N2P60V_X_X_NV_P03004_RED</t>
  </si>
  <si>
    <t>DC_POINTB_X_AVEECURRENT_N2P60V_X_X_NV_P03004_RED</t>
  </si>
  <si>
    <t>DC_POINTB_X_PIXELCURENT_N2P60V_X_X_NV_P03004_RED</t>
  </si>
  <si>
    <t>DC_POINTB_X_AVEE_N2P70V_X_X_NV_P03004_RED</t>
  </si>
  <si>
    <t>DC_POINTB_X_DARKCURRENT_N2P70V_X_X_NV_P03004_RED</t>
  </si>
  <si>
    <t>DC_POINTB_X_AVEECURRENT_N2P70V_X_X_NV_P03004_RED</t>
  </si>
  <si>
    <t>DC_POINTB_X_PIXELCURENT_N2P70V_X_X_NV_P03004_RED</t>
  </si>
  <si>
    <t>DC_POINTB_X_AVEE_N2P80V_X_X_NV_P03004_RED</t>
  </si>
  <si>
    <t>DC_POINTB_X_DARKCURRENT_N2P80V_X_X_NV_P03004_RED</t>
  </si>
  <si>
    <t>DC_POINTB_X_AVEECURRENT_N2P80V_X_X_NV_P03004_RED</t>
  </si>
  <si>
    <t>DC_POINTB_X_PIXELCURENT_N2P80V_X_X_NV_P03004_RED</t>
  </si>
  <si>
    <t>DC_POINTB_X_AVEE_N2P90V_X_X_NV_P03004_RED</t>
  </si>
  <si>
    <t>DC_POINTB_X_DARKCURRENT_N2P90V_X_X_NV_P03004_RED</t>
  </si>
  <si>
    <t>DC_POINTB_X_AVEECURRENT_N2P90V_X_X_NV_P03004_RED</t>
  </si>
  <si>
    <t>DC_POINTB_X_PIXELCURENT_N2P90V_X_X_NV_P03004_RED</t>
  </si>
  <si>
    <t>DC_POINTB_X_AVEE_N3P00V_X_X_NV_P03004_RED</t>
  </si>
  <si>
    <t>DC_POINTB_X_DARKCURRENT_N3P00V_X_X_NV_P03004_RED</t>
  </si>
  <si>
    <t>DC_POINTB_X_AVEECURRENT_N3P00V_X_X_NV_P03004_RED</t>
  </si>
  <si>
    <t>DC_POINTB_X_PIXELCURENT_N3P00V_X_X_NV_P03004_RED</t>
  </si>
  <si>
    <t>DC_POINTB_X_DUTY_X_X_X_NV_P03004_GREEN</t>
  </si>
  <si>
    <t>Test_pointB_current (GREEN)</t>
  </si>
  <si>
    <t>DC_POINTB_X_AVEE_N1P80V_X_X_NV_P03004_GREEN</t>
  </si>
  <si>
    <t>DC_POINTB_X_DARKCURRENT_N1P80V_X_X_NV_P03004_GREEN</t>
  </si>
  <si>
    <t>DC_POINTB_X_AVEECURRENT_N1P80V_X_X_NV_P03004_GREEN</t>
  </si>
  <si>
    <t>DC_POINTB_X_PIXELCURENT_N1P80V_X_X_NV_P03004_GREEN</t>
  </si>
  <si>
    <t>DC_POINTB_X_AVEE_N1P90V_X_X_NV_P03004_GREEN</t>
  </si>
  <si>
    <t>DC_POINTB_X_DARKCURRENT_N1P90V_X_X_NV_P03004_GREEN</t>
  </si>
  <si>
    <t>DC_POINTB_X_AVEECURRENT_N1P90V_X_X_NV_P03004_GREEN</t>
  </si>
  <si>
    <t>DC_POINTB_X_PIXELCURENT_N1P90V_X_X_NV_P03004_GREEN</t>
  </si>
  <si>
    <t>DC_POINTB_X_AVEE_N2P00V_X_X_NV_P03004_GREEN</t>
  </si>
  <si>
    <t>DC_POINTB_X_DARKCURRENT_N2P00V_X_X_NV_P03004_GREEN</t>
  </si>
  <si>
    <t>DC_POINTB_X_AVEECURRENT_N2P00V_X_X_NV_P03004_GREEN</t>
  </si>
  <si>
    <t>DC_POINTB_X_PIXELCURENT_N2P00V_X_X_NV_P03004_GREEN</t>
  </si>
  <si>
    <t>DC_POINTB_X_AVEE_N2P10V_X_X_NV_P03004_GREEN</t>
  </si>
  <si>
    <t>DC_POINTB_X_DARKCURRENT_N2P10V_X_X_NV_P03004_GREEN</t>
  </si>
  <si>
    <t>DC_POINTB_X_AVEECURRENT_N2P10V_X_X_NV_P03004_GREEN</t>
  </si>
  <si>
    <t>DC_POINTB_X_PIXELCURENT_N2P10V_X_X_NV_P03004_GREEN</t>
  </si>
  <si>
    <t>DC_POINTB_X_AVEE_N2P20V_X_X_NV_P03004_GREEN</t>
  </si>
  <si>
    <t>DC_POINTB_X_DARKCURRENT_N2P20V_X_X_NV_P03004_GREEN</t>
  </si>
  <si>
    <t>DC_POINTB_X_AVEECURRENT_N2P20V_X_X_NV_P03004_GREEN</t>
  </si>
  <si>
    <t>DC_POINTB_X_PIXELCURENT_N2P20V_X_X_NV_P03004_GREEN</t>
  </si>
  <si>
    <t>DC_POINTB_X_AVEE_N2P30V_X_X_NV_P03004_GREEN</t>
  </si>
  <si>
    <t>DC_POINTB_X_DARKCURRENT_N2P30V_X_X_NV_P03004_GREEN</t>
  </si>
  <si>
    <t>DC_POINTB_X_AVEECURRENT_N2P30V_X_X_NV_P03004_GREEN</t>
  </si>
  <si>
    <t>DC_POINTB_X_PIXELCURENT_N2P30V_X_X_NV_P03004_GREEN</t>
  </si>
  <si>
    <t>DC_POINTB_X_AVEE_N2P40V_X_X_NV_P03004_GREEN</t>
  </si>
  <si>
    <t>DC_POINTB_X_DARKCURRENT_N2P40V_X_X_NV_P03004_GREEN</t>
  </si>
  <si>
    <t>DC_POINTB_X_AVEECURRENT_N2P40V_X_X_NV_P03004_GREEN</t>
  </si>
  <si>
    <t>DC_POINTB_X_PIXELCURENT_N2P40V_X_X_NV_P03004_GREEN</t>
  </si>
  <si>
    <t>DC_POINTB_X_AVEE_N2P50V_X_X_NV_P03004_GREEN</t>
  </si>
  <si>
    <t>DC_POINTB_X_DARKCURRENT_N2P50V_X_X_NV_P03004_GREEN</t>
  </si>
  <si>
    <t>DC_POINTB_X_AVEECURRENT_N2P50V_X_X_NV_P03004_GREEN</t>
  </si>
  <si>
    <t>DC_POINTB_X_PIXELCURENT_N2P50V_X_X_NV_P03004_GREEN</t>
  </si>
  <si>
    <t>DC_POINTB_X_AVEE_N2P60V_X_X_NV_P03004_GREEN</t>
  </si>
  <si>
    <t>DC_POINTB_X_DARKCURRENT_N2P60V_X_X_NV_P03004_GREEN</t>
  </si>
  <si>
    <t>DC_POINTB_X_AVEECURRENT_N2P60V_X_X_NV_P03004_GREEN</t>
  </si>
  <si>
    <t>DC_POINTB_X_PIXELCURENT_N2P60V_X_X_NV_P03004_GREEN</t>
  </si>
  <si>
    <t>DC_POINTB_X_AVEE_N2P70V_X_X_NV_P03004_GREEN</t>
  </si>
  <si>
    <t>DC_POINTB_X_DARKCURRENT_N2P70V_X_X_NV_P03004_GREEN</t>
  </si>
  <si>
    <t>DC_POINTB_X_AVEECURRENT_N2P70V_X_X_NV_P03004_GREEN</t>
  </si>
  <si>
    <t>DC_POINTB_X_PIXELCURENT_N2P70V_X_X_NV_P03004_GREEN</t>
  </si>
  <si>
    <t>DC_POINTB_X_AVEE_N2P80V_X_X_NV_P03004_GREEN</t>
  </si>
  <si>
    <t>DC_POINTB_X_DARKCURRENT_N2P80V_X_X_NV_P03004_GREEN</t>
  </si>
  <si>
    <t>DC_POINTB_X_AVEECURRENT_N2P80V_X_X_NV_P03004_GREEN</t>
  </si>
  <si>
    <t>DC_POINTB_X_PIXELCURENT_N2P80V_X_X_NV_P03004_GREEN</t>
  </si>
  <si>
    <t>DC_POINTB_X_AVEE_N2P90V_X_X_NV_P03004_GREEN</t>
  </si>
  <si>
    <t>DC_POINTB_X_DARKCURRENT_N2P90V_X_X_NV_P03004_GREEN</t>
  </si>
  <si>
    <t>DC_POINTB_X_AVEECURRENT_N2P90V_X_X_NV_P03004_GREEN</t>
  </si>
  <si>
    <t>DC_POINTB_X_PIXELCURENT_N2P90V_X_X_NV_P03004_GREEN</t>
  </si>
  <si>
    <t>DC_POINTB_X_AVEE_N3P00V_X_X_NV_P03004_GREEN</t>
  </si>
  <si>
    <t>DC_POINTB_X_DARKCURRENT_N3P00V_X_X_NV_P03004_GREEN</t>
  </si>
  <si>
    <t>DC_POINTB_X_AVEECURRENT_N3P00V_X_X_NV_P03004_GREEN</t>
  </si>
  <si>
    <t>DC_POINTB_X_PIXELCURENT_N3P00V_X_X_NV_P03004_GREEN</t>
  </si>
  <si>
    <t>DC_POINTB_X_AVEE_N3P10V_X_X_NV_P03004_GREEN</t>
  </si>
  <si>
    <t>DC_POINTB_X_DARKCURRENT_N3P10V_X_X_NV_P03004_GREEN</t>
  </si>
  <si>
    <t>DC_POINTB_X_AVEECURRENT_N3P10V_X_X_NV_P03004_GREEN</t>
  </si>
  <si>
    <t>DC_POINTB_X_PIXELCURENT_N3P10V_X_X_NV_P03004_GREEN</t>
  </si>
  <si>
    <t>DC_POINTB_X_AVEE_N3P20V_X_X_NV_P03004_GREEN</t>
  </si>
  <si>
    <t>DC_POINTB_X_DARKCURRENT_N3P20V_X_X_NV_P03004_GREEN</t>
  </si>
  <si>
    <t>DC_POINTB_X_AVEECURRENT_N3P20V_X_X_NV_P03004_GREEN</t>
  </si>
  <si>
    <t>DC_POINTB_X_PIXELCURENT_N3P20V_X_X_NV_P03004_GREEN</t>
  </si>
  <si>
    <t>DC_POINTB_X_AVEE_N3P30V_X_X_NV_P03004_GREEN</t>
  </si>
  <si>
    <t>DC_POINTB_X_DARKCURRENT_N3P30V_X_X_NV_P03004_GREEN</t>
  </si>
  <si>
    <t>DC_POINTB_X_AVEECURRENT_N3P30V_X_X_NV_P03004_GREEN</t>
  </si>
  <si>
    <t>DC_POINTB_X_PIXELCURENT_N3P30V_X_X_NV_P03004_GREEN</t>
  </si>
  <si>
    <t>DC_POINTB_X_AVEE_N3P40V_X_X_NV_P03004_GREEN</t>
  </si>
  <si>
    <t>DC_POINTB_X_DARKCURRENT_N3P40V_X_X_NV_P03004_GREEN</t>
  </si>
  <si>
    <t>DC_POINTB_X_AVEECURRENT_N3P40V_X_X_NV_P03004_GREEN</t>
  </si>
  <si>
    <t>DC_POINTB_X_PIXELCURENT_N3P40V_X_X_NV_P03004_GREEN</t>
  </si>
  <si>
    <t>DC_POINTB_X_AVEE_N3P50V_X_X_NV_P03004_GREEN</t>
  </si>
  <si>
    <t>DC_POINTB_X_DARKCURRENT_N3P50V_X_X_NV_P03004_GREEN</t>
  </si>
  <si>
    <t>DC_POINTB_X_AVEECURRENT_N3P50V_X_X_NV_P03004_GREEN</t>
  </si>
  <si>
    <t>DC_POINTB_X_PIXELCURENT_N3P50V_X_X_NV_P03004_GREEN</t>
  </si>
  <si>
    <t>DC_POINTB_X_AVEE_N3P60V_X_X_NV_P03004_GREEN</t>
  </si>
  <si>
    <t>DC_POINTB_X_DARKCURRENT_N3P60V_X_X_NV_P03004_GREEN</t>
  </si>
  <si>
    <t>DC_POINTB_X_AVEECURRENT_N3P60V_X_X_NV_P03004_GREEN</t>
  </si>
  <si>
    <t>DC_POINTB_X_PIXELCURENT_N3P60V_X_X_NV_P03004_GREEN</t>
  </si>
  <si>
    <t>DC_POINTB_X_AVEE_N3P70V_X_X_NV_P03004_GREEN</t>
  </si>
  <si>
    <t>DC_POINTB_X_DARKCURRENT_N3P70V_X_X_NV_P03004_GREEN</t>
  </si>
  <si>
    <t>DC_POINTB_X_AVEECURRENT_N3P70V_X_X_NV_P03004_GREEN</t>
  </si>
  <si>
    <t>DC_POINTB_X_PIXELCURENT_N3P70V_X_X_NV_P03004_GREEN</t>
  </si>
  <si>
    <t>DC_POINTB_X_AVEE_N3P80V_X_X_NV_P03004_GREEN</t>
  </si>
  <si>
    <t>DC_POINTB_X_DARKCURRENT_N3P80V_X_X_NV_P03004_GREEN</t>
  </si>
  <si>
    <t>DC_POINTB_X_AVEECURRENT_N3P80V_X_X_NV_P03004_GREEN</t>
  </si>
  <si>
    <t>DC_POINTB_X_PIXELCURENT_N3P80V_X_X_NV_P03004_GREEN</t>
  </si>
  <si>
    <t>DC_POINTB_X_AVEE_N3P90V_X_X_NV_P03004_GREEN</t>
  </si>
  <si>
    <t>DC_POINTB_X_DARKCURRENT_N3P90V_X_X_NV_P03004_GREEN</t>
  </si>
  <si>
    <t>DC_POINTB_X_AVEECURRENT_N3P90V_X_X_NV_P03004_GREEN</t>
  </si>
  <si>
    <t>DC_POINTB_X_PIXELCURENT_N3P90V_X_X_NV_P03004_GREEN</t>
  </si>
  <si>
    <t>DC_POINTB_X_AVEE_N4P00V_X_X_NV_P03004_GREEN</t>
  </si>
  <si>
    <t>DC_POINTB_X_DARKCURRENT_N4P00V_X_X_NV_P03004_GREEN</t>
  </si>
  <si>
    <t>DC_POINTB_X_AVEECURRENT_N4P00V_X_X_NV_P03004_GREEN</t>
  </si>
  <si>
    <t>DC_POINTB_X_PIXELCURENT_N4P00V_X_X_NV_P03004_GREEN</t>
  </si>
  <si>
    <t>DC_POINTB_X_DUTY_X_X_X_NV_P03004_BLUE</t>
  </si>
  <si>
    <t>Test_pointB_current (BLUE)</t>
  </si>
  <si>
    <t>DC_POINTB_X_AVEE_N1P80V_X_X_NV_P03004_BLUE</t>
  </si>
  <si>
    <t>DC_POINTB_X_DARKCURRENT_N1P80V_X_X_NV_P03004_BLUE</t>
  </si>
  <si>
    <t>DC_POINTB_X_AVEECURRENT_N1P80V_X_X_NV_P03004_BLUE</t>
  </si>
  <si>
    <t>DC_POINTB_X_PIXELCURENT_N1P80V_X_X_NV_P03004_BLUE</t>
  </si>
  <si>
    <t>DC_POINTB_X_AVEE_N1P90V_X_X_NV_P03004_BLUE</t>
  </si>
  <si>
    <t>DC_POINTB_X_DARKCURRENT_N1P90V_X_X_NV_P03004_BLUE</t>
  </si>
  <si>
    <t>DC_POINTB_X_AVEECURRENT_N1P90V_X_X_NV_P03004_BLUE</t>
  </si>
  <si>
    <t>DC_POINTB_X_PIXELCURENT_N1P90V_X_X_NV_P03004_BLUE</t>
  </si>
  <si>
    <t>DC_POINTB_X_AVEE_N2P00V_X_X_NV_P03004_BLUE</t>
  </si>
  <si>
    <t>DC_POINTB_X_DARKCURRENT_N2P00V_X_X_NV_P03004_BLUE</t>
  </si>
  <si>
    <t>DC_POINTB_X_AVEECURRENT_N2P00V_X_X_NV_P03004_BLUE</t>
  </si>
  <si>
    <t>DC_POINTB_X_PIXELCURENT_N2P00V_X_X_NV_P03004_BLUE</t>
  </si>
  <si>
    <t>DC_POINTB_X_AVEE_N2P10V_X_X_NV_P03004_BLUE</t>
  </si>
  <si>
    <t>DC_POINTB_X_DARKCURRENT_N2P10V_X_X_NV_P03004_BLUE</t>
  </si>
  <si>
    <t>DC_POINTB_X_AVEECURRENT_N2P10V_X_X_NV_P03004_BLUE</t>
  </si>
  <si>
    <t>DC_POINTB_X_PIXELCURENT_N2P10V_X_X_NV_P03004_BLUE</t>
  </si>
  <si>
    <t>DC_POINTB_X_AVEE_N2P20V_X_X_NV_P03004_BLUE</t>
  </si>
  <si>
    <t>DC_POINTB_X_DARKCURRENT_N2P20V_X_X_NV_P03004_BLUE</t>
  </si>
  <si>
    <t>DC_POINTB_X_AVEECURRENT_N2P20V_X_X_NV_P03004_BLUE</t>
  </si>
  <si>
    <t>DC_POINTB_X_PIXELCURENT_N2P20V_X_X_NV_P03004_BLUE</t>
  </si>
  <si>
    <t>DC_POINTB_X_AVEE_N2P30V_X_X_NV_P03004_BLUE</t>
  </si>
  <si>
    <t>DC_POINTB_X_DARKCURRENT_N2P30V_X_X_NV_P03004_BLUE</t>
  </si>
  <si>
    <t>DC_POINTB_X_AVEECURRENT_N2P30V_X_X_NV_P03004_BLUE</t>
  </si>
  <si>
    <t>DC_POINTB_X_PIXELCURENT_N2P30V_X_X_NV_P03004_BLUE</t>
  </si>
  <si>
    <t>DC_POINTB_X_AVEE_N2P40V_X_X_NV_P03004_BLUE</t>
  </si>
  <si>
    <t>DC_POINTB_X_DARKCURRENT_N2P40V_X_X_NV_P03004_BLUE</t>
  </si>
  <si>
    <t>DC_POINTB_X_AVEECURRENT_N2P40V_X_X_NV_P03004_BLUE</t>
  </si>
  <si>
    <t>DC_POINTB_X_PIXELCURENT_N2P40V_X_X_NV_P03004_BLUE</t>
  </si>
  <si>
    <t>DC_POINTB_X_AVEE_N2P50V_X_X_NV_P03004_BLUE</t>
  </si>
  <si>
    <t>DC_POINTB_X_DARKCURRENT_N2P50V_X_X_NV_P03004_BLUE</t>
  </si>
  <si>
    <t>DC_POINTB_X_AVEECURRENT_N2P50V_X_X_NV_P03004_BLUE</t>
  </si>
  <si>
    <t>DC_POINTB_X_PIXELCURENT_N2P50V_X_X_NV_P03004_BLUE</t>
  </si>
  <si>
    <t>DC_POINTB_X_AVEE_N2P60V_X_X_NV_P03004_BLUE</t>
  </si>
  <si>
    <t>DC_POINTB_X_DARKCURRENT_N2P60V_X_X_NV_P03004_BLUE</t>
  </si>
  <si>
    <t>DC_POINTB_X_AVEECURRENT_N2P60V_X_X_NV_P03004_BLUE</t>
  </si>
  <si>
    <t>DC_POINTB_X_PIXELCURENT_N2P60V_X_X_NV_P03004_BLUE</t>
  </si>
  <si>
    <t>DC_POINTB_X_AVEE_N2P70V_X_X_NV_P03004_BLUE</t>
  </si>
  <si>
    <t>DC_POINTB_X_DARKCURRENT_N2P70V_X_X_NV_P03004_BLUE</t>
  </si>
  <si>
    <t>DC_POINTB_X_AVEECURRENT_N2P70V_X_X_NV_P03004_BLUE</t>
  </si>
  <si>
    <t>DC_POINTB_X_PIXELCURENT_N2P70V_X_X_NV_P03004_BLUE</t>
  </si>
  <si>
    <t>DC_POINTB_X_AVEE_N2P80V_X_X_NV_P03004_BLUE</t>
  </si>
  <si>
    <t>DC_POINTB_X_DARKCURRENT_N2P80V_X_X_NV_P03004_BLUE</t>
  </si>
  <si>
    <t>DC_POINTB_X_AVEECURRENT_N2P80V_X_X_NV_P03004_BLUE</t>
  </si>
  <si>
    <t>DC_POINTB_X_PIXELCURENT_N2P80V_X_X_NV_P03004_BLUE</t>
  </si>
  <si>
    <t>DC_POINTB_X_AVEE_N2P90V_X_X_NV_P03004_BLUE</t>
  </si>
  <si>
    <t>DC_POINTB_X_DARKCURRENT_N2P90V_X_X_NV_P03004_BLUE</t>
  </si>
  <si>
    <t>DC_POINTB_X_AVEECURRENT_N2P90V_X_X_NV_P03004_BLUE</t>
  </si>
  <si>
    <t>DC_POINTB_X_PIXELCURENT_N2P90V_X_X_NV_P03004_BLUE</t>
  </si>
  <si>
    <t>DC_POINTB_X_AVEE_N3P00V_X_X_NV_P03004_BLUE</t>
  </si>
  <si>
    <t>DC_POINTB_X_DARKCURRENT_N3P00V_X_X_NV_P03004_BLUE</t>
  </si>
  <si>
    <t>DC_POINTB_X_AVEECURRENT_N3P00V_X_X_NV_P03004_BLUE</t>
  </si>
  <si>
    <t>DC_POINTB_X_PIXELCURENT_N3P00V_X_X_NV_P03004_BLUE</t>
  </si>
  <si>
    <t>DC_POINTB_X_AVEE_N3P10V_X_X_NV_P03004_BLUE</t>
  </si>
  <si>
    <t>DC_POINTB_X_DARKCURRENT_N3P10V_X_X_NV_P03004_BLUE</t>
  </si>
  <si>
    <t>DC_POINTB_X_AVEECURRENT_N3P10V_X_X_NV_P03004_BLUE</t>
  </si>
  <si>
    <t>DC_POINTB_X_PIXELCURENT_N3P10V_X_X_NV_P03004_BLUE</t>
  </si>
  <si>
    <t>DC_POINTB_X_AVEE_N3P20V_X_X_NV_P03004_BLUE</t>
  </si>
  <si>
    <t>DC_POINTB_X_DARKCURRENT_N3P20V_X_X_NV_P03004_BLUE</t>
  </si>
  <si>
    <t>DC_POINTB_X_AVEECURRENT_N3P20V_X_X_NV_P03004_BLUE</t>
  </si>
  <si>
    <t>DC_POINTB_X_PIXELCURENT_N3P20V_X_X_NV_P03004_BLUE</t>
  </si>
  <si>
    <t>DC_POINTB_X_AVEE_N3P30V_X_X_NV_P03004_BLUE</t>
  </si>
  <si>
    <t>DC_POINTB_X_DARKCURRENT_N3P30V_X_X_NV_P03004_BLUE</t>
  </si>
  <si>
    <t>DC_POINTB_X_AVEECURRENT_N3P30V_X_X_NV_P03004_BLUE</t>
  </si>
  <si>
    <t>DC_POINTB_X_PIXELCURENT_N3P30V_X_X_NV_P03004_BLUE</t>
  </si>
  <si>
    <t>DC_POINTB_X_AVEE_N3P40V_X_X_NV_P03004_BLUE</t>
  </si>
  <si>
    <t>DC_POINTB_X_DARKCURRENT_N3P40V_X_X_NV_P03004_BLUE</t>
  </si>
  <si>
    <t>DC_POINTB_X_AVEECURRENT_N3P40V_X_X_NV_P03004_BLUE</t>
  </si>
  <si>
    <t>DC_POINTB_X_PIXELCURENT_N3P40V_X_X_NV_P03004_BLUE</t>
  </si>
  <si>
    <t>DC_POINTB_X_AVEE_N3P50V_X_X_NV_P03004_BLUE</t>
  </si>
  <si>
    <t>DC_POINTB_X_DARKCURRENT_N3P50V_X_X_NV_P03004_BLUE</t>
  </si>
  <si>
    <t>DC_POINTB_X_AVEECURRENT_N3P50V_X_X_NV_P03004_BLUE</t>
  </si>
  <si>
    <t>DC_POINTB_X_PIXELCURENT_N3P50V_X_X_NV_P03004_BLUE</t>
  </si>
  <si>
    <t>DC_POINTB_X_AVEE_N3P60V_X_X_NV_P03004_BLUE</t>
  </si>
  <si>
    <t>DC_POINTB_X_DARKCURRENT_N3P60V_X_X_NV_P03004_BLUE</t>
  </si>
  <si>
    <t>DC_POINTB_X_AVEECURRENT_N3P60V_X_X_NV_P03004_BLUE</t>
  </si>
  <si>
    <t>DC_POINTB_X_PIXELCURENT_N3P60V_X_X_NV_P03004_BLUE</t>
  </si>
  <si>
    <t>DC_POINTB_X_AVEE_N3P70V_X_X_NV_P03004_BLUE</t>
  </si>
  <si>
    <t>DC_POINTB_X_DARKCURRENT_N3P70V_X_X_NV_P03004_BLUE</t>
  </si>
  <si>
    <t>DC_POINTB_X_AVEECURRENT_N3P70V_X_X_NV_P03004_BLUE</t>
  </si>
  <si>
    <t>DC_POINTB_X_PIXELCURENT_N3P70V_X_X_NV_P03004_BLUE</t>
  </si>
  <si>
    <t>DC_POINTB_X_AVEE_N3P80V_X_X_NV_P03004_BLUE</t>
  </si>
  <si>
    <t>DC_POINTB_X_DARKCURRENT_N3P80V_X_X_NV_P03004_BLUE</t>
  </si>
  <si>
    <t>DC_POINTB_X_AVEECURRENT_N3P80V_X_X_NV_P03004_BLUE</t>
  </si>
  <si>
    <t>DC_POINTB_X_PIXELCURENT_N3P80V_X_X_NV_P03004_BLUE</t>
  </si>
  <si>
    <t>DC_POINTB_X_AVEE_N3P90V_X_X_NV_P03004_BLUE</t>
  </si>
  <si>
    <t>DC_POINTB_X_DARKCURRENT_N3P90V_X_X_NV_P03004_BLUE</t>
  </si>
  <si>
    <t>DC_POINTB_X_AVEECURRENT_N3P90V_X_X_NV_P03004_BLUE</t>
  </si>
  <si>
    <t>DC_POINTB_X_PIXELCURENT_N3P90V_X_X_NV_P03004_BLUE</t>
  </si>
  <si>
    <t>DC_POINTB_X_AVEE_N4P00V_X_X_NV_P03004_BLUE</t>
  </si>
  <si>
    <t>DC_POINTB_X_DARKCURRENT_N4P00V_X_X_NV_P03004_BLUE</t>
  </si>
  <si>
    <t>DC_POINTB_X_AVEECURRENT_N4P00V_X_X_NV_P03004_BLUE</t>
  </si>
  <si>
    <t>DC_POINTB_X_PIXELCURENT_N4P00V_X_X_NV_P03004_BLUE</t>
  </si>
  <si>
    <t>DC_AVEETRIM_X_X_X_X_X_NV_P03004_RED</t>
  </si>
  <si>
    <t>DC_AVEETRIM_X_AVEE_N1P30V_X_X_NV_P03004_RED</t>
  </si>
  <si>
    <t>DC_AVEETRIM_X_AVEECURRENT_N1P30V_X_X_NV_P03004_RED</t>
  </si>
  <si>
    <t>DC_AVEETRIM_X_AVEE_N1P40V_X_X_NV_P03004_RED</t>
  </si>
  <si>
    <t>DC_AVEETRIM_X_AVEECURRENT_N1P40V_X_X_NV_P03004_RED</t>
  </si>
  <si>
    <t>DC_AVEETRIM_X_AVEE_N1P50V_X_X_NV_P03004_RED</t>
  </si>
  <si>
    <t>DC_AVEETRIM_X_AVEECURRENT_N1P50V_X_X_NV_P03004_RED</t>
  </si>
  <si>
    <t>DC_AVEETRIM_X_AVEE_N1P60V_X_X_NV_P03004_RED</t>
  </si>
  <si>
    <t>DC_AVEETRIM_X_AVEECURRENT_N1P60V_X_X_NV_P03004_RED</t>
  </si>
  <si>
    <t>DC_AVEETRIM_X_AVEE_N1P70V_X_X_NV_P03004_RED</t>
  </si>
  <si>
    <t>DC_AVEETRIM_X_AVEECURRENT_N1P70V_X_X_NV_P03004_RED</t>
  </si>
  <si>
    <t>DC_AVEETRIM_X_AVEE_N1P80V_X_X_NV_P03004_RED</t>
  </si>
  <si>
    <t>DC_AVEETRIM_X_AVEECURRENT_N1P80V_X_X_NV_P03004_RED</t>
  </si>
  <si>
    <t>DC_AVEETRIM_X_AVEE_N1P90V_X_X_NV_P03004_RED</t>
  </si>
  <si>
    <t>DC_AVEETRIM_X_AVEECURRENT_N1P90V_X_X_NV_P03004_RED</t>
  </si>
  <si>
    <t>DC_AVEETRIM_X_AVEE_N2P00V_X_X_NV_P03004_RED</t>
  </si>
  <si>
    <t>DC_AVEETRIM_X_AVEECURRENT_N2P00V_X_X_NV_P03004_RED</t>
  </si>
  <si>
    <t>DC_AVEETRIM_X_AVEE_N2P10V_X_X_NV_P03004_RED</t>
  </si>
  <si>
    <t>DC_AVEETRIM_X_AVEECURRENT_N2P10V_X_X_NV_P03004_RED</t>
  </si>
  <si>
    <t>DC_AVEETRIM_X_AVEE_N2P20V_X_X_NV_P03004_RED</t>
  </si>
  <si>
    <t>DC_AVEETRIM_X_AVEECURRENT_N2P20V_X_X_NV_P03004_RED</t>
  </si>
  <si>
    <t>DC_AVEETRIM_X_AVEE_N2P30V_X_X_NV_P03004_RED</t>
  </si>
  <si>
    <t>DC_AVEETRIM_X_AVEECURRENT_N2P30V_X_X_NV_P03004_RED</t>
  </si>
  <si>
    <t>DC_AVEETRIM_X_X_X_X_X_NV_P03004_GREEN</t>
  </si>
  <si>
    <t>DC_AVEETRIM_X_AVEE_N2P50V_X_X_NV_P03004_GREEN</t>
  </si>
  <si>
    <t>DC_AVEETRIM_X_AVEECURRENT_N2P50V_X_X_NV_P03004_GREEN</t>
  </si>
  <si>
    <t>DC_AVEETRIM_X_AVEE_N2P60V_X_X_NV_P03004_GREEN</t>
  </si>
  <si>
    <t>DC_AVEETRIM_X_AVEECURRENT_N2P60V_X_X_NV_P03004_GREEN</t>
  </si>
  <si>
    <t>DC_AVEETRIM_X_AVEE_N2P70V_X_X_NV_P03004_GREEN</t>
  </si>
  <si>
    <t>DC_AVEETRIM_X_AVEECURRENT_N2P70V_X_X_NV_P03004_GREEN</t>
  </si>
  <si>
    <t>DC_AVEETRIM_X_AVEE_N2P80V_X_X_NV_P03004_GREEN</t>
  </si>
  <si>
    <t>DC_AVEETRIM_X_AVEECURRENT_N2P80V_X_X_NV_P03004_GREEN</t>
  </si>
  <si>
    <t>DC_AVEETRIM_X_AVEE_N2P90V_X_X_NV_P03004_GREEN</t>
  </si>
  <si>
    <t>DC_AVEETRIM_X_AVEECURRENT_N2P90V_X_X_NV_P03004_GREEN</t>
  </si>
  <si>
    <t>DC_AVEETRIM_X_AVEE_N3P00V_X_X_NV_P03004_GREEN</t>
  </si>
  <si>
    <t>DC_AVEETRIM_X_AVEECURRENT_N3P00V_X_X_NV_P03004_GREEN</t>
  </si>
  <si>
    <t>DC_AVEETRIM_X_AVEE_N3P10V_X_X_NV_P03004_GREEN</t>
  </si>
  <si>
    <t>DC_AVEETRIM_X_AVEECURRENT_N3P10V_X_X_NV_P03004_GREEN</t>
  </si>
  <si>
    <t>DC_AVEETRIM_X_AVEE_N3P20V_X_X_NV_P03004_GREEN</t>
  </si>
  <si>
    <t>DC_AVEETRIM_X_AVEECURRENT_N3P20V_X_X_NV_P03004_GREEN</t>
  </si>
  <si>
    <t>DC_AVEETRIM_X_AVEE_N3P30V_X_X_NV_P03004_GREEN</t>
  </si>
  <si>
    <t>DC_AVEETRIM_X_AVEECURRENT_N3P30V_X_X_NV_P03004_GREEN</t>
  </si>
  <si>
    <t>DC_AVEETRIM_X_AVEE_N3P40V_X_X_NV_P03004_GREEN</t>
  </si>
  <si>
    <t>DC_AVEETRIM_X_AVEECURRENT_N3P40V_X_X_NV_P03004_GREEN</t>
  </si>
  <si>
    <t>DC_AVEETRIM_X_AVEE_N3P50V_X_X_NV_P03004_GREEN</t>
  </si>
  <si>
    <t>DC_AVEETRIM_X_AVEECURRENT_N3P50V_X_X_NV_P03004_GREEN</t>
  </si>
  <si>
    <t>DC_AVEETRIM_X_X_X_X_X_NV_P03004_BLUE</t>
  </si>
  <si>
    <t>DC_AVEETRIM_X_AVEE_N2P50V_X_X_NV_P03004_BLUE</t>
  </si>
  <si>
    <t>DC_AVEETRIM_X_AVEECURRENT_N2P50V_X_X_NV_P03004_BLUE</t>
  </si>
  <si>
    <t>DC_AVEETRIM_X_AVEE_N2P60V_X_X_NV_P03004_BLUE</t>
  </si>
  <si>
    <t>DC_AVEETRIM_X_AVEECURRENT_N2P60V_X_X_NV_P03004_BLUE</t>
  </si>
  <si>
    <t>DC_AVEETRIM_X_AVEE_N2P70V_X_X_NV_P03004_BLUE</t>
  </si>
  <si>
    <t>DC_AVEETRIM_X_AVEECURRENT_N2P70V_X_X_NV_P03004_BLUE</t>
  </si>
  <si>
    <t>DC_AVEETRIM_X_AVEE_N2P80V_X_X_NV_P03004_BLUE</t>
  </si>
  <si>
    <t>DC_AVEETRIM_X_AVEECURRENT_N2P80V_X_X_NV_P03004_BLUE</t>
  </si>
  <si>
    <t>DC_AVEETRIM_X_AVEE_N2P90V_X_X_NV_P03004_BLUE</t>
  </si>
  <si>
    <t>DC_AVEETRIM_X_AVEECURRENT_N2P90V_X_X_NV_P03004_BLUE</t>
  </si>
  <si>
    <t>DC_AVEETRIM_X_AVEE_N3P00V_X_X_NV_P03004_BLUE</t>
  </si>
  <si>
    <t>DC_AVEETRIM_X_AVEECURRENT_N3P00V_X_X_NV_P03004_BLUE</t>
  </si>
  <si>
    <t>DC_AVEETRIM_X_AVEE_N3P10V_X_X_NV_P03004_BLUE</t>
  </si>
  <si>
    <t>DC_AVEETRIM_X_AVEECURRENT_N3P10V_X_X_NV_P03004_BLUE</t>
  </si>
  <si>
    <t>DC_AVEETRIM_X_AVEE_N3P20V_X_X_NV_P03004_BLUE</t>
  </si>
  <si>
    <t>DC_AVEETRIM_X_AVEECURRENT_N3P20V_X_X_NV_P03004_BLUE</t>
  </si>
  <si>
    <t>DC_AVEETRIM_X_AVEE_N3P30V_X_X_NV_P03004_BLUE</t>
  </si>
  <si>
    <t>DC_AVEETRIM_X_AVEECURRENT_N3P30V_X_X_NV_P03004_BLUE</t>
  </si>
  <si>
    <t>DC_AVEETRIM_X_AVEE_N3P40V_X_X_NV_P03004_BLUE</t>
  </si>
  <si>
    <t>DC_AVEETRIM_X_AVEECURRENT_N3P40V_X_X_NV_P03004_BLUE</t>
  </si>
  <si>
    <t>DC_AVEETRIM_X_AVEE_N3P50V_X_X_NV_P03004_BLUE</t>
  </si>
  <si>
    <t>DC_AVEETRIM_X_AVEECURRENT_N3P50V_X_X_NV_P03004_BLUE</t>
  </si>
  <si>
    <t>LogFlag_DieSiteAssignment</t>
  </si>
  <si>
    <t>Initialize_FlowVars</t>
  </si>
  <si>
    <t>SOT_DEBUG_TESTTIME_TIMESTAMP_X_X_X_NV_PEQA_X</t>
  </si>
  <si>
    <t>StartOfTestLog</t>
  </si>
  <si>
    <t>NA</t>
  </si>
  <si>
    <t>FUNC_CONT_SINK_DIGPINS_PAT_X_X_CONTI_PEQA_X</t>
  </si>
  <si>
    <t>Continuity_Func_Isink</t>
  </si>
  <si>
    <t>FUNC_CONT_SOURCE_DIGPINS_PAT_X_X_CONTI_PEQA_X</t>
  </si>
  <si>
    <t>Continuity_Func_Isrc</t>
  </si>
  <si>
    <t>DC_CONT_SINK_ARSTN_FCn0P2_X_X_X_PEQA_X</t>
  </si>
  <si>
    <t>Continuity_Param</t>
  </si>
  <si>
    <t>DC_CONT_SINK_CLKREF_FCn0P2_X_X_X_PEQA_X</t>
  </si>
  <si>
    <t>DC_CONT_SINK_OSCEN_FCn0P2_X_X_X_PEQA_X</t>
  </si>
  <si>
    <t>DC_CONT_SINK_I3CSCL_FCn0P2_X_X_X_PEQA_X</t>
  </si>
  <si>
    <t>DC_CONT_SINK_I3CSDA_FCn0P2_X_X_X_PEQA_X</t>
  </si>
  <si>
    <t>DC_CONT_SINK_JTAGTRSTN_FCn0P2_X_X_X_PEQA_X</t>
  </si>
  <si>
    <t>DC_CONT_SINK_JTAGTCK_FCn0P2_X_X_X_PEQA_X</t>
  </si>
  <si>
    <t>DC_CONT_SINK_JTAGTMS_FCn0P2_X_X_X_PEQA_X</t>
  </si>
  <si>
    <t>DC_CONT_SINK_JTAGTDI_FCn0P2_X_X_X_PEQA_X</t>
  </si>
  <si>
    <t>DC_CONT_SINK_JTAGTDO_FCn0P2_X_X_X_PEQA_X</t>
  </si>
  <si>
    <t>DC_CONT_SINK_MIPICLKP_FCn0P2_X_X_X_PEQA_X</t>
  </si>
  <si>
    <t>DC_CONT_SINK_MIPICLKN_FCn0P2_X_X_X_PEQA_X</t>
  </si>
  <si>
    <t>DC_CONT_SINK_MIPIDATAP_FCn0P2_X_X_X_PEQA_X</t>
  </si>
  <si>
    <t>DC_CONT_SINK_MIPIDATAN_FCn0P2_X_X_X_PEQA_X</t>
  </si>
  <si>
    <t>DC_CONT_SINK_IRQOUT_FCn0P2_X_X_X_PEQA_X</t>
  </si>
  <si>
    <t>DC_CONT_SINK_GPIO32_FCn0P2_X_X_X_PEQA_X</t>
  </si>
  <si>
    <t>DC_CONT_SINK_GPIO31_FCn0P2_X_X_X_PEQA_X</t>
  </si>
  <si>
    <t>DC_CONT_SINK_GPIO30_FCn0P2_X_X_X_PEQA_X</t>
  </si>
  <si>
    <t>DC_CONT_SINK_GPIO29_FCn0P2_X_X_X_PEQA_X</t>
  </si>
  <si>
    <t>DC_CONT_SINK_GPIO28_FCn0P2_X_X_X_PEQA_X</t>
  </si>
  <si>
    <t>DC_CONT_SINK_GPIO27_FCn0P2_X_X_X_PEQA_X</t>
  </si>
  <si>
    <t>DC_CONT_SINK_GPIO26_FCn0P2_X_X_X_PEQA_X</t>
  </si>
  <si>
    <t>DC_CONT_SINK_GPIO25_FCn0P2_X_X_X_PEQA_X</t>
  </si>
  <si>
    <t>DC_CONT_SINK_GPIO24_FCn0P2_X_X_X_PEQA_X</t>
  </si>
  <si>
    <t>DC_CONT_SINK_GPIO23_FCn0P2_X_X_X_PEQA_X</t>
  </si>
  <si>
    <t>DC_CONT_SINK_GPIO22_FCn0P2_X_X_X_PEQA_X</t>
  </si>
  <si>
    <t>DC_CONT_SINK_GPIO21_FCn0P2_X_X_X_PEQA_X</t>
  </si>
  <si>
    <t>DC_CONT_SINK_GPIO20_FCn0P2_X_X_X_PEQA_X</t>
  </si>
  <si>
    <t>DC_CONT_SINK_GPIO19_FCn0P2_X_X_X_PEQA_X</t>
  </si>
  <si>
    <t>DC_CONT_SINK_GPIO18_FCn0P2_X_X_X_PEQA_X</t>
  </si>
  <si>
    <t>DC_CONT_SINK_GPIO17_FCn0P2_X_X_X_PEQA_X</t>
  </si>
  <si>
    <t>DC_CONT_SINK_GPIO16_FCn0P2_X_X_X_PEQA_X</t>
  </si>
  <si>
    <t>DC_CONT_SINK_GPIO15_FCn0P2_X_X_X_PEQA_X</t>
  </si>
  <si>
    <t>DC_CONT_SINK_GPIO14_FCn0P2_X_X_X_PEQA_X</t>
  </si>
  <si>
    <t>DC_CONT_SINK_GPIO13_FCn0P2_X_X_X_PEQA_X</t>
  </si>
  <si>
    <t>DC_CONT_SINK_GPIO12_FCn0P2_X_X_X_PEQA_X</t>
  </si>
  <si>
    <t>DC_CONT_SINK_GPIO11_FCn0P2_X_X_X_PEQA_X</t>
  </si>
  <si>
    <t>DC_CONT_SINK_GPIO10_FCn0P2_X_X_X_PEQA_X</t>
  </si>
  <si>
    <t>DC_CONT_SINK_GPIO9_FCn0P2_X_X_X_PEQA_X</t>
  </si>
  <si>
    <t>DC_CONT_SINK_GPIO8_FCn0P2_X_X_X_PEQA_X</t>
  </si>
  <si>
    <t>DC_CONT_SINK_GPIO7_FCn0P2_X_X_X_PEQA_X</t>
  </si>
  <si>
    <t>DC_CONT_SINK_GPIO6_FCn0P2_X_X_X_PEQA_X</t>
  </si>
  <si>
    <t>DC_CONT_SINK_GPIO5_FCn0P2_X_X_X_PEQA_X</t>
  </si>
  <si>
    <t>DC_CONT_SINK_GPIO4_FCn0P2_X_X_X_PEQA_X</t>
  </si>
  <si>
    <t>DC_CONT_SINK_GPIO3_FCn0P2_X_X_X_PEQA_X</t>
  </si>
  <si>
    <t>DC_CONT_SINK_GPIO2_FCn0P2_X_X_X_PEQA_X</t>
  </si>
  <si>
    <t>DC_CONT_SINK_GPIO1_FCn0P2_X_X_X_PEQA_X</t>
  </si>
  <si>
    <t>DC_CONT_SINK_GPIO0_FCn0P2_X_X_X_PEQA_X</t>
  </si>
  <si>
    <t>DC_CONT_SINK_MANTEST0_FCn0P2_X_X_X_PEQA_X</t>
  </si>
  <si>
    <t>DC_CONT_SINK_MANTEST1_FCn0P2_X_X_X_PEQA_X</t>
  </si>
  <si>
    <t>DC_CONT_SRC_ARSTN_FC0P2_X_X_X_PEQA_X</t>
  </si>
  <si>
    <t>DC_CONT_SRC_CLKREF_FC0P2_X_X_X_PEQA_X</t>
  </si>
  <si>
    <t>DC_CONT_SRC_OSCEN_FC0P2_X_X_X_PEQA_X</t>
  </si>
  <si>
    <t>DC_CONT_SRC_I3CSCL_FC0P2_X_X_X_PEQA_X</t>
  </si>
  <si>
    <t>DC_CONT_SRC_I3CSDA_FC0P2_X_X_X_PEQA_X</t>
  </si>
  <si>
    <t>DC_CONT_SRC_JTAGTRSTN_FC0P2_X_X_X_PEQA_X</t>
  </si>
  <si>
    <t>DC_CONT_SRC_JTAGTCK_FC0P2_X_X_X_PEQA_X</t>
  </si>
  <si>
    <t>DC_CONT_SRC_JTAGTMS_FC0P2_X_X_X_PEQA_X</t>
  </si>
  <si>
    <t>DC_CONT_SRC_JTAGTDI_FC0P2_X_X_X_PEQA_X</t>
  </si>
  <si>
    <t>DC_CONT_SRC_JTAGTDO_FC0P2_X_X_X_PEQA_X</t>
  </si>
  <si>
    <t>DC_CONT_SRC_MIPICLKP_FC0P2_X_X_X_PEQA_X</t>
  </si>
  <si>
    <t>DC_CONT_SRC_MIPICLKN_FC0P2_X_X_X_PEQA_X</t>
  </si>
  <si>
    <t>DC_CONT_SRC_MIPIDATAP_FC0P2_X_X_X_PEQA_X</t>
  </si>
  <si>
    <t>DC_CONT_SRC_MIPIDATAN_FC0P2_X_X_X_PEQA_X</t>
  </si>
  <si>
    <t>DC_CONT_SRC_IRQOUT_FC0P2_X_X_X_PEQA_X</t>
  </si>
  <si>
    <t>DC_CONT_SRC_GPIO32_FC0P2_X_X_X_PEQA_X</t>
  </si>
  <si>
    <t>DC_CONT_SRC_GPIO31_FC0P2_X_X_X_PEQA_X</t>
  </si>
  <si>
    <t>DC_CONT_SRC_GPIO30_FC0P2_X_X_X_PEQA_X</t>
  </si>
  <si>
    <t>DC_CONT_SRC_GPIO29_FC0P2_X_X_X_PEQA_X</t>
  </si>
  <si>
    <t>DC_CONT_SRC_GPIO28_FC0P2_X_X_X_PEQA_X</t>
  </si>
  <si>
    <t>DC_CONT_SRC_GPIO27_FC0P2_X_X_X_PEQA_X</t>
  </si>
  <si>
    <t>DC_CONT_SRC_GPIO26_FC0P2_X_X_X_PEQA_X</t>
  </si>
  <si>
    <t>DC_CONT_SRC_GPIO25_FC0P2_X_X_X_PEQA_X</t>
  </si>
  <si>
    <t>DC_CONT_SRC_GPIO24_FC0P2_X_X_X_PEQA_X</t>
  </si>
  <si>
    <t>DC_CONT_SRC_GPIO23_FC0P2_X_X_X_PEQA_X</t>
  </si>
  <si>
    <t>DC_CONT_SRC_GPIO22_FC0P2_X_X_X_PEQA_X</t>
  </si>
  <si>
    <t>DC_CONT_SRC_GPIO21_FC0P2_X_X_X_PEQA_X</t>
  </si>
  <si>
    <t>DC_CONT_SRC_GPIO20_FC0P2_X_X_X_PEQA_X</t>
  </si>
  <si>
    <t>DC_CONT_SRC_GPIO19_FC0P2_X_X_X_PEQA_X</t>
  </si>
  <si>
    <t>DC_CONT_SRC_GPIO18_FC0P2_X_X_X_PEQA_X</t>
  </si>
  <si>
    <t>DC_CONT_SRC_GPIO17_FC0P2_X_X_X_PEQA_X</t>
  </si>
  <si>
    <t>DC_CONT_SRC_GPIO16_FC0P2_X_X_X_PEQA_X</t>
  </si>
  <si>
    <t>DC_CONT_SRC_GPIO15_FC0P2_X_X_X_PEQA_X</t>
  </si>
  <si>
    <t>DC_CONT_SRC_GPIO14_FC0P2_X_X_X_PEQA_X</t>
  </si>
  <si>
    <t>DC_CONT_SRC_GPIO13_FC0P2_X_X_X_PEQA_X</t>
  </si>
  <si>
    <t>DC_CONT_SRC_GPIO12_FC0P2_X_X_X_PEQA_X</t>
  </si>
  <si>
    <t>DC_CONT_SRC_GPIO11_FC0P2_X_X_X_PEQA_X</t>
  </si>
  <si>
    <t>DC_CONT_SRC_GPIO10_FC0P2_X_X_X_PEQA_X</t>
  </si>
  <si>
    <t>DC_CONT_SRC_GPIO9_FC0P2_X_X_X_PEQA_X</t>
  </si>
  <si>
    <t>DC_CONT_SRC_GPIO8_FC0P2_X_X_X_PEQA_X</t>
  </si>
  <si>
    <t>DC_CONT_SRC_GPIO7_FC0P2_X_X_X_PEQA_X</t>
  </si>
  <si>
    <t>DC_CONT_SRC_GPIO6_FC0P2_X_X_X_PEQA_X</t>
  </si>
  <si>
    <t>DC_CONT_SRC_GPIO5_FC0P2_X_X_X_PEQA_X</t>
  </si>
  <si>
    <t>DC_CONT_SRC_GPIO4_FC0P2_X_X_X_PEQA_X</t>
  </si>
  <si>
    <t>DC_CONT_SRC_GPIO3_FC0P2_X_X_X_PEQA_X</t>
  </si>
  <si>
    <t>DC_CONT_SRC_GPIO2_FC0P2_X_X_X_PEQA_X</t>
  </si>
  <si>
    <t>DC_CONT_SRC_GPIO1_FC0P2_X_X_X_PEQA_X</t>
  </si>
  <si>
    <t>DC_CONT_SRC_GPIO0_FC0P2_X_X_X_PEQA_X</t>
  </si>
  <si>
    <t>DC_CONT_SRC_MANTEST0_FC0P2_X_X_X_PEQA_X</t>
  </si>
  <si>
    <t>DC_CONT_SRC_MANTEST1_FC0P2_X_X_X_PEQA_X</t>
  </si>
  <si>
    <t>DC_SHORT_LOW_VDD10_FV0P1_X_X_X_PEQA_X</t>
  </si>
  <si>
    <t>Power_Shorts_DCVS</t>
  </si>
  <si>
    <t>DC_SHORT_LOW_VDD18IO_FV0P1_X_X_X_PEQA_X</t>
  </si>
  <si>
    <t>DC_SHORT_LOW_AVDD18_FV0P1_X_X_X_PEQA_X</t>
  </si>
  <si>
    <t>DC_SHORT_LOW_VQPSEFUSE_FV0P1_X_X_X_PEQA_X</t>
  </si>
  <si>
    <t>DC_SHORT_LOW_AVEE_FV0P1_X_X_X_PEQA_X</t>
  </si>
  <si>
    <t>Power_Shorts_DCVI</t>
  </si>
  <si>
    <t>Power_Shorts</t>
  </si>
  <si>
    <t>DC_PWR_STATIC_VDD10_VMAX_X_X_X_PEQA_X</t>
  </si>
  <si>
    <t>StaticPower_Vmax</t>
  </si>
  <si>
    <t>DC_PWR_STATIC_VDD18IO_VMAX_X_X_X_PEQA_X</t>
  </si>
  <si>
    <t>DC_PWR_STATIC_AVDD18_VMAX_X_X_X_PEQA_X</t>
  </si>
  <si>
    <t>DC_PWR_STATIC_AVEE_VMAX_X_X_X_PEQA_X</t>
  </si>
  <si>
    <t>DC_PWR_STATIC_TotalPower_VMAX_X_X_X_PEQA_X</t>
  </si>
  <si>
    <t>W</t>
  </si>
  <si>
    <t>DC_PWR_STATIC_VDD10_VNOM_X_X_X_PEQA_X</t>
  </si>
  <si>
    <t>StaticPower_Vnom</t>
  </si>
  <si>
    <t>DC_PWR_STATIC_VDD18IO_VNOM_X_X_X_PEQA_X</t>
  </si>
  <si>
    <t>DC_PWR_STATIC_AVDD18_VNOM_X_X_X_PEQA_X</t>
  </si>
  <si>
    <t>DC_PWR_STATIC_AVEE_VNOM_X_X_X_PEQA_X</t>
  </si>
  <si>
    <t>DC_PWR_STATIC_TotalPower_VNOM_X_X_X_PEQA_X</t>
  </si>
  <si>
    <t>DC_PWR_STATIC_VDD10_VMIN_X_X_X_PEQA_X</t>
  </si>
  <si>
    <t>StaticPower_Vmin</t>
  </si>
  <si>
    <t>DC_PWR_STATIC_VDD18IO_VMIN_X_X_X_PEQA_X</t>
  </si>
  <si>
    <t>DC_PWR_STATIC_AVDD18_VMIN_X_X_X_PEQA_X</t>
  </si>
  <si>
    <t>DC_PWR_STATIC_AVEE_VMIN_X_X_X_PEQA_X</t>
  </si>
  <si>
    <t>DC_PWR_STATIC_TotalPower_VMIN_X_X_X_PEQA_X</t>
  </si>
  <si>
    <t>DC_LKG_LOW_CLKREF_FV0_X_X_X_PEQA_X</t>
  </si>
  <si>
    <t>Input_Leakage</t>
  </si>
  <si>
    <t>DC_LKG_LOW_OSCEN_FV0_X_X_X_PEQA_X</t>
  </si>
  <si>
    <t>DC_LKG_LOW_I3CSCL_FV0_X_X_X_PEQA_X</t>
  </si>
  <si>
    <t>DC_LKG_LOW_JTAGTRSTN_FV0_X_X_X_PEQA_X</t>
  </si>
  <si>
    <t>DC_LKG_LOW_JTAGTCK_FV0_X_X_X_PEQA_X</t>
  </si>
  <si>
    <t>DC_LKG_LOW_JTAGTMS_FV0_X_X_X_PEQA_X</t>
  </si>
  <si>
    <t>DC_LKG_LOW_JTAGTDI_FV0_X_X_X_PEQA_X</t>
  </si>
  <si>
    <t>DC_LKG_LOW_MANTEST0_FV0_X_X_X_PEQA_X</t>
  </si>
  <si>
    <t>DC_LKG_LOW_MANTEST1_FV0_X_X_X_PEQA_X</t>
  </si>
  <si>
    <t>DC_LKG_LOW_MIPICLKN_FV0P15_X_X_X_PEQA_X</t>
  </si>
  <si>
    <t>DC_LKG_LOW_MIPICLKP_FV0P15_X_X_X_PEQA_X</t>
  </si>
  <si>
    <t>DC_LKG_LOW_MIPIDATAN_FV0P15_X_X_X_PEQA_X</t>
  </si>
  <si>
    <t>DC_LKG_LOW_MIPIDATAP_FV0P15_X_X_X_PEQA_X</t>
  </si>
  <si>
    <t>DC_LKG_LOW_I3CSDA_FV0_X_X_X_PEQA_X</t>
  </si>
  <si>
    <t>DC_LKG_LOW_GPIO32_FV0_X_X_X_PEQA_X</t>
  </si>
  <si>
    <t>DC_LKG_LOW_GPIO31_FV0_X_X_X_PEQA_X</t>
  </si>
  <si>
    <t>DC_LKG_LOW_GPIO30_FV0_X_X_X_PEQA_X</t>
  </si>
  <si>
    <t>DC_LKG_LOW_GPIO29_FV0_X_X_X_PEQA_X</t>
  </si>
  <si>
    <t>DC_LKG_LOW_GPIO28_FV0_X_X_X_PEQA_X</t>
  </si>
  <si>
    <t>DC_LKG_LOW_GPIO27_FV0_X_X_X_PEQA_X</t>
  </si>
  <si>
    <t>DC_LKG_LOW_GPIO26_FV0_X_X_X_PEQA_X</t>
  </si>
  <si>
    <t>DC_LKG_LOW_GPIO25_FV0_X_X_X_PEQA_X</t>
  </si>
  <si>
    <t>DC_LKG_LOW_GPIO24_FV0_X_X_X_PEQA_X</t>
  </si>
  <si>
    <t>DC_LKG_LOW_GPIO23_FV0_X_X_X_PEQA_X</t>
  </si>
  <si>
    <t>DC_LKG_LOW_GPIO22_FV0_X_X_X_PEQA_X</t>
  </si>
  <si>
    <t>DC_LKG_LOW_GPIO21_FV0_X_X_X_PEQA_X</t>
  </si>
  <si>
    <t>DC_LKG_LOW_GPIO20_FV0_X_X_X_PEQA_X</t>
  </si>
  <si>
    <t>DC_LKG_LOW_GPIO19_FV0_X_X_X_PEQA_X</t>
  </si>
  <si>
    <t>DC_LKG_LOW_GPIO18_FV0_X_X_X_PEQA_X</t>
  </si>
  <si>
    <t>DC_LKG_LOW_GPIO17_FV0_X_X_X_PEQA_X</t>
  </si>
  <si>
    <t>DC_LKG_LOW_GPIO16_FV0_X_X_X_PEQA_X</t>
  </si>
  <si>
    <t>DC_LKG_LOW_GPIO15_FV0_X_X_X_PEQA_X</t>
  </si>
  <si>
    <t>DC_LKG_LOW_GPIO14_FV0_X_X_X_PEQA_X</t>
  </si>
  <si>
    <t>DC_LKG_LOW_GPIO13_FV0_X_X_X_PEQA_X</t>
  </si>
  <si>
    <t>DC_LKG_LOW_GPIO12_FV0_X_X_X_PEQA_X</t>
  </si>
  <si>
    <t>DC_LKG_LOW_GPIO11_FV0_X_X_X_PEQA_X</t>
  </si>
  <si>
    <t>DC_LKG_LOW_GPIO10_FV0_X_X_X_PEQA_X</t>
  </si>
  <si>
    <t>DC_LKG_LOW_GPIO9_FV0_X_X_X_PEQA_X</t>
  </si>
  <si>
    <t>DC_LKG_LOW_GPIO8_FV0_X_X_X_PEQA_X</t>
  </si>
  <si>
    <t>DC_LKG_LOW_GPIO7_FV0_X_X_X_PEQA_X</t>
  </si>
  <si>
    <t>DC_LKG_LOW_GPIO6_FV0_X_X_X_PEQA_X</t>
  </si>
  <si>
    <t>DC_LKG_LOW_GPIO5_FV0_X_X_X_PEQA_X</t>
  </si>
  <si>
    <t>DC_LKG_LOW_GPIO4_FV0_X_X_X_PEQA_X</t>
  </si>
  <si>
    <t>DC_LKG_LOW_GPIO3_FV0_X_X_X_PEQA_X</t>
  </si>
  <si>
    <t>DC_LKG_LOW_GPIO2_FV0_X_X_X_PEQA_X</t>
  </si>
  <si>
    <t>DC_LKG_LOW_GPIO1_FV0_X_X_X_PEQA_X</t>
  </si>
  <si>
    <t>DC_LKG_LOW_GPIO0_FV0_X_X_X_PEQA_X</t>
  </si>
  <si>
    <t>DC_LKG_HIGH_CLKREF_FV1P8_X_X_X_PEQA_X</t>
  </si>
  <si>
    <t>DC_LKG_HIGH_OSCEN_FV1P8_X_X_X_PEQA_X</t>
  </si>
  <si>
    <t>DC_LKG_HIGH_I3CSCL_FV1P8_X_X_X_PEQA_X</t>
  </si>
  <si>
    <t>DC_LKG_HIGH_JTAGTRSTN_FV1P8_X_X_X_PEQA_X</t>
  </si>
  <si>
    <t>DC_LKG_HIGH_JTAGTCK_FV1P8_X_X_X_PEQA_X</t>
  </si>
  <si>
    <t>DC_LKG_HIGH_JTAGTMS_FV1P8_X_X_X_PEQA_X</t>
  </si>
  <si>
    <t>DC_LKG_HIGH_JTAGTDI_FV1P8_X_X_X_PEQA_X</t>
  </si>
  <si>
    <t>DC_LKG_HIGH_MANTEST0_FV1P8_X_X_X_PEQA_X</t>
  </si>
  <si>
    <t>DC_LKG_HIGH_MANTEST1_FV1P8_X_X_X_PEQA_X</t>
  </si>
  <si>
    <t>DC_LKG_HIGH_MIPICLKN_FV0P25_X_X_X_PEQA_X</t>
  </si>
  <si>
    <t>DC_LKG_HIGH_MIPICLKP_FV0P25_X_X_X_PEQA_X</t>
  </si>
  <si>
    <t>DC_LKG_HIGH_MIPIDATAN_FV0P25_X_X_X_PEQA_X</t>
  </si>
  <si>
    <t>DC_LKG_HIGH_MIPIDATAP_FV0P25_X_X_X_PEQA_X</t>
  </si>
  <si>
    <t>DC_LKG_HIGH_I3CSDA_FV1P8_X_X_X_PEQA_X</t>
  </si>
  <si>
    <t>DC_LKG_HIGH_GPIO32_FV1P8_X_X_X_PEQA_X</t>
  </si>
  <si>
    <t>DC_LKG_HIGH_GPIO31_FV1P8_X_X_X_PEQA_X</t>
  </si>
  <si>
    <t>DC_LKG_HIGH_GPIO30_FV1P8_X_X_X_PEQA_X</t>
  </si>
  <si>
    <t>DC_LKG_HIGH_GPIO29_FV1P8_X_X_X_PEQA_X</t>
  </si>
  <si>
    <t>DC_LKG_HIGH_GPIO28_FV1P8_X_X_X_PEQA_X</t>
  </si>
  <si>
    <t>DC_LKG_HIGH_GPIO27_FV1P8_X_X_X_PEQA_X</t>
  </si>
  <si>
    <t>DC_LKG_HIGH_GPIO26_FV1P8_X_X_X_PEQA_X</t>
  </si>
  <si>
    <t>DC_LKG_HIGH_GPIO25_FV1P8_X_X_X_PEQA_X</t>
  </si>
  <si>
    <t>DC_LKG_HIGH_GPIO24_FV1P8_X_X_X_PEQA_X</t>
  </si>
  <si>
    <t>DC_LKG_HIGH_GPIO23_FV1P8_X_X_X_PEQA_X</t>
  </si>
  <si>
    <t>DC_LKG_HIGH_GPIO22_FV1P8_X_X_X_PEQA_X</t>
  </si>
  <si>
    <t>DC_LKG_HIGH_GPIO21_FV1P8_X_X_X_PEQA_X</t>
  </si>
  <si>
    <t>DC_LKG_HIGH_GPIO20_FV1P8_X_X_X_PEQA_X</t>
  </si>
  <si>
    <t>DC_LKG_HIGH_GPIO19_FV1P8_X_X_X_PEQA_X</t>
  </si>
  <si>
    <t>DC_LKG_HIGH_GPIO18_FV1P8_X_X_X_PEQA_X</t>
  </si>
  <si>
    <t>DC_LKG_HIGH_GPIO17_FV1P8_X_X_X_PEQA_X</t>
  </si>
  <si>
    <t>DC_LKG_HIGH_GPIO16_FV1P8_X_X_X_PEQA_X</t>
  </si>
  <si>
    <t>DC_LKG_HIGH_GPIO15_FV1P8_X_X_X_PEQA_X</t>
  </si>
  <si>
    <t>DC_LKG_HIGH_GPIO14_FV1P8_X_X_X_PEQA_X</t>
  </si>
  <si>
    <t>DC_LKG_HIGH_GPIO13_FV1P8_X_X_X_PEQA_X</t>
  </si>
  <si>
    <t>DC_LKG_HIGH_GPIO12_FV1P8_X_X_X_PEQA_X</t>
  </si>
  <si>
    <t>DC_LKG_HIGH_GPIO11_FV1P8_X_X_X_PEQA_X</t>
  </si>
  <si>
    <t>DC_LKG_HIGH_GPIO10_FV1P8_X_X_X_PEQA_X</t>
  </si>
  <si>
    <t>DC_LKG_HIGH_GPIO9_FV1P8_X_X_X_PEQA_X</t>
  </si>
  <si>
    <t>DC_LKG_HIGH_GPIO8_FV1P8_X_X_X_PEQA_X</t>
  </si>
  <si>
    <t>DC_LKG_HIGH_GPIO7_FV1P8_X_X_X_PEQA_X</t>
  </si>
  <si>
    <t>DC_LKG_HIGH_GPIO6_FV1P8_X_X_X_PEQA_X</t>
  </si>
  <si>
    <t>DC_LKG_HIGH_GPIO5_FV1P8_X_X_X_PEQA_X</t>
  </si>
  <si>
    <t>DC_LKG_HIGH_GPIO4_FV1P8_X_X_X_PEQA_X</t>
  </si>
  <si>
    <t>DC_LKG_HIGH_GPIO3_FV1P8_X_X_X_PEQA_X</t>
  </si>
  <si>
    <t>DC_LKG_HIGH_GPIO2_FV1P8_X_X_X_PEQA_X</t>
  </si>
  <si>
    <t>DC_LKG_HIGH_GPIO1_FV1P8_X_X_X_PEQA_X</t>
  </si>
  <si>
    <t>DC_LKG_HIGH_GPIO0_FV1P8_X_X_X_PEQA_X</t>
  </si>
  <si>
    <t>DC_LKG_IOZH_GPIO32_X_X_X_NV_PEQA_X</t>
  </si>
  <si>
    <t>Tristate_Leakage</t>
  </si>
  <si>
    <t>DC_LKG_IOZH_GPIO31_X_X_X_NV_PEQA_X</t>
  </si>
  <si>
    <t>DC_LKG_IOZH_GPIO30_X_X_X_NV_PEQA_X</t>
  </si>
  <si>
    <t>DC_LKG_IOZH_GPIO29_X_X_X_NV_PEQA_X</t>
  </si>
  <si>
    <t>DC_LKG_IOZH_GPIO28_X_X_X_NV_PEQA_X</t>
  </si>
  <si>
    <t>DC_LKG_IOZH_GPIO27_X_X_X_NV_PEQA_X</t>
  </si>
  <si>
    <t>DC_LKG_IOZH_GPIO26_X_X_X_NV_PEQA_X</t>
  </si>
  <si>
    <t>DC_LKG_IOZH_GPIO25_X_X_X_NV_PEQA_X</t>
  </si>
  <si>
    <t>DC_LKG_IOZH_GPIO24_X_X_X_NV_PEQA_X</t>
  </si>
  <si>
    <t>DC_LKG_IOZH_GPIO23_X_X_X_NV_PEQA_X</t>
  </si>
  <si>
    <t>DC_LKG_IOZH_GPIO22_X_X_X_NV_PEQA_X</t>
  </si>
  <si>
    <t>DC_LKG_IOZH_GPIO21_X_X_X_NV_PEQA_X</t>
  </si>
  <si>
    <t>DC_LKG_IOZH_GPIO20_X_X_X_NV_PEQA_X</t>
  </si>
  <si>
    <t>DC_LKG_IOZH_GPIO19_X_X_X_NV_PEQA_X</t>
  </si>
  <si>
    <t>DC_LKG_IOZH_GPIO18_X_X_X_NV_PEQA_X</t>
  </si>
  <si>
    <t>DC_LKG_IOZH_GPIO17_X_X_X_NV_PEQA_X</t>
  </si>
  <si>
    <t>DC_LKG_IOZH_GPIO16_X_X_X_NV_PEQA_X</t>
  </si>
  <si>
    <t>DC_LKG_IOZH_GPIO15_X_X_X_NV_PEQA_X</t>
  </si>
  <si>
    <t>DC_LKG_IOZH_GPIO14_X_X_X_NV_PEQA_X</t>
  </si>
  <si>
    <t>DC_LKG_IOZH_GPIO13_X_X_X_NV_PEQA_X</t>
  </si>
  <si>
    <t>DC_LKG_IOZH_GPIO12_X_X_X_NV_PEQA_X</t>
  </si>
  <si>
    <t>DC_LKG_IOZH_GPIO11_X_X_X_NV_PEQA_X</t>
  </si>
  <si>
    <t>DC_LKG_IOZH_GPIO10_X_X_X_NV_PEQA_X</t>
  </si>
  <si>
    <t>DC_LKG_IOZH_GPIO9_X_X_X_NV_PEQA_X</t>
  </si>
  <si>
    <t>DC_LKG_IOZH_GPIO8_X_X_X_NV_PEQA_X</t>
  </si>
  <si>
    <t>DC_LKG_IOZH_GPIO7_X_X_X_NV_PEQA_X</t>
  </si>
  <si>
    <t>DC_LKG_IOZH_GPIO6_X_X_X_NV_PEQA_X</t>
  </si>
  <si>
    <t>DC_LKG_IOZH_GPIO5_X_X_X_NV_PEQA_X</t>
  </si>
  <si>
    <t>DC_LKG_IOZH_GPIO4_X_X_X_NV_PEQA_X</t>
  </si>
  <si>
    <t>DC_LKG_IOZH_GPIO3_X_X_X_NV_PEQA_X</t>
  </si>
  <si>
    <t>DC_LKG_IOZH_GPIO2_X_X_X_NV_PEQA_X</t>
  </si>
  <si>
    <t>DC_LKG_IOZH_GPIO1_X_X_X_NV_PEQA_X</t>
  </si>
  <si>
    <t>DC_LKG_IOZH_GPIO0_X_X_X_NV_PEQA_X</t>
  </si>
  <si>
    <t>DC_LKG_IOZH_I3CSDA_X_X_X_NV_PEQA_X</t>
  </si>
  <si>
    <t>DC_LKG_IOZH_JTAGTDO_X_X_X_NV_PEQA_X</t>
  </si>
  <si>
    <t>DC_LKG_IOZL_GPIO32_X_X_X_NV_PEQA_X</t>
  </si>
  <si>
    <t>DC_LKG_IOZL_GPIO31_X_X_X_NV_PEQA_X</t>
  </si>
  <si>
    <t>DC_LKG_IOZL_GPIO30_X_X_X_NV_PEQA_X</t>
  </si>
  <si>
    <t>DC_LKG_IOZL_GPIO29_X_X_X_NV_PEQA_X</t>
  </si>
  <si>
    <t>DC_LKG_IOZL_GPIO28_X_X_X_NV_PEQA_X</t>
  </si>
  <si>
    <t>DC_LKG_IOZL_GPIO27_X_X_X_NV_PEQA_X</t>
  </si>
  <si>
    <t>DC_LKG_IOZL_GPIO26_X_X_X_NV_PEQA_X</t>
  </si>
  <si>
    <t>DC_LKG_IOZL_GPIO25_X_X_X_NV_PEQA_X</t>
  </si>
  <si>
    <t>DC_LKG_IOZL_GPIO24_X_X_X_NV_PEQA_X</t>
  </si>
  <si>
    <t>DC_LKG_IOZL_GPIO23_X_X_X_NV_PEQA_X</t>
  </si>
  <si>
    <t>DC_LKG_IOZL_GPIO22_X_X_X_NV_PEQA_X</t>
  </si>
  <si>
    <t>DC_LKG_IOZL_GPIO21_X_X_X_NV_PEQA_X</t>
  </si>
  <si>
    <t>DC_LKG_IOZL_GPIO20_X_X_X_NV_PEQA_X</t>
  </si>
  <si>
    <t>DC_LKG_IOZL_GPIO19_X_X_X_NV_PEQA_X</t>
  </si>
  <si>
    <t>DC_LKG_IOZL_GPIO18_X_X_X_NV_PEQA_X</t>
  </si>
  <si>
    <t>DC_LKG_IOZL_GPIO17_X_X_X_NV_PEQA_X</t>
  </si>
  <si>
    <t>DC_LKG_IOZL_GPIO16_X_X_X_NV_PEQA_X</t>
  </si>
  <si>
    <t>DC_LKG_IOZL_GPIO15_X_X_X_NV_PEQA_X</t>
  </si>
  <si>
    <t>DC_LKG_IOZL_GPIO14_X_X_X_NV_PEQA_X</t>
  </si>
  <si>
    <t>DC_LKG_IOZL_GPIO13_X_X_X_NV_PEQA_X</t>
  </si>
  <si>
    <t>DC_LKG_IOZL_GPIO12_X_X_X_NV_PEQA_X</t>
  </si>
  <si>
    <t>DC_LKG_IOZL_GPIO11_X_X_X_NV_PEQA_X</t>
  </si>
  <si>
    <t>DC_LKG_IOZL_GPIO10_X_X_X_NV_PEQA_X</t>
  </si>
  <si>
    <t>DC_LKG_IOZL_GPIO9_X_X_X_NV_PEQA_X</t>
  </si>
  <si>
    <t>DC_LKG_IOZL_GPIO8_X_X_X_NV_PEQA_X</t>
  </si>
  <si>
    <t>DC_LKG_IOZL_GPIO7_X_X_X_NV_PEQA_X</t>
  </si>
  <si>
    <t>DC_LKG_IOZL_GPIO6_X_X_X_NV_PEQA_X</t>
  </si>
  <si>
    <t>DC_LKG_IOZL_GPIO5_X_X_X_NV_PEQA_X</t>
  </si>
  <si>
    <t>DC_LKG_IOZL_GPIO4_X_X_X_NV_PEQA_X</t>
  </si>
  <si>
    <t>DC_LKG_IOZL_GPIO3_X_X_X_NV_PEQA_X</t>
  </si>
  <si>
    <t>DC_LKG_IOZL_GPIO2_X_X_X_NV_PEQA_X</t>
  </si>
  <si>
    <t>DC_LKG_IOZL_GPIO1_X_X_X_NV_PEQA_X</t>
  </si>
  <si>
    <t>DC_LKG_IOZL_GPIO0_X_X_X_NV_PEQA_X</t>
  </si>
  <si>
    <t>DC_LKG_IOZL_I3CSDA_X_X_X_NV_PEQA_X</t>
  </si>
  <si>
    <t>DC_LKG_IOZL_JTAGTDO_X_X_X_NV_PEQA_X</t>
  </si>
  <si>
    <t>DC_DEBUG_TESTTIME_TIMESTAMP_X_X_X_NV_PEQA_X</t>
  </si>
  <si>
    <t>DCFlow_ElapsedTestTime</t>
  </si>
  <si>
    <t>FUNC_COMM_JTAG_X_X_X_X_NV_PEQA_X</t>
  </si>
  <si>
    <t>JTAG_Communication</t>
  </si>
  <si>
    <t>FUNC_COMM_JTAG_JTAGID_X_X_X_NV_PEQA_X</t>
  </si>
  <si>
    <t>Int</t>
  </si>
  <si>
    <t>FUNC_COMM_I2C_X_X_X_X_NV_PEQA_X</t>
  </si>
  <si>
    <t>I2C_Communication</t>
  </si>
  <si>
    <t>FUNC_COMM_I3C_X_X_X_X_NV_PEQA_X</t>
  </si>
  <si>
    <t>I3C_Communication</t>
  </si>
  <si>
    <t>EFUSE_I3C_READ_X_X_X_X_NV_PEQA_X</t>
  </si>
  <si>
    <t>eFuse_PreTest_CP1</t>
  </si>
  <si>
    <t>EFUSE_I3C_WRITE_X_X_X_X_NV_PEQA_X</t>
  </si>
  <si>
    <t>EFUSE_READ_DIEID_WASBLANK_X_X_X_NV_PEQA_X</t>
  </si>
  <si>
    <t>EFUSE_WRITE_DIEID_ATTEMPTS_X_X_X_NV_PEQA_X</t>
  </si>
  <si>
    <t>EFUSE_READ_DIEID_ACTUAL_CODE_X_X_NV_PEQA_X</t>
  </si>
  <si>
    <t>EFUSE_READ_DIEID_ACTUAL_REV_X_X_NV_PEQA_X</t>
  </si>
  <si>
    <t>EFUSE_READ_DIEID_ACTUAL_WAFERX_X_X_NV_PEQA_X</t>
  </si>
  <si>
    <t>EFUSE_READ_DIEID_ACTUAL_WAFERY_X_X_NV_PEQA_X</t>
  </si>
  <si>
    <t>EFUSE_READ_DIEID_ACTUAL_L0_X_X_NV_PEQA_X</t>
  </si>
  <si>
    <t>EFUSE_READ_DIEID_ACTUAL_L1_X_X_NV_PEQA_X</t>
  </si>
  <si>
    <t>EFUSE_READ_DIEID_ACTUAL_L2_X_X_NV_PEQA_X</t>
  </si>
  <si>
    <t>EFUSE_READ_DIEID_ACTUAL_L3_X_X_NV_PEQA_X</t>
  </si>
  <si>
    <t>EFUSE_READ_DIEID_ACTUAL_L4_X_X_NV_PEQA_X</t>
  </si>
  <si>
    <t>EFUSE_READ_DIEID_ACTUAL_L5_X_X_NV_PEQA_X</t>
  </si>
  <si>
    <t>EFUSE_READ_DIEID_ACTUAL_L6_X_X_NV_PEQA_X</t>
  </si>
  <si>
    <t>EFUSE_READ_DIEID_ACTUAL_L7_X_X_NV_PEQA_X</t>
  </si>
  <si>
    <t>EFUSE_READ_DIEID_ACTUAL_L8_X_X_NV_PEQA_X</t>
  </si>
  <si>
    <t>EFUSE_READ_DIEID_ACTUAL_WAFERID_X_X_NV_PEQA_X</t>
  </si>
  <si>
    <t>EFUSE_READ_DIEID_ACTUAL_FABID_X_X_NV_PEQA_X</t>
  </si>
  <si>
    <t>EFUSE_READ_DIEID_ACTUAL_FOUNDRYID_X_X_NV_PEQA_X</t>
  </si>
  <si>
    <t>EFUSE_READ_DIEID_ACTUAL_JTAGID_X_X_NV_PEQA_X</t>
  </si>
  <si>
    <t>EFUSE_READ_DIEID_ACTUAL_OF_X_X_NV_PEQA_X</t>
  </si>
  <si>
    <t>EFUSE_READ_DIEID_ACTUAL_SUBREV_X_X_NV_PEQA_X</t>
  </si>
  <si>
    <t>EFUSE_READ_DIEID_ACTUAL_MINORREV_X_X_NV_PEQA_X</t>
  </si>
  <si>
    <t>EFUSE_READ_DIEID_ACTUAL_MAJORREV_X_X_NV_PEQA_X</t>
  </si>
  <si>
    <t>EFUSE_READ_DIEID_ACTUAL_CUSTOMIZE_X_X_NV_PEQA_X</t>
  </si>
  <si>
    <t>EFUSE_READ_DIEID_ACTUAL_CRC1_X_X_NV_PEQA_X</t>
  </si>
  <si>
    <t>EFUSE_READ_DIEID_EXPECTED_CODE_X_X_NV_PEQA_X</t>
  </si>
  <si>
    <t>EFUSE_READ_DIEID_EXPECTED_REV_X_X_NV_PEQA_X</t>
  </si>
  <si>
    <t>EFUSE_READ_DIEID_EXPECTED_WAFERX_X_X_NV_PEQA_X</t>
  </si>
  <si>
    <t>EFUSE_READ_DIEID_EXPECTED_WAFERY_X_X_NV_PEQA_X</t>
  </si>
  <si>
    <t>EFUSE_READ_DIEID_EXPECTED_L0_X_X_NV_PEQA_X</t>
  </si>
  <si>
    <t>EFUSE_READ_DIEID_EXPECTED_L1_X_X_NV_PEQA_X</t>
  </si>
  <si>
    <t>EFUSE_READ_DIEID_EXPECTED_L2_X_X_NV_PEQA_X</t>
  </si>
  <si>
    <t>EFUSE_READ_DIEID_EXPECTED_L3_X_X_NV_PEQA_X</t>
  </si>
  <si>
    <t>EFUSE_READ_DIEID_EXPECTED_L4_X_X_NV_PEQA_X</t>
  </si>
  <si>
    <t>EFUSE_READ_DIEID_EXPECTED_L5_X_X_NV_PEQA_X</t>
  </si>
  <si>
    <t>EFUSE_READ_DIEID_EXPECTED_L6_X_X_NV_PEQA_X</t>
  </si>
  <si>
    <t>EFUSE_READ_DIEID_EXPECTED_L7_X_X_NV_PEQA_X</t>
  </si>
  <si>
    <t>EFUSE_READ_DIEID_EXPECTED_L8_X_X_NV_PEQA_X</t>
  </si>
  <si>
    <t>EFUSE_READ_DIEID_EXPECTED_WAFERID_X_X_NV_PEQA_X</t>
  </si>
  <si>
    <t>EFUSE_READ_DIEID_EXPECTED_FABID_X_X_NV_PEQA_X</t>
  </si>
  <si>
    <t>EFUSE_READ_DIEID_EXPECTED_FOUNDRYID_X_X_NV_PEQA_X</t>
  </si>
  <si>
    <t>EFUSE_READ_DIEID_EXPECTED_JTAGID_X_X_NV_PEQA_X</t>
  </si>
  <si>
    <t>EFUSE_READ_DIEID_EXPECTED_OF_X_X_NV_PEQA_X</t>
  </si>
  <si>
    <t>EFUSE_READ_DIEID_EXPECTED_SUBREV_X_X_NV_PEQA_X</t>
  </si>
  <si>
    <t>EFUSE_READ_DIEID_EXPECTED_MINORREV_X_X_NV_PEQA_X</t>
  </si>
  <si>
    <t>EFUSE_READ_DIEID_EXPECTED_MAJORREV_X_X_NV_PEQA_X</t>
  </si>
  <si>
    <t>EFUSE_READ_DIEID_EXPECTED_CUSTOMIZE_X_X_NV_PEQA_X</t>
  </si>
  <si>
    <t>EFUSE_READ_DIEID_EXPECTED_CRC1_X_X_NV_PEQA_X</t>
  </si>
  <si>
    <t>EFUSE_READ_DIEID_MATCHED_CODE_X_X_NV_PEQA_X</t>
  </si>
  <si>
    <t>EFUSE_READ_DIEID_MATCHED_REV_X_X_NV_PEQA_X</t>
  </si>
  <si>
    <t>EFUSE_READ_DIEID_MATCHED_WAFERX_X_X_NV_PEQA_X</t>
  </si>
  <si>
    <t>EFUSE_READ_DIEID_MATCHED_WAFERY_X_X_NV_PEQA_X</t>
  </si>
  <si>
    <t>EFUSE_READ_DIEID_MATCHED_L0_X_X_NV_PEQA_X</t>
  </si>
  <si>
    <t>EFUSE_READ_DIEID_MATCHED_L1_X_X_NV_PEQA_X</t>
  </si>
  <si>
    <t>EFUSE_READ_DIEID_MATCHED_L2_X_X_NV_PEQA_X</t>
  </si>
  <si>
    <t>EFUSE_READ_DIEID_MATCHED_L3_X_X_NV_PEQA_X</t>
  </si>
  <si>
    <t>EFUSE_READ_DIEID_MATCHED_L4_X_X_NV_PEQA_X</t>
  </si>
  <si>
    <t>EFUSE_READ_DIEID_MATCHED_L5_X_X_NV_PEQA_X</t>
  </si>
  <si>
    <t>EFUSE_READ_DIEID_MATCHED_L6_X_X_NV_PEQA_X</t>
  </si>
  <si>
    <t>EFUSE_READ_DIEID_MATCHED_L7_X_X_NV_PEQA_X</t>
  </si>
  <si>
    <t>EFUSE_READ_DIEID_MATCHED_L8_X_X_NV_PEQA_X</t>
  </si>
  <si>
    <t>EFUSE_READ_DIEID_MATCHED_WAFERID_X_X_NV_PEQA_X</t>
  </si>
  <si>
    <t>EFUSE_READ_DIEID_MATCHED_FABID_X_X_NV_PEQA_X</t>
  </si>
  <si>
    <t>EFUSE_READ_DIEID_MATCHED_FOUNDRYID_X_X_NV_PEQA_X</t>
  </si>
  <si>
    <t>EFUSE_READ_DIEID_MATCHED_JTAGID_X_X_NV_PEQA_X</t>
  </si>
  <si>
    <t>EFUSE_READ_DIEID_MATCHED_OF_X_X_NV_PEQA_X</t>
  </si>
  <si>
    <t>EFUSE_READ_DIEID_MATCHED_SUBREV_X_X_NV_PEQA_X</t>
  </si>
  <si>
    <t>EFUSE_READ_DIEID_MATCHED_MINORREV_X_X_NV_PEQA_X</t>
  </si>
  <si>
    <t>EFUSE_READ_DIEID_MATCHED_MAJORREV_X_X_NV_PEQA_X</t>
  </si>
  <si>
    <t>EFUSE_READ_DIEID_MATCHED_CUSTOMIZE_X_X_NV_PEQA_X</t>
  </si>
  <si>
    <t>EFUSE_READ_DIEID_MATCHED_CRC1_X_X_NV_PEQA_X</t>
  </si>
  <si>
    <t>eFuse_PreTest_CP2</t>
  </si>
  <si>
    <t>EFUSE_READ_DIEID_ACTUAL_CRC3_X_X_NV_PEQA_X</t>
  </si>
  <si>
    <t>EFUSE_READ_DIEID_ACTUAL_CRCDAC_X_X_NV_PEQA_X</t>
  </si>
  <si>
    <t>EFUSE_READ_DIEID_ACTUAL_CRCTEMPSNS_X_X_NV_PEQA_X</t>
  </si>
  <si>
    <t>EFUSE_READ_DIEID_EXPECTED_CRC3_X_X_NV_PEQA_X</t>
  </si>
  <si>
    <t>EFUSE_READ_DIEID_EXPECTED_CRCDAC_X_X_NV_PEQA_X</t>
  </si>
  <si>
    <t>EFUSE_READ_DIEID_EXPECTED_CRCTEMPSNS_X_X_NV_PEQA_X</t>
  </si>
  <si>
    <t>EFUSE_READ_DIEID_MATCHED_CRC3_X_X_NV_PEQA_X</t>
  </si>
  <si>
    <t>EFUSE_READ_DIEID_MATCHED_CRCDAC_X_X_NV_PEQA_X</t>
  </si>
  <si>
    <t>EFUSE_READ_DIEID_MATCHED_CRCTEMPSNS_X_X_NV_PEQA_X</t>
  </si>
  <si>
    <t>DIG_PIFLOOPBACK_FUNC_X_X_X_X_NV_PEQA_X</t>
  </si>
  <si>
    <t>PIF_Loopback</t>
  </si>
  <si>
    <t>FUNC_DEBUG_TESTTIME_TIMESTAMP_X_X_X_NV_PEQA_X</t>
  </si>
  <si>
    <t>FuncFlow_ElapsedTestTime</t>
  </si>
  <si>
    <t>ANLG_BANDGAP_FUNC_TEMPTPAD_X_X_X_NV_PEQA_X</t>
  </si>
  <si>
    <t>BandGap</t>
  </si>
  <si>
    <t>ANLG_BANDGAP_VBG10_TEMPTPAD_X_X_X_NV_PEQA_X</t>
  </si>
  <si>
    <t>ANLG_BANDGAP_TRIMCODE_TEMPTPAD_X_X_X_NV_PEQA_X</t>
  </si>
  <si>
    <t>BandGap_POP</t>
  </si>
  <si>
    <t>ANLG_ADCSTATIC_FUNC_TEMPTPAD_X_X_X_NV_PEQA_X</t>
  </si>
  <si>
    <t>TempSensor_ADC_CpuFlag</t>
  </si>
  <si>
    <t>ANLG_ADCSTATIC_MONOTONICMIN_TEMPTPAD_X_X_X_NV_PEQA_X</t>
  </si>
  <si>
    <t>ANLG_ADCSTATIC_MONOTONICMAX_TEMPTPAD_X_X_X_NV_PEQA_X</t>
  </si>
  <si>
    <t>ANLG_ADCSTATIC_MISSINGCODE_TEMPTPAD_X_X_X_NV_PEQA_X</t>
  </si>
  <si>
    <t>ANLG_ADCSTATIC_VZST_TEMPTPAD_X_X_X_NV_PEQA_X</t>
  </si>
  <si>
    <t>ANLG_ADCSTATIC_VFST_TEMPTPAD_X_X_X_NV_PEQA_X</t>
  </si>
  <si>
    <t>ANLG_ADCSTATIC_LSBDEVICE_TEMPTPAD_X_X_X_NV_PEQA_X</t>
  </si>
  <si>
    <t>ANLG_ADCSTATIC_FSRDEVICE_TEMPTPAD_X_X_X_NV_PEQA_X</t>
  </si>
  <si>
    <t>ANLG_ADCSTATIC_OFFSET_TEMPTPAD_X_X_X_NV_PEQA_X</t>
  </si>
  <si>
    <t>ANLG_ADCSTATIC_GAIN_TEMPTPAD_X_X_X_NV_PEQA_X</t>
  </si>
  <si>
    <t>ANLG_ADCSTATIC_INL_TEMPTPAD_X_X_X_NV_PEQA_X</t>
  </si>
  <si>
    <t>LSB</t>
  </si>
  <si>
    <t>ANLG_ADCSTATIC_DNL_TEMPTPAD_X_X_X_NV_PEQA_X</t>
  </si>
  <si>
    <t>ANLG_ADCSTATIC_GPIO90OUTAT1QFS_TEMPTPAD_X_X_X_NV_PEQA_X</t>
  </si>
  <si>
    <t>ANLG_ADCSTATIC_GPIO90OUTAT3QFS_TEMPTPAD_X_X_X_NV_PEQA_X</t>
  </si>
  <si>
    <t>ANLG_ADCSTATIC_DIFFSC3QFS1QFS_TEMPTPAD_X_X_X_NV_PEQA_X</t>
  </si>
  <si>
    <t>ANLG_ADCSTATIC_DIFFSCODEAT1QFS_TEMPTPAD_X_X_X_NV_PEQA_X</t>
  </si>
  <si>
    <t>ANLG_ADCSTATIC_DIFFSCODEAT3QFS_TEMPTPAD_X_X_X_NV_PEQA_X</t>
  </si>
  <si>
    <t>TempSensor_ADC_POP</t>
  </si>
  <si>
    <t>TempSensor_ADC_2Points_POP</t>
  </si>
  <si>
    <t>ANLG_ADCSTATIC_FUNC_ANODETPAD_X_X_X_NV_PEQA_X</t>
  </si>
  <si>
    <t>Anode_ADC_CpuFlag</t>
  </si>
  <si>
    <t>ANLG_ADCSTATIC_MONOTONICMIN_ANODETPAD_X_X_X_NV_PEQA_X</t>
  </si>
  <si>
    <t>ANLG_ADCSTATIC_MONOTONICMAX_ANODETPAD_X_X_X_NV_PEQA_X</t>
  </si>
  <si>
    <t>ANLG_ADCSTATIC_MISSINGCODE_ANODETPAD_X_X_X_NV_PEQA_X</t>
  </si>
  <si>
    <t>ANLG_ADCSTATIC_VZST_ANODETPAD_X_X_X_NV_PEQA_X</t>
  </si>
  <si>
    <t>ANLG_ADCSTATIC_VFST_ANODETPAD_X_X_X_NV_PEQA_X</t>
  </si>
  <si>
    <t>ANLG_ADCSTATIC_LSBDEVICE_ANODETPAD_X_X_X_NV_PEQA_X</t>
  </si>
  <si>
    <t>ANLG_ADCSTATIC_FSRDEVICE_ANODETPAD_X_X_X_NV_PEQA_X</t>
  </si>
  <si>
    <t>ANLG_ADCSTATIC_OFFSET_ANODETPAD_X_X_X_NV_PEQA_X</t>
  </si>
  <si>
    <t>ANLG_ADCSTATIC_GAIN_ANODETPAD_X_X_X_NV_PEQA_X</t>
  </si>
  <si>
    <t>ANLG_ADCSTATIC_INL_ANODETPAD_X_X_X_NV_PEQA_X</t>
  </si>
  <si>
    <t>ANLG_ADCSTATIC_DNL_ANODETPAD_X_X_X_NV_PEQA_X</t>
  </si>
  <si>
    <t>ANLG_ADCSTATIC_GPIO90OUTAT1QFS_ANODETPAD_X_X_X_NV_PEQA_X</t>
  </si>
  <si>
    <t>ANLG_ADCSTATIC_GPIO90OUTAT3QFS_ANODETPAD_X_X_X_NV_PEQA_X</t>
  </si>
  <si>
    <t>ANLG_ADCSTATIC_DIFFSC3QFS1QFS_ANODETPAD_X_X_X_NV_PEQA_X</t>
  </si>
  <si>
    <t>ANLG_ADCSTATIC_DIFFSCODEAT1QFS_ANODETPAD_X_X_X_NV_PEQA_X</t>
  </si>
  <si>
    <t>ANLG_ADCSTATIC_DIFFSCODEAT3QFS_ANODETPAD_X_X_X_NV_PEQA_X</t>
  </si>
  <si>
    <t>Anode_ADC_POP</t>
  </si>
  <si>
    <t>ANLG_TEMPSENSOR_FUNC_TEMPTPAD_X_X_X_NV_PEQA_X</t>
  </si>
  <si>
    <t>TempSensor_Therm</t>
  </si>
  <si>
    <t>ANLG_TEMPSENSOR_THERM0_TEMPTPADVOLTAGE_TEMPTPAD_X_X_NV_PEQA_X</t>
  </si>
  <si>
    <t>ANLG_TEMPSENSOR_THERM0_EXPECTEDVOLTAGE_TEMPTPAD_X_X_NV_PEQA_X</t>
  </si>
  <si>
    <t>ANLG_TEMPSENSOR_THERM0_TEMPINTADC_TEMPTPAD_X_X_NV_PEQA_X</t>
  </si>
  <si>
    <t>ANLG_TEMPSENSOR_THERM0_GPIOOUTPUT_TEMPTPAD_X_X_NV_PEQA_X</t>
  </si>
  <si>
    <t>ANLG_TEMPSENSOR_THERM1_TEMPTPADVOLTAGE_TEMPTPAD_X_X_NV_PEQA_X</t>
  </si>
  <si>
    <t>ANLG_TEMPSENSOR_THERM1_EXPECTEDVOLTAGE_TEMPTPAD_X_X_NV_PEQA_X</t>
  </si>
  <si>
    <t>ANLG_TEMPSENSOR_THERM1_TEMPINTADC_TEMPTPAD_X_X_NV_PEQA_X</t>
  </si>
  <si>
    <t>ANLG_TEMPSENSOR_THERM1_GPIOOUTPUT_TEMPTPAD_X_X_NV_PEQA_X</t>
  </si>
  <si>
    <t>ANLG_VBB20_FUNC_ANODETPAD_X_X_X_NV_PEQA_X</t>
  </si>
  <si>
    <t>ANLG_VBB20_AVEERANGEBIT0_ANODETPAD_X_X_X_NV_PEQA_X</t>
  </si>
  <si>
    <t>ANLG_VBB20_AVEERANGE0VOLT_ANODETPAD_X_X_X_NV_PEQA_X</t>
  </si>
  <si>
    <t>ANLG_VBB20_AVEERANGEBIT1_ANODETPAD_X_X_X_NV_PEQA_X</t>
  </si>
  <si>
    <t>ANLG_VBB20_AVEERANGE1VOLT_ANODETPAD_X_X_X_NV_PEQA_X</t>
  </si>
  <si>
    <t>ANLG_VBB20_AVEERANGEBIT2_ANODETPAD_X_X_X_NV_PEQA_X</t>
  </si>
  <si>
    <t>ANLG_VBB20_AVEERANGE2VOLT_ANODETPAD_X_X_X_NV_PEQA_X</t>
  </si>
  <si>
    <t>ANLG_VBB20_AVEERANGEBIT3_ANODETPAD_X_X_X_NV_PEQA_X</t>
  </si>
  <si>
    <t>ANLG_VBB20_AVEERANGE3VOLT_ANODETPAD_X_X_X_NV_PEQA_X</t>
  </si>
  <si>
    <t>ANLG_DACCAL_FUNC_ANODETPAD_X_X_X_NV_PEQA_X</t>
  </si>
  <si>
    <t>TMC_DAC_CALIBRATION</t>
  </si>
  <si>
    <t>ANLG_DACCAL_CURRENT_ANODETPAD_X_X_X_NV_PEQA_X</t>
  </si>
  <si>
    <t>ANLG_DACCAL_CALLOOPSTEP_ANODETPAD_X_X_X_NV_PEQA_X</t>
  </si>
  <si>
    <t>ANLG_DACCAL_LOWCURRENT_ANODETPAD_X_X_X_NV_PEQA_X</t>
  </si>
  <si>
    <t>ANLG_DACCAL_VBIAS_ANODETPAD_X_X_X_NV_PEQA_X</t>
  </si>
  <si>
    <t>ANLG_DACSWEEP_FUNC_ANODETPAD_X_X_X_NV_PEQA_X</t>
  </si>
  <si>
    <t>TMC_DAC_SWEEP</t>
  </si>
  <si>
    <t>ANLG_DACSWEEP_MONFAILCOUNT_ANODETPAD_X_X_X_NV_PEQA_X</t>
  </si>
  <si>
    <t>ANLG_DACSWEEP_MEANDELTAI_ANODETPAD_X_X_X_NV_PEQA_X</t>
  </si>
  <si>
    <t>ANLG_DACSWEEP_IMIN_ANODETPAD_X_X_X_NV_PEQA_X</t>
  </si>
  <si>
    <t>ANLG_DACSWEEP_IMAX_ANODETPAD_X_X_X_NV_PEQA_X</t>
  </si>
  <si>
    <t>TMC_DAC_SWEEP_POP</t>
  </si>
  <si>
    <t>ANLG_DACCAL_FUNC_ANODETPAD_X_X_X_NV_PEQA_RED</t>
  </si>
  <si>
    <t>TMC_DAC_CALIBRATION_R</t>
  </si>
  <si>
    <t>ANLG_DACCAL_CURRENT_ANODETPAD_X_X_X_NV_PEQA_RED</t>
  </si>
  <si>
    <t>ANLG_DACCAL_CALLOOPSTEP_ANODETPAD_X_X_X_NV_PEQA_RED</t>
  </si>
  <si>
    <t>ANLG_DACCAL_LOWCURRENT_ANODETPAD_X_X_X_NV_PEQA_RED</t>
  </si>
  <si>
    <t>ANLG_DACCAL_VBIAS_ANODETPAD_X_X_X_NV_PEQA_RED</t>
  </si>
  <si>
    <t>ANLG_DACCAL_FUNC_ANODETPAD_X_X_X_NV_PEQA_GREEN</t>
  </si>
  <si>
    <t>TMC_DAC_CALIBRATION_G</t>
  </si>
  <si>
    <t>ANLG_DACCAL_CURRENT_ANODETPAD_X_X_X_NV_PEQA_GREEN</t>
  </si>
  <si>
    <t>ANLG_DACCAL_CALLOOPSTEP_ANODETPAD_X_X_X_NV_PEQA_GREEN</t>
  </si>
  <si>
    <t>ANLG_DACCAL_LOWCURRENT_ANODETPAD_X_X_X_NV_PEQA_GREEN</t>
  </si>
  <si>
    <t>ANLG_DACCAL_VBIAS_ANODETPAD_X_X_X_NV_PEQA_GREEN</t>
  </si>
  <si>
    <t>ANLG_DACCAL_FUNC_ANODETPAD_X_X_X_NV_PEQA_BLUE</t>
  </si>
  <si>
    <t>TMC_DAC_CALIBRATION_B</t>
  </si>
  <si>
    <t>ANLG_DACCAL_CURRENT_ANODETPAD_X_X_X_NV_PEQA_BLUE</t>
  </si>
  <si>
    <t>ANLG_DACCAL_CALLOOPSTEP_ANODETPAD_X_X_X_NV_PEQA_BLUE</t>
  </si>
  <si>
    <t>ANLG_DACCAL_LOWCURRENT_ANODETPAD_X_X_X_NV_PEQA_BLUE</t>
  </si>
  <si>
    <t>ANLG_DACCAL_VBIAS_ANODETPAD_X_X_X_NV_PEQA_BLUE</t>
  </si>
  <si>
    <t>ANLG_DACSWEEP_FUNC_ANODETPAD_X_X_X_NV_PEQA_RED</t>
  </si>
  <si>
    <t>TMC_DAC_SWEEP_R</t>
  </si>
  <si>
    <t>ANLG_DACSWEEP_MONFAILCOUNT_ANODETPAD_X_X_X_NV_PEQA_RED</t>
  </si>
  <si>
    <t>ANLG_DACSWEEP_MEANDELTAI_ANODETPAD_X_X_X_NV_PEQA_RED</t>
  </si>
  <si>
    <t>ANLG_DACSWEEP_IMIN_ANODETPAD_X_X_X_NV_PEQA_RED</t>
  </si>
  <si>
    <t>ANLG_DACSWEEP_IMAX_ANODETPAD_X_X_X_NV_PEQA_RED</t>
  </si>
  <si>
    <t>ANLG_DACSWEEP_FUNC_ANODETPAD_X_X_X_NV_PEQA_GREEN</t>
  </si>
  <si>
    <t>TMC_DAC_SWEEP_G</t>
  </si>
  <si>
    <t>ANLG_DACSWEEP_MONFAILCOUNT_ANODETPAD_X_X_X_NV_PEQA_GREEN</t>
  </si>
  <si>
    <t>ANLG_DACSWEEP_MEANDELTAI_ANODETPAD_X_X_X_NV_PEQA_GREEN</t>
  </si>
  <si>
    <t>ANLG_DACSWEEP_IMIN_ANODETPAD_X_X_X_NV_PEQA_GREEN</t>
  </si>
  <si>
    <t>ANLG_DACSWEEP_IMAX_ANODETPAD_X_X_X_NV_PEQA_GREEN</t>
  </si>
  <si>
    <t>ANLG_DACSWEEP_FUNC_ANODETPAD_X_X_X_NV_PEQA_BLUE</t>
  </si>
  <si>
    <t>TMC_DAC_SWEEP_B</t>
  </si>
  <si>
    <t>ANLG_DACSWEEP_MONFAILCOUNT_ANODETPAD_X_X_X_NV_PEQA_BLUE</t>
  </si>
  <si>
    <t>ANLG_DACSWEEP_MEANDELTAI_ANODETPAD_X_X_X_NV_PEQA_BLUE</t>
  </si>
  <si>
    <t>ANLG_DACSWEEP_IMIN_ANODETPAD_X_X_X_NV_PEQA_BLUE</t>
  </si>
  <si>
    <t>ANLG_DACSWEEP_IMAX_ANODETPAD_X_X_X_NV_PEQA_BLUE</t>
  </si>
  <si>
    <t>ANLG_DAC2PTS_FUNC_ANODETPAD_X_X_X_NV_PEQA_RED</t>
  </si>
  <si>
    <t>TMC_DAC_2Points_R</t>
  </si>
  <si>
    <t>ANLG_DAC2PTS_CURRENTAT1QFS_ANODETPAD_X_X_X_NV_PEQA_RED</t>
  </si>
  <si>
    <t>ANLG_DAC2PTS_CURRENTAT3QFS_ANODETPAD_X_X_X_NV_PEQA_RED</t>
  </si>
  <si>
    <t>ANLG_DAC2PTS_FUNC_ANODETPAD_X_X_X_NV_PEQA_GREEN</t>
  </si>
  <si>
    <t>TMC_DAC_2Points_G</t>
  </si>
  <si>
    <t>ANLG_DAC2PTS_CURRENTAT1QFS_ANODETPAD_X_X_X_NV_PEQA_GREEN</t>
  </si>
  <si>
    <t>ANLG_DAC2PTS_CURRENTAT3QFS_ANODETPAD_X_X_X_NV_PEQA_GREEN</t>
  </si>
  <si>
    <t>ANLG_DAC2PTS_FUNC_ANODETPAD_X_X_X_NV_PEQA_BLUE</t>
  </si>
  <si>
    <t>TMC_DAC_2Points_B</t>
  </si>
  <si>
    <t>ANLG_DAC2PTS_CURRENTAT1QFS_ANODETPAD_X_X_X_NV_PEQA_BLUE</t>
  </si>
  <si>
    <t>ANLG_DAC2PTS_CURRENTAT3QFS_ANODETPAD_X_X_X_NV_PEQA_BLUE</t>
  </si>
  <si>
    <t>DC_DISPLAYCURRENT_IDLECATHODEON_AVEE_AVEE*_DacCurrent*_DutyCycle*_NV_PEQA_RED</t>
  </si>
  <si>
    <t>DisplayCurrent_I1_R</t>
  </si>
  <si>
    <t>DC_DISPLAYCURRENT_IDLECATHODEOFF_AVEE_AVEE*_DacCurrent*_DutyCycle*_NV_PEQA_RED</t>
  </si>
  <si>
    <t>DC_DISPLAYCURRENT_IDLECATHODEDELTA_AVEE_AVEE*_DacCurrent*_DutyCycle*_NV_PEQA_RED</t>
  </si>
  <si>
    <t>DC_DISPLAYCURRENT_ALLOFF_AVEE_AVEE*_DacCurrent*_DutyCycle*_NV_PEQA_RED</t>
  </si>
  <si>
    <t>DC_DISPLAYCURRENT_ALLON_AVEE_AVEE*_DacCurrent*_DutyCycle*_NV_PEQA_RED</t>
  </si>
  <si>
    <t>DC_DISPLAYCURRENT_PIXELCURRENT_AVEE_AVEE*_DacCurrent*_DutyCycle*_NV_PEQA_RED</t>
  </si>
  <si>
    <t>DC_DISPLAYCURRENT_IDLECATHODEON_AVEE_AVEE*_DacCurrent*_DutyCycle*_NV_PEQA_GREEN</t>
  </si>
  <si>
    <t>DisplayCurrent_I1_G</t>
  </si>
  <si>
    <t>DC_DISPLAYCURRENT_IDLECATHODEOFF_AVEE_AVEE*_DacCurrent*_DutyCycle*_NV_PEQA_GREEN</t>
  </si>
  <si>
    <t>DC_DISPLAYCURRENT_IDLECATHODEDELTA_AVEE_AVEE*_DacCurrent*_DutyCycle*_NV_PEQA_GREEN</t>
  </si>
  <si>
    <t>DC_DISPLAYCURRENT_ALLOFF_AVEE_AVEE*_DacCurrent*_DutyCycle*_NV_PEQA_GREEN</t>
  </si>
  <si>
    <t>DC_DISPLAYCURRENT_ALLON_AVEE_AVEE*_DacCurrent*_DutyCycle*_NV_PEQA_GREEN</t>
  </si>
  <si>
    <t>DC_DISPLAYCURRENT_PIXELCURRENT_AVEE_AVEE*_DacCurrent*_DutyCycle*_NV_PEQA_GREEN</t>
  </si>
  <si>
    <t>DC_DISPLAYCURRENT_IDLECATHODEON_AVEE_AVEE*_DacCurrent*_DutyCycle*_NV_PEQA_BLUE</t>
  </si>
  <si>
    <t>DisplayCurrent_I1_B</t>
  </si>
  <si>
    <t>DC_DISPLAYCURRENT_IDLECATHODEOFF_AVEE_AVEE*_DacCurrent*_DutyCycle*_NV_PEQA_BLUE</t>
  </si>
  <si>
    <t>DC_DISPLAYCURRENT_IDLECATHODEDELTA_AVEE_AVEE*_DacCurrent*_DutyCycle*_NV_PEQA_BLUE</t>
  </si>
  <si>
    <t>DC_DISPLAYCURRENT_ALLOFF_AVEE_AVEE*_DacCurrent*_DutyCycle*_NV_PEQA_BLUE</t>
  </si>
  <si>
    <t>DC_DISPLAYCURRENT_ALLON_AVEE_AVEE*_DacCurrent*_DutyCycle*_NV_PEQA_BLUE</t>
  </si>
  <si>
    <t>DC_DISPLAYCURRENT_PIXELCURRENT_AVEE_AVEE*_DacCurrent*_DutyCycle*_NV_PEQA_BLUE</t>
  </si>
  <si>
    <t>DC_DISPLAYI_IDLE-CATHODE-ON_AVEE_AVEE*_DacCurrent*_DutyCycle*_NV_PEQA_RED</t>
  </si>
  <si>
    <t>DI_TRIM_I1_R</t>
  </si>
  <si>
    <t>DC_DISPLAYI_IDLE-CATHODE-OFF_AVEE_AVEE*_DacCurrent*_DutyCycle*_NV_PEQA_RED</t>
  </si>
  <si>
    <t>DC_DISPLAYI_IDLE-CATHODE-DELTA_AVEE_AVEE*_DacCurrent*_DutyCycle*_NV_PEQA_RED</t>
  </si>
  <si>
    <t>DC_DISPLAYI_ALLOFF_AVEE_AVEE*_DacCurrent*_DutyCycle*_NV_PEQA_RED</t>
  </si>
  <si>
    <t>DC_DISPLAYI_ALLON-INIT_AVEE_AVEE*_DacCurrent*_DutyCycle*_NV_PEQA_RED</t>
  </si>
  <si>
    <t>DC_DISPLAYI_PIXELCURRENT-INIT_AVEE_AVEE*_DacCurrent*_DutyCycle*_NV_PEQA_RED</t>
  </si>
  <si>
    <t>DC_DISPLAYI_DACWORD-INIT_AVEE_AVEE*_DacCurrent*_DutyCycle*_NV_PEQA_RED</t>
  </si>
  <si>
    <t>DC_DISPLAYI_ALLON-TRIM_AVEE_AVEE*_DacCurrent*_DutyCycle*_NV_PEQA_RED</t>
  </si>
  <si>
    <t>DC_DISPLAYI_PIXELCURRENT-TRIM_AVEE_AVEE*_DacCurrent*_DutyCycle*_NV_PEQA_RED</t>
  </si>
  <si>
    <t>DC_DISPLAYI_DACWORD-TRIM_AVEE_AVEE*_DacCurrent*_DutyCycle*_NV_PEQA_RED</t>
  </si>
  <si>
    <t>DC_DISPLAYI_LOOPSTEPCNT_AVEE_AVEE*_DacCurrent*_DutyCycle*_NV_PEQA_RED</t>
  </si>
  <si>
    <t>DC_DISPLAYI_IDLE-CATHODE-ON_AVEE_AVEE*_DacCurrent*_DutyCycle*_NV_PEQA_GREEN</t>
  </si>
  <si>
    <t>DI_TRIM_I1_G</t>
  </si>
  <si>
    <t>DC_DISPLAYI_IDLE-CATHODE-OFF_AVEE_AVEE*_DacCurrent*_DutyCycle*_NV_PEQA_GREEN</t>
  </si>
  <si>
    <t>DC_DISPLAYI_IDLE-CATHODE-DELTA_AVEE_AVEE*_DacCurrent*_DutyCycle*_NV_PEQA_GREEN</t>
  </si>
  <si>
    <t>DC_DISPLAYI_ALLOFF_AVEE_AVEE*_DacCurrent*_DutyCycle*_NV_PEQA_GREEN</t>
  </si>
  <si>
    <t>DC_DISPLAYI_ALLON-INIT_AVEE_AVEE*_DacCurrent*_DutyCycle*_NV_PEQA_GREEN</t>
  </si>
  <si>
    <t>DC_DISPLAYI_PIXELCURRENT-INIT_AVEE_AVEE*_DacCurrent*_DutyCycle*_NV_PEQA_GREEN</t>
  </si>
  <si>
    <t>DC_DISPLAYI_DACWORD-INIT_AVEE_AVEE*_DacCurrent*_DutyCycle*_NV_PEQA_GREEN</t>
  </si>
  <si>
    <t>DC_DISPLAYI_ALLON-TRIM_AVEE_AVEE*_DacCurrent*_DutyCycle*_NV_PEQA_GREEN</t>
  </si>
  <si>
    <t>DC_DISPLAYI_PIXELCURRENT-TRIM_AVEE_AVEE*_DacCurrent*_DutyCycle*_NV_PEQA_GREEN</t>
  </si>
  <si>
    <t>DC_DISPLAYI_DACWORD-TRIM_AVEE_AVEE*_DacCurrent*_DutyCycle*_NV_PEQA_GREEN</t>
  </si>
  <si>
    <t>DC_DISPLAYI_LOOPSTEPCNT_AVEE_AVEE*_DacCurrent*_DutyCycle*_NV_PEQA_GREEN</t>
  </si>
  <si>
    <t>DC_DISPLAYI_IDLE-CATHODE-ON_AVEE_AVEE*_DacCurrent*_DutyCycle*_NV_PEQA_BLUE</t>
  </si>
  <si>
    <t>DI_TRIM_I1_B</t>
  </si>
  <si>
    <t>DC_DISPLAYI_IDLE-CATHODE-OFF_AVEE_AVEE*_DacCurrent*_DutyCycle*_NV_PEQA_BLUE</t>
  </si>
  <si>
    <t>DC_DISPLAYI_IDLE-CATHODE-DELTA_AVEE_AVEE*_DacCurrent*_DutyCycle*_NV_PEQA_BLUE</t>
  </si>
  <si>
    <t>DC_DISPLAYI_ALLOFF_AVEE_AVEE*_DacCurrent*_DutyCycle*_NV_PEQA_BLUE</t>
  </si>
  <si>
    <t>DC_DISPLAYI_ALLON-INIT_AVEE_AVEE*_DacCurrent*_DutyCycle*_NV_PEQA_BLUE</t>
  </si>
  <si>
    <t>DC_DISPLAYI_PIXELCURRENT-INIT_AVEE_AVEE*_DacCurrent*_DutyCycle*_NV_PEQA_BLUE</t>
  </si>
  <si>
    <t>DC_DISPLAYI_DACWORD-INIT_AVEE_AVEE*_DacCurrent*_DutyCycle*_NV_PEQA_BLUE</t>
  </si>
  <si>
    <t>DC_DISPLAYI_ALLON-TRIM_AVEE_AVEE*_DacCurrent*_DutyCycle*_NV_PEQA_BLUE</t>
  </si>
  <si>
    <t>DC_DISPLAYI_PIXELCURRENT-TRIM_AVEE_AVEE*_DacCurrent*_DutyCycle*_NV_PEQA_BLUE</t>
  </si>
  <si>
    <t>DC_DISPLAYI_DACWORD-TRIM_AVEE_AVEE*_DacCurrent*_DutyCycle*_NV_PEQA_BLUE</t>
  </si>
  <si>
    <t>DC_DISPLAYI_LOOPSTEPCNT_AVEE_AVEE*_DacCurrent*_DutyCycle*_NV_PEQA_BLUE</t>
  </si>
  <si>
    <t>ANLG_DEBUG_TESTTIME_TIMESTAMP_X_X_X_NV_PEQA_X</t>
  </si>
  <si>
    <t>ANLGFlow_ElapsedTestTime</t>
  </si>
  <si>
    <t>OPTIC_SPECTRO_DOMWLTH_CENTER_AVEE*_DacCurrent*_DutyCycle*_NV_PEQA_RED</t>
  </si>
  <si>
    <t>Spectrometer_I1_R</t>
  </si>
  <si>
    <t>OPTIC_SPECTRO_PKWLTH_CENTER_AVEE*_DacCurrent*_DutyCycle*_NV_PEQA_RED</t>
  </si>
  <si>
    <t>OPTIC_SPECTRO_CETLTH_CENTER_AVEE*_DacCurrent*_DutyCycle*_NV_PEQA_RED</t>
  </si>
  <si>
    <t>OPTIC_SPECTRO_FWHM_CENTER_AVEE*_DacCurrent*_DutyCycle*_NV_PEQA_RED</t>
  </si>
  <si>
    <t>OPTIC_SPECTRO_SIGNAL_CENTER_AVEE*_DacCurrent*_DutyCycle*_NV_PEQA_RED</t>
  </si>
  <si>
    <t>OPTIC_SPECTRO_COLORX_CENTER_AVEE*_DacCurrent*_DutyCycle*_NV_PEQA_RED</t>
  </si>
  <si>
    <t>OPTIC_SPECTRO_COLORY_CENTER_AVEE*_DacCurrent*_DutyCycle*_NV_PEQA_RED</t>
  </si>
  <si>
    <t>OPTIC_SPECTRO_NDFILTER_CENTER_AVEE*_DacCurrent*_DutyCycle*_NV_PEQA_RED</t>
  </si>
  <si>
    <t>OPTIC_SPECTRO_EXPTIME_CENTER_AVEE*_DacCurrent*_DutyCycle*_NV_PEQA_RED</t>
  </si>
  <si>
    <t>OPTIC_DEBUG_TESTTIME_TIMESTAMP_AVEE*_DacCurrent*_DutyCycle*_NV_PEQA_RED</t>
  </si>
  <si>
    <t>s</t>
  </si>
  <si>
    <t>OPTIC_SPECTRO_DOMWLTH_CENTER_AVEE*_DacCurrent*_DutyCycle*_NV_PEQA_GREEN</t>
  </si>
  <si>
    <t>Spectrometer_I1_G</t>
  </si>
  <si>
    <t>OPTIC_SPECTRO_PKWLTH_CENTER_AVEE*_DacCurrent*_DutyCycle*_NV_PEQA_GREEN</t>
  </si>
  <si>
    <t>OPTIC_SPECTRO_CETLTH_CENTER_AVEE*_DacCurrent*_DutyCycle*_NV_PEQA_GREEN</t>
  </si>
  <si>
    <t>OPTIC_SPECTRO_FWHM_CENTER_AVEE*_DacCurrent*_DutyCycle*_NV_PEQA_GREEN</t>
  </si>
  <si>
    <t>OPTIC_SPECTRO_SIGNAL_CENTER_AVEE*_DacCurrent*_DutyCycle*_NV_PEQA_GREEN</t>
  </si>
  <si>
    <t>OPTIC_SPECTRO_COLORX_CENTER_AVEE*_DacCurrent*_DutyCycle*_NV_PEQA_GREEN</t>
  </si>
  <si>
    <t>OPTIC_SPECTRO_COLORY_CENTER_AVEE*_DacCurrent*_DutyCycle*_NV_PEQA_GREEN</t>
  </si>
  <si>
    <t>OPTIC_SPECTRO_NDFILTER_CENTER_AVEE*_DacCurrent*_DutyCycle*_NV_PEQA_GREEN</t>
  </si>
  <si>
    <t>OPTIC_SPECTRO_EXPTIME_CENTER_AVEE*_DacCurrent*_DutyCycle*_NV_PEQA_GREEN</t>
  </si>
  <si>
    <t>OPTIC_DEBUG_TESTTIME_TIMESTAMP_AVEE*_DacCurrent*_DutyCycle*_NV_PEQA_GREEN</t>
  </si>
  <si>
    <t>OPTIC_SPECTRO_DOMWLTH_CENTER_AVEE*_DacCurrent*_DutyCycle*_NV_PEQA_BLUE</t>
  </si>
  <si>
    <t>Spectrometer_I1_B</t>
  </si>
  <si>
    <t>OPTIC_SPECTRO_PKWLTH_CENTER_AVEE*_DacCurrent*_DutyCycle*_NV_PEQA_BLUE</t>
  </si>
  <si>
    <t>OPTIC_SPECTRO_CETLTH_CENTER_AVEE*_DacCurrent*_DutyCycle*_NV_PEQA_BLUE</t>
  </si>
  <si>
    <t>OPTIC_SPECTRO_FWHM_CENTER_AVEE*_DacCurrent*_DutyCycle*_NV_PEQA_BLUE</t>
  </si>
  <si>
    <t>OPTIC_SPECTRO_SIGNAL_CENTER_AVEE*_DacCurrent*_DutyCycle*_NV_PEQA_BLUE</t>
  </si>
  <si>
    <t>OPTIC_SPECTRO_COLORX_CENTER_AVEE*_DacCurrent*_DutyCycle*_NV_PEQA_BLUE</t>
  </si>
  <si>
    <t>OPTIC_SPECTRO_COLORY_CENTER_AVEE*_DacCurrent*_DutyCycle*_NV_PEQA_BLUE</t>
  </si>
  <si>
    <t>OPTIC_SPECTRO_NDFILTER_CENTER_AVEE*_DacCurrent*_DutyCycle*_NV_PEQA_BLUE</t>
  </si>
  <si>
    <t>OPTIC_SPECTRO_EXPTIME_CENTER_AVEE*_DacCurrent*_DutyCycle*_NV_PEQA_BLUE</t>
  </si>
  <si>
    <t>OPTIC_DEBUG_TESTTIME_TIMESTAMP_AVEE*_DacCurrent*_DutyCycle*_NV_PEQA_BLUE</t>
  </si>
  <si>
    <t>OPTIC_ANSI-PREWARMUP_VTHERM0_TEMPTPAD_AVEE*_DacCurrent*_DutyCycle*_NV_PEQA_RED</t>
  </si>
  <si>
    <t>Warmup_ALLON_I1_R</t>
  </si>
  <si>
    <t>OPTIC_ANSI-PREWARMUP_VTHERM1_TEMPTPAD_AVEE*_DacCurrent*_DutyCycle*_NV_PEQA_RED</t>
  </si>
  <si>
    <t>OPTIC_ANSI-PREWARMUP_THERM0ADC_I3CSDA_AVEE*_DacCurrent*_DutyCycle*_NV_PEQA_RED</t>
  </si>
  <si>
    <t>OPTIC_ANSI-PREWARMUP_THERM1ADC_I3CSDA_AVEE*_DacCurrent*_DutyCycle*_NV_PEQA_RED</t>
  </si>
  <si>
    <t>OPTIC_ANSI-POSTWARMUP_VTHERM0_TEMPTPAD_AVEE*_DacCurrent*_DutyCycle*_NV_PEQA_RED</t>
  </si>
  <si>
    <t>OPTIC_ANSI-POSTWARMUP_VTHERM1_TEMPTPAD_AVEE*_DacCurrent*_DutyCycle*_NV_PEQA_RED</t>
  </si>
  <si>
    <t>OPTIC_ANSI-POSTWARMUP_THERM0ADC_I3CSDA_AVEE*_DacCurrent*_DutyCycle*_NV_PEQA_RED</t>
  </si>
  <si>
    <t>OPTIC_ANSI-POSTWARMUP_THERM1ADC_I3CSDA_AVEE*_DacCurrent*_DutyCycle*_NV_PEQA_RED</t>
  </si>
  <si>
    <t>OPTIC_ANSI-PREWARMUP_ALLON_RAW_AVEE*_DacCurrent*_DutyCycle*_NV_PEQA_RED</t>
  </si>
  <si>
    <t>OPTIC_ANSI-PREWARMUP_ALLON_SCALED_AVEE*_DacCurrent*_DutyCycle*_NV_PEQA_RED</t>
  </si>
  <si>
    <t>OPTIC_ANSI-PREWARMUP_ALLON_NORM1PCT_AVEE*_DacCurrent*_DutyCycle*_NV_PEQA_RED</t>
  </si>
  <si>
    <t>OPTIC_ANSI-PREWARMUP_ALLON_UNIFORMITYPCT_AVEE*_DacCurrent*_DutyCycle*_NV_PEQA_RED</t>
  </si>
  <si>
    <t>OPTIC_ANSI-PREWARMUP_FLAG_OVEREXP_AVEE*_DacCurrent*_DutyCycle*_NV_PEQA_RED</t>
  </si>
  <si>
    <t>OPTIC_ANSI-POSTWARMUP_ALLON_RAW_AVEE*_DacCurrent*_DutyCycle*_NV_PEQA_RED</t>
  </si>
  <si>
    <t>OPTIC_ANSI-POSTWARMUP_ALLON_SCALED_AVEE*_DacCurrent*_DutyCycle*_NV_PEQA_RED</t>
  </si>
  <si>
    <t>OPTIC_ANSI-POSTWARMUP_ALLON_NORM1PCT_AVEE*_DacCurrent*_DutyCycle*_NV_PEQA_RED</t>
  </si>
  <si>
    <t>OPTIC_ANSI-POSTWARMUP_ALLON_UNIFORMITYPCT_AVEE*_DacCurrent*_DutyCycle*_NV_PEQA_RED</t>
  </si>
  <si>
    <t>OPTIC_ANSI-POSTWARMUP_FLAG_OVEREXP_AVEE*_DacCurrent*_DutyCycle*_NV_PEQA_RED</t>
  </si>
  <si>
    <t>OPTIC_ANSI-PREWARMUP_VTHERM0_TEMPTPAD_AVEE*_DacCurrent*_DutyCycle*_NV_PEQA_GREEN</t>
  </si>
  <si>
    <t>Warmup_ALLON_I1_G</t>
  </si>
  <si>
    <t>OPTIC_ANSI-PREWARMUP_VTHERM1_TEMPTPAD_AVEE*_DacCurrent*_DutyCycle*_NV_PEQA_GREEN</t>
  </si>
  <si>
    <t>OPTIC_ANSI-PREWARMUP_THERM0ADC_I3CSDA_AVEE*_DacCurrent*_DutyCycle*_NV_PEQA_GREEN</t>
  </si>
  <si>
    <t>OPTIC_ANSI-PREWARMUP_THERM1ADC_I3CSDA_AVEE*_DacCurrent*_DutyCycle*_NV_PEQA_GREEN</t>
  </si>
  <si>
    <t>OPTIC_ANSI-POSTWARMUP_VTHERM0_TEMPTPAD_AVEE*_DacCurrent*_DutyCycle*_NV_PEQA_GREEN</t>
  </si>
  <si>
    <t>OPTIC_ANSI-POSTWARMUP_VTHERM1_TEMPTPAD_AVEE*_DacCurrent*_DutyCycle*_NV_PEQA_GREEN</t>
  </si>
  <si>
    <t>OPTIC_ANSI-POSTWARMUP_THERM0ADC_I3CSDA_AVEE*_DacCurrent*_DutyCycle*_NV_PEQA_GREEN</t>
  </si>
  <si>
    <t>OPTIC_ANSI-POSTWARMUP_THERM1ADC_I3CSDA_AVEE*_DacCurrent*_DutyCycle*_NV_PEQA_GREEN</t>
  </si>
  <si>
    <t>OPTIC_ANSI-PREWARMUP_ALLON_RAW_AVEE*_DacCurrent*_DutyCycle*_NV_PEQA_GREEN</t>
  </si>
  <si>
    <t>OPTIC_ANSI-PREWARMUP_ALLON_SCALED_AVEE*_DacCurrent*_DutyCycle*_NV_PEQA_GREEN</t>
  </si>
  <si>
    <t>OPTIC_ANSI-PREWARMUP_ALLON_NORM1PCT_AVEE*_DacCurrent*_DutyCycle*_NV_PEQA_GREEN</t>
  </si>
  <si>
    <t>OPTIC_ANSI-PREWARMUP_ALLON_UNIFORMITYPCT_AVEE*_DacCurrent*_DutyCycle*_NV_PEQA_GREEN</t>
  </si>
  <si>
    <t>OPTIC_ANSI-PREWARMUP_FLAG_OVEREXP_AVEE*_DacCurrent*_DutyCycle*_NV_PEQA_GREEN</t>
  </si>
  <si>
    <t>OPTIC_ANSI-POSTWARMUP_ALLON_RAW_AVEE*_DacCurrent*_DutyCycle*_NV_PEQA_GREEN</t>
  </si>
  <si>
    <t>OPTIC_ANSI-POSTWARMUP_ALLON_SCALED_AVEE*_DacCurrent*_DutyCycle*_NV_PEQA_GREEN</t>
  </si>
  <si>
    <t>OPTIC_ANSI-POSTWARMUP_ALLON_NORM1PCT_AVEE*_DacCurrent*_DutyCycle*_NV_PEQA_GREEN</t>
  </si>
  <si>
    <t>OPTIC_ANSI-POSTWARMUP_ALLON_UNIFORMITYPCT_AVEE*_DacCurrent*_DutyCycle*_NV_PEQA_GREEN</t>
  </si>
  <si>
    <t>OPTIC_ANSI-POSTWARMUP_FLAG_OVEREXP_AVEE*_DacCurrent*_DutyCycle*_NV_PEQA_GREEN</t>
  </si>
  <si>
    <t>OPTIC_ANSI-PREWARMUP_VTHERM0_TEMPTPAD_AVEE*_DacCurrent*_DutyCycle*_NV_PEQA_BLUE</t>
  </si>
  <si>
    <t>Warmup_ALLON_I1_B</t>
  </si>
  <si>
    <t>OPTIC_ANSI-PREWARMUP_VTHERM1_TEMPTPAD_AVEE*_DacCurrent*_DutyCycle*_NV_PEQA_BLUE</t>
  </si>
  <si>
    <t>OPTIC_ANSI-PREWARMUP_THERM0ADC_I3CSDA_AVEE*_DacCurrent*_DutyCycle*_NV_PEQA_BLUE</t>
  </si>
  <si>
    <t>OPTIC_ANSI-PREWARMUP_THERM1ADC_I3CSDA_AVEE*_DacCurrent*_DutyCycle*_NV_PEQA_BLUE</t>
  </si>
  <si>
    <t>OPTIC_ANSI-POSTWARMUP_VTHERM0_TEMPTPAD_AVEE*_DacCurrent*_DutyCycle*_NV_PEQA_BLUE</t>
  </si>
  <si>
    <t>OPTIC_ANSI-POSTWARMUP_VTHERM1_TEMPTPAD_AVEE*_DacCurrent*_DutyCycle*_NV_PEQA_BLUE</t>
  </si>
  <si>
    <t>OPTIC_ANSI-POSTWARMUP_THERM0ADC_I3CSDA_AVEE*_DacCurrent*_DutyCycle*_NV_PEQA_BLUE</t>
  </si>
  <si>
    <t>OPTIC_ANSI-POSTWARMUP_THERM1ADC_I3CSDA_AVEE*_DacCurrent*_DutyCycle*_NV_PEQA_BLUE</t>
  </si>
  <si>
    <t>OPTIC_ANSI-PREWARMUP_ALLON_SCALED_AVEE*_DacCurrent*_DutyCycle*_NV_PEQA_BLUE</t>
  </si>
  <si>
    <t>OPTIC_ANSI-PREWARMUP_ALLON_NORM1PCT_AVEE*_DacCurrent*_DutyCycle*_NV_PEQA_BLUE</t>
  </si>
  <si>
    <t>OPTIC_ANSI-PREWARMUP_ALLON_UNIFORMITYPCT_AVEE*_DacCurrent*_DutyCycle*_NV_PEQA_BLUE</t>
  </si>
  <si>
    <t>OPTIC_ANSI-PREWARMUP_FLAG_OVEREXP_AVEE*_DacCurrent*_DutyCycle*_NV_PEQA_BLUE</t>
  </si>
  <si>
    <t>OPTIC_ANSI-POSTWARMUP_ALLON_RAW_AVEE*_DacCurrent*_DutyCycle*_NV_PEQA_BLUE</t>
  </si>
  <si>
    <t>OPTIC_ANSI-POSTWARMUP_ALLON_SCALED_AVEE*_DacCurrent*_DutyCycle*_NV_PEQA_BLUE</t>
  </si>
  <si>
    <t>OPTIC_ANSI-POSTWARMUP_ALLON_NORM1PCT_AVEE*_DacCurrent*_DutyCycle*_NV_PEQA_BLUE</t>
  </si>
  <si>
    <t>OPTIC_ANSI-POSTWARMUP_ALLON_UNIFORMITYPCT_AVEE*_DacCurrent*_DutyCycle*_NV_PEQA_BLUE</t>
  </si>
  <si>
    <t>OPTIC_ANSI-POSTWARMUP_FLAG_OVEREXP_AVEE*_DacCurrent*_DutyCycle*_NV_PEQA_BLUE</t>
  </si>
  <si>
    <t>Spectrometer_PostWarmup_I1_R</t>
  </si>
  <si>
    <t>Spectrometer_PostWarmup_I1_G</t>
  </si>
  <si>
    <t>Spectrometer_PostWarmup_I1_B</t>
  </si>
  <si>
    <t>OPTIC_IMG_ALLON_OVEREXP_AVEE*_DacCurrent*_DutyCycle*_NV_PEQA_RED</t>
  </si>
  <si>
    <t>SaveImage_ALLON_R</t>
  </si>
  <si>
    <t>OPTIC_IMG_ALLON_OVEREXP_AVEE*_DacCurrent*_DutyCycle*_NV_PEQA_GREEN</t>
  </si>
  <si>
    <t>SaveImage_ALLON_G</t>
  </si>
  <si>
    <t>OPTIC_IMG_ALLON_OVEREXP_AVEE*_DacCurrent*_DutyCycle*_NV_PEQA_BLUE</t>
  </si>
  <si>
    <t>SaveImage_ALLON_B</t>
  </si>
  <si>
    <t>OPTIC_IMG_CHKBRD32X32_INITZ_AVEE*_DacCurrent*_DutyCycle*_NV_PEQA_RED</t>
  </si>
  <si>
    <t>Auto_Focus_CHKBRD32X32_R</t>
  </si>
  <si>
    <t>OPTIC_IMG_CHKBRD32X32_ENDFOCUS_AVEE*_DacCurrent*_DutyCycle*_NV_PEQA_RED</t>
  </si>
  <si>
    <t>OPTIC_IMG_CHKBRD32X32_ENDZ_AVEE*_DacCurrent*_DutyCycle*_NV_PEQA_RED</t>
  </si>
  <si>
    <t>OPTIC_IMG_FLAG_OVEREXP_AVEE*_DacCurrent*_DutyCycle*_NV_PEQA_RED</t>
  </si>
  <si>
    <t>OPTIC_IMG_CHKBRD32X32_INITZ_AVEE*_DacCurrent*_DutyCycle*_NV_PEQA_GREEN</t>
  </si>
  <si>
    <t>Auto_Focus_CHKBRD32X32_G</t>
  </si>
  <si>
    <t>OPTIC_IMG_CHKBRD32X32_ENDFOCUS_AVEE*_DacCurrent*_DutyCycle*_NV_PEQA_GREEN</t>
  </si>
  <si>
    <t>OPTIC_IMG_CHKBRD32X32_ENDZ_AVEE*_DacCurrent*_DutyCycle*_NV_PEQA_GREEN</t>
  </si>
  <si>
    <t>OPTIC_IMG_FLAG_OVEREXP_AVEE*_DacCurrent*_DutyCycle*_NV_PEQA_GREEN</t>
  </si>
  <si>
    <t>OPTIC_IMG_CHKBRD32X32_INITZ_AVEE*_DacCurrent*_DutyCycle*_NV_PEQA_BLUE</t>
  </si>
  <si>
    <t>Auto_Focus_CHKBRD32X32_B</t>
  </si>
  <si>
    <t>OPTIC_IMG_CHKBRD32X32_ENDFOCUS_AVEE*_DacCurrent*_DutyCycle*_NV_PEQA_BLUE</t>
  </si>
  <si>
    <t>OPTIC_IMG_CHKBRD32X32_ENDZ_AVEE*_DacCurrent*_DutyCycle*_NV_PEQA_BLUE</t>
  </si>
  <si>
    <t>OPTIC_IMG_FLAG_OVEREXP_AVEE*_DacCurrent*_DutyCycle*_NV_PEQA_BLUE</t>
  </si>
  <si>
    <t>OPTIC_IMG_CHKBRD32X32_INITFOCUS_AVEE*_DacCurrent*_DutyCycle*_NV_PEQA_RED</t>
  </si>
  <si>
    <t>Focus_PolySearch_CHKBRD32X32_R</t>
  </si>
  <si>
    <t>OPTIC_IMG_CHKBRD32X32_INITFOCUS_AVEE*_DacCurrent*_DutyCycle*_NV_PEQA_GREEN</t>
  </si>
  <si>
    <t>Focus_PolySearch_CHKBRD32X32_G</t>
  </si>
  <si>
    <t>OPTIC_IMG_CHKBRD32X32_INITFOCUS_AVEE*_DacCurrent*_DutyCycle*_NV_PEQA_BLUE</t>
  </si>
  <si>
    <t>Focus_PolySearch_CHKBRD32X32_B</t>
  </si>
  <si>
    <t>OPTIC_ANSI_ALLON_RAW_AVEE*_DacCurrent*_DutyCycle*_NV_PEQA_RED</t>
  </si>
  <si>
    <t>AINSI_Brightness_I1_R</t>
  </si>
  <si>
    <t>OPTIC_ANSI_ALLON_SCALED_AVEE*_DacCurrent*_DutyCycle*_NV_PEQA_RED</t>
  </si>
  <si>
    <t>OPTIC_ANSI_ALLON_NORM1PCT_AVEE*_DacCurrent*_DutyCycle*_NV_PEQA_RED</t>
  </si>
  <si>
    <t>OPTIC_ANSI_ALLON_UNIFORMITYPCT_AVEE*_DacCurrent*_DutyCycle*_NV_PEQA_RED</t>
  </si>
  <si>
    <t>OPTIC_ANSI_FLAG_OVEREXP_AVEE*_DacCurrent*_DutyCycle*_NV_PEQA_RED</t>
  </si>
  <si>
    <t>OPTIC_ANSI_ALLON_RAW_AVEE*_DacCurrent*_DutyCycle*_NV_PEQA_GREEN</t>
  </si>
  <si>
    <t>AINSI_Brightness_I1_G</t>
  </si>
  <si>
    <t>OPTIC_ANSI_ALLON_SCALED_AVEE*_DacCurrent*_DutyCycle*_NV_PEQA_GREEN</t>
  </si>
  <si>
    <t>OPTIC_ANSI_ALLON_NORM1PCT_AVEE*_DacCurrent*_DutyCycle*_NV_PEQA_GREEN</t>
  </si>
  <si>
    <t>OPTIC_ANSI_ALLON_UNIFORMITYPCT_AVEE*_DacCurrent*_DutyCycle*_NV_PEQA_GREEN</t>
  </si>
  <si>
    <t>OPTIC_ANSI_FLAG_OVEREXP_AVEE*_DacCurrent*_DutyCycle*_NV_PEQA_GREEN</t>
  </si>
  <si>
    <t>OPTIC_ANSI_ALLON_RAW_AVEE*_DacCurrent*_DutyCycle*_NV_PEQA_BLUE</t>
  </si>
  <si>
    <t>AINSI_Brightness_I1_B</t>
  </si>
  <si>
    <t>OPTIC_ANSI_ALLON_SCALED_AVEE*_DacCurrent*_DutyCycle*_NV_PEQA_BLUE</t>
  </si>
  <si>
    <t>OPTIC_ANSI_ALLON_NORM1PCT_AVEE*_DacCurrent*_DutyCycle*_NV_PEQA_BLUE</t>
  </si>
  <si>
    <t>OPTIC_ANSI_ALLON_UNIFORMITYPCT_AVEE*_DacCurrent*_DutyCycle*_NV_PEQA_BLUE</t>
  </si>
  <si>
    <t>OPTIC_ANSI_FLAG_OVEREXP_AVEE*_DacCurrent*_DutyCycle*_NV_PEQA_BLUE</t>
  </si>
  <si>
    <t>OPTIC_ANSI_ALLOFF_RAW_AVEE*_DacCurrent*_DutyCycle*_NV_PEQA_RED</t>
  </si>
  <si>
    <t>AINSI_Brightness_I1_Off_R</t>
  </si>
  <si>
    <t>OPTIC_ANSI_ALLOFF_SCALED_AVEE*_DacCurrent*_DutyCycle*_NV_PEQA_RED</t>
  </si>
  <si>
    <t>OPTIC_ANSI_ALLOFF_NORM1PCT_AVEE*_DacCurrent*_DutyCycle*_NV_PEQA_RED</t>
  </si>
  <si>
    <t>OPTIC_ANSI_ALLOFF_UNIFORMITYPCT_AVEE*_DacCurrent*_DutyCycle*_NV_PEQA_RED</t>
  </si>
  <si>
    <t>OPTIC_ANSI_ALLOFF_RAW_AVEE*_DacCurrent*_DutyCycle*_NV_PEQA_GREEN</t>
  </si>
  <si>
    <t>AINSI_Brightness_I1_Off_G</t>
  </si>
  <si>
    <t>OPTIC_ANSI_ALLOFF_SCALED_AVEE*_DacCurrent*_DutyCycle*_NV_PEQA_GREEN</t>
  </si>
  <si>
    <t>OPTIC_ANSI_ALLOFF_NORM1PCT_AVEE*_DacCurrent*_DutyCycle*_NV_PEQA_GREEN</t>
  </si>
  <si>
    <t>OPTIC_ANSI_ALLOFF_UNIFORMITYPCT_AVEE*_DacCurrent*_DutyCycle*_NV_PEQA_GREEN</t>
  </si>
  <si>
    <t>OPTIC_ANSI_ALLOFF_RAW_AVEE*_DacCurrent*_DutyCycle*_NV_PEQA_BLUE</t>
  </si>
  <si>
    <t>AINSI_Brightness_I1_Off_B</t>
  </si>
  <si>
    <t>OPTIC_ANSI_ALLOFF_SCALED_AVEE*_DacCurrent*_DutyCycle*_NV_PEQA_BLUE</t>
  </si>
  <si>
    <t>OPTIC_ANSI_ALLOFF_NORM1PCT_AVEE*_DacCurrent*_DutyCycle*_NV_PEQA_BLUE</t>
  </si>
  <si>
    <t>OPTIC_ANSI_ALLOFF_UNIFORMITYPCT_AVEE*_DacCurrent*_DutyCycle*_NV_PEQA_BLUE</t>
  </si>
  <si>
    <t>OPTIC_ANSI_UNIFORMITY_5THPERCENTILE_AVEE*_DacCurrent*_DutyCycle*_NV_PEQA_RED</t>
  </si>
  <si>
    <t>Uniformity_I1_R</t>
  </si>
  <si>
    <t>OPTIC_ANSI_UNIFORMITY_MAXANSI_AVEE*_DacCurrent*_DutyCycle*_NV_PEQA_RED</t>
  </si>
  <si>
    <t>OPTIC_ANSI_UNIFORMITY_GRID_AVEE*_DacCurrent*_DutyCycle*_NV_PEQA_RED</t>
  </si>
  <si>
    <t>OPTIC_UNIFORMITY_FLAG_OVEREXP_AVEE*_DacCurrent*_DutyCycle*_NV_PEQA_RED</t>
  </si>
  <si>
    <t>OPTIC_ANSI_UNIFORMITY_5THPERCENTILE_AVEE*_DacCurrent*_DutyCycle*_NV_PEQA_GREEN</t>
  </si>
  <si>
    <t>Uniformity_I1_G</t>
  </si>
  <si>
    <t>OPTIC_ANSI_UNIFORMITY_MAXANSI_AVEE*_DacCurrent*_DutyCycle*_NV_PEQA_GREEN</t>
  </si>
  <si>
    <t>OPTIC_ANSI_UNIFORMITY_GRID_AVEE*_DacCurrent*_DutyCycle*_NV_PEQA_GREEN</t>
  </si>
  <si>
    <t>OPTIC_UNIFORMITY_FLAG_OVEREXP_AVEE*_DacCurrent*_DutyCycle*_NV_PEQA_GREEN</t>
  </si>
  <si>
    <t>OPTIC_ANSI_UNIFORMITY_5THPERCENTILE_AVEE*_DacCurrent*_DutyCycle*_NV_PEQA_BLUE</t>
  </si>
  <si>
    <t>Uniformity_I1_B</t>
  </si>
  <si>
    <t>OPTIC_ANSI_UNIFORMITY_MAXANSI_AVEE*_DacCurrent*_DutyCycle*_NV_PEQA_BLUE</t>
  </si>
  <si>
    <t>OPTIC_ANSI_UNIFORMITY_GRID_AVEE*_DacCurrent*_DutyCycle*_NV_PEQA_BLUE</t>
  </si>
  <si>
    <t>OPTIC_UNIFORMITY_FLAG_OVEREXP_AVEE*_DacCurrent*_DutyCycle*_NV_PEQA_BLUE</t>
  </si>
  <si>
    <t>OPTIC_CONTRAST_RATIO_OVEREXP-CHKBRD_AVEE*_DacCurrent*_DutyCycle*_NV_PEQA_RED</t>
  </si>
  <si>
    <t>Contrast_I1_CHKBRD32X32_R</t>
  </si>
  <si>
    <t>OPTIC_CONTRAST_RATIO_OVEREXP-INVCHKBRD_AVEE*_DacCurrent*_DutyCycle*_NV_PEQA_RED</t>
  </si>
  <si>
    <t>OPTIC_CONTRAST_RATIO-FULLPANEL_32PIXEL-MIN_AVEE*_DacCurrent*_DutyCycle*_NV_PEQA_RED</t>
  </si>
  <si>
    <t>OPTIC_CONTRAST_RATIO-FULLPANEL_32PIXEL-AVE_AVEE*_DacCurrent*_DutyCycle*_NV_PEQA_RED</t>
  </si>
  <si>
    <t>OPTIC_CONTRAST_RATIO-FULLPANEL_32PIXEL-MAX_AVEE*_DacCurrent*_DutyCycle*_NV_PEQA_RED</t>
  </si>
  <si>
    <t>OPTIC_CONTRAST_RATIO_OVEREXP_AVEE*_DacCurrent*_DutyCycle*_NV_PEQA_GREEN</t>
  </si>
  <si>
    <t>Contrast_I1_CHKBRD32X32_G</t>
  </si>
  <si>
    <t>OPTIC_CONTRAST_RATIO-FULLPANEL_32PIXEL-MIN_AVEE*_DacCurrent*_DutyCycle*_NV_PEQA_GREEN</t>
  </si>
  <si>
    <t>OPTIC_CONTRAST_RATIO-FULLPANEL_32PIXEL-AVE_AVEE*_DacCurrent*_DutyCycle*_NV_PEQA_GREEN</t>
  </si>
  <si>
    <t>OPTIC_CONTRAST_RATIO-FULLPANEL_32PIXEL-MAX_AVEE*_DacCurrent*_DutyCycle*_NV_PEQA_GREEN</t>
  </si>
  <si>
    <t>OPTIC_CONTRAST_RATIO_OVEREXP_AVEE*_DacCurrent*_DutyCycle*_NV_PEQA_BLUE</t>
  </si>
  <si>
    <t>Contrast_I1_CHKBRD32X32_B</t>
  </si>
  <si>
    <t>OPTIC_CONTRAST_RATIO-FULLPANEL_32PIXEL-MIN_AVEE*_DacCurrent*_DutyCycle*_NV_PEQA_BLUE</t>
  </si>
  <si>
    <t>OPTIC_CONTRAST_RATIO-FULLPANEL_32PIXEL-AVE_AVEE*_DacCurrent*_DutyCycle*_NV_PEQA_BLUE</t>
  </si>
  <si>
    <t>OPTIC_CONTRAST_RATIO-FULLPANEL_32PIXEL-MAX_AVEE*_DacCurrent*_DutyCycle*_NV_PEQA_BLUE</t>
  </si>
  <si>
    <t>OPTIC_IMG_CHKBRD64X64_OVEREXP_AVEE*_DacCurrent*_DutyCycle*_NV_PEQA_RED</t>
  </si>
  <si>
    <t>SaveImage_CHKBRD64X64_R</t>
  </si>
  <si>
    <t>OPTIC_IMG_CHKBRD64X64_OVEREXP_AVEE*_DacCurrent*_DutyCycle*_NV_PEQA_GREEN</t>
  </si>
  <si>
    <t>SaveImage_CHKBRD64X64_G</t>
  </si>
  <si>
    <t>OPTIC_IMG_CHKBRD64X64_OVEREXP_AVEE*_DacCurrent*_DutyCycle*_NV_PEQA_BLUE</t>
  </si>
  <si>
    <t>SaveImage_CHKBRD64X64_B</t>
  </si>
  <si>
    <t>OPTIC_IMG_INVCHKBRD64X64_OVEREXP_AVEE*_DacCurrent*_DutyCycle*_NV_PEQA_RED</t>
  </si>
  <si>
    <t>SaveImage_INVCHKBRD64X64_R</t>
  </si>
  <si>
    <t>OPTIC_IMG_INVCHKBRD64X64_OVEREXP_AVEE*_DacCurrent*_DutyCycle*_NV_PEQA_GREEN</t>
  </si>
  <si>
    <t>SaveImage_INVCHKBRD64X64_G</t>
  </si>
  <si>
    <t>OPTIC_IMG_INVCHKBRD64X64_OVEREXP_AVEE*_DacCurrent*_DutyCycle*_NV_PEQA_BLUE</t>
  </si>
  <si>
    <t>SaveImage_INVCHKBRD64X64_B</t>
  </si>
  <si>
    <t>OPTIC_IMG_XHAIR_OVEREXP_AVEE*_DacCurrent*_DutyCycle*_NV_PEQA_RED</t>
  </si>
  <si>
    <t>SaveImage_XHAIR_R</t>
  </si>
  <si>
    <t>OPTIC_IMG_XHAIR_OVEREXP_AVEE*_DacCurrent*_DutyCycle*_NV_PEQA_GREEN</t>
  </si>
  <si>
    <t>SaveImage_XHAIR_G</t>
  </si>
  <si>
    <t>OPTIC_IMG_XHAIR_OVEREXP_AVEE*_DacCurrent*_DutyCycle*_NV_PEQA_BLUE</t>
  </si>
  <si>
    <t>SaveImage_XHAIR_B</t>
  </si>
  <si>
    <t>OPTIC_IMG_SPARSEGRIDX0Y0_OVEREXP_AVEE*_DacCurrent*_DutyCycle*_NV_PEQA_RED</t>
  </si>
  <si>
    <t>SaveImage_SPARSEGRIDX0Y0_R</t>
  </si>
  <si>
    <t>OPTIC_IMG_SPARSEGRIDX0Y0_OVEREXP_AVEE*_DacCurrent*_DutyCycle*_NV_PEQA_GREEN</t>
  </si>
  <si>
    <t>SaveImage_SPARSEGRIDX0Y0_G</t>
  </si>
  <si>
    <t>OPTIC_IMG_SPARSEGRIDX0Y0_OVEREXP_AVEE*_DacCurrent*_DutyCycle*_NV_PEQA_BLUE</t>
  </si>
  <si>
    <t>SaveImage_SPARSEGRIDX0Y0_B</t>
  </si>
  <si>
    <t>OPTIC_PLM_MISREGISTRATION_FLAG_AVEE*_DacCurrent*_DutyCycle*_NV_PEQA_RED</t>
  </si>
  <si>
    <t>PLM_FGR_I1_2X2SPACING_R</t>
  </si>
  <si>
    <t>OPTIC_PLM_FLAG_OVEREXP_AVEE*_DacCurrent*_DutyCycle*_NV_PEQA_RED</t>
  </si>
  <si>
    <t>PLM_FGR_I1_4X3SPACING_R</t>
  </si>
  <si>
    <t>PLM_FGR_I1_4X3SPACING_G</t>
  </si>
  <si>
    <t>PLM_FGR_I1_4X3SPACING_B</t>
  </si>
  <si>
    <t>DC_PWR_ACTIVE_FUNC_VNOM_X_X_X_PEQA_X</t>
  </si>
  <si>
    <t>ActivePower_Scan</t>
  </si>
  <si>
    <t>DC_PWR_ACTIVE_VDD10_VNOM_X_X_X_PEQA_X</t>
  </si>
  <si>
    <t>DC_PWR_ACTIVE_VDD18IO_VNOM_X_X_X_PEQA_X</t>
  </si>
  <si>
    <t>DC_PWR_ACTIVE_AVDD18_VNOM_X_X_X_PEQA_X</t>
  </si>
  <si>
    <t>DC_PWR_ACTIVE_AVEE_VNOM_X_X_X_PEQA_X</t>
  </si>
  <si>
    <t>DC_PWR_ACTIVE_TotalPower_VNOM_X_X_X_PEQA_X</t>
  </si>
  <si>
    <t>eFuse_PostTest_CP1</t>
  </si>
  <si>
    <t>EFUSE_READ_DIEID_ACTUAL_BIN1_X_X_NV_PEQA_X</t>
  </si>
  <si>
    <t>EFUSE_READ_DIEID_ACTUAL_TIMESTAMP1_X_X_NV_PEQA_X</t>
  </si>
  <si>
    <t>EFUSE_READ_DIEID_ACTUAL_SITE1_X_X_NV_PEQA_X</t>
  </si>
  <si>
    <t>EFUSE_READ_DIEID_EXPECTED_BIN1_X_X_NV_PEQA_X</t>
  </si>
  <si>
    <t>EFUSE_READ_DIEID_EXPECTED_TIMESTAMP1_X_X_NV_PEQA_X</t>
  </si>
  <si>
    <t>EFUSE_READ_DIEID_EXPECTED_SITE1_X_X_NV_PEQA_X</t>
  </si>
  <si>
    <t>EFUSE_READ_DIEID_MATCHED_BIN1_X_X_NV_PEQA_X</t>
  </si>
  <si>
    <t>EFUSE_READ_DIEID_MATCHED_TIMESTAMP1_X_X_NV_PEQA_X</t>
  </si>
  <si>
    <t>EFUSE_READ_DIEID_MATCHED_SITE1_X_X_NV_PEQA_X</t>
  </si>
  <si>
    <t>eFuse_PostTest_CP2RL</t>
  </si>
  <si>
    <t>EFUSE_READ_DIEID_ACTUAL_BIN3_X_X_NV_PEQA_X</t>
  </si>
  <si>
    <t>EFUSE_READ_DIEID_ACTUAL_SITE3_X_X_NV_PEQA_X</t>
  </si>
  <si>
    <t>EFUSE_READ_DIEID_ACTUAL_COLORSELECT_X_X_NV_PEQA_X</t>
  </si>
  <si>
    <t>EFUSE_READ_DIEID_ACTUAL_DACCAL_X_X_NV_PEQA_X</t>
  </si>
  <si>
    <t>EFUSE_READ_DIEID_ACTUAL_DACWORDCALA_X_X_NV_PEQA_X</t>
  </si>
  <si>
    <t>EFUSE_READ_DIEID_ACTUAL_DACWORDCALB_X_X_NV_PEQA_X</t>
  </si>
  <si>
    <t>EFUSE_READ_DIEID_ACTUAL_BGTRIM_X_X_NV_PEQA_X</t>
  </si>
  <si>
    <t>EFUSE_READ_DIEID_ACTUAL_TEMPERATURE_X_X_NV_PEQA_X</t>
  </si>
  <si>
    <t>EFUSE_READ_DIEID_ACTUAL_TEMPADC1QFS_X_X_NV_PEQA_X</t>
  </si>
  <si>
    <t>EFUSE_READ_DIEID_ACTUAL_TEMPADC3QFS_X_X_NV_PEQA_X</t>
  </si>
  <si>
    <t>EFUSE_READ_DIEID_ACTUAL_THERM0ADC_X_X_NV_PEQA_X</t>
  </si>
  <si>
    <t>EFUSE_READ_DIEID_ACTUAL_THERM1ADC_X_X_NV_PEQA_X</t>
  </si>
  <si>
    <t>EFUSE_READ_DIEID_ACTUAL_I2CID_X_X_NV_PEQA_X</t>
  </si>
  <si>
    <t>EFUSE_READ_DIEID_EXPECTED_BIN3_X_X_NV_PEQA_X</t>
  </si>
  <si>
    <t>EFUSE_READ_DIEID_EXPECTED_SITE3_X_X_NV_PEQA_X</t>
  </si>
  <si>
    <t>EFUSE_READ_DIEID_EXPECTED_COLORSELECT_X_X_NV_PEQA_X</t>
  </si>
  <si>
    <t>EFUSE_READ_DIEID_EXPECTED_DACCAL_X_X_NV_PEQA_X</t>
  </si>
  <si>
    <t>EFUSE_READ_DIEID_EXPECTED_DACWORDCALA_X_X_NV_PEQA_X</t>
  </si>
  <si>
    <t>EFUSE_READ_DIEID_EXPECTED_DACWORDCALB_X_X_NV_PEQA_X</t>
  </si>
  <si>
    <t>EFUSE_READ_DIEID_EXPECTED_BGTRIM_X_X_NV_PEQA_X</t>
  </si>
  <si>
    <t>EFUSE_READ_DIEID_EXPECTED_TEMPERATURE_X_X_NV_PEQA_X</t>
  </si>
  <si>
    <t>EFUSE_READ_DIEID_EXPECTED_TEMPADC1QFS_X_X_NV_PEQA_X</t>
  </si>
  <si>
    <t>EFUSE_READ_DIEID_EXPECTED_TEMPADC3QFS_X_X_NV_PEQA_X</t>
  </si>
  <si>
    <t>EFUSE_READ_DIEID_EXPECTED_THERM0ADC_X_X_NV_PEQA_X</t>
  </si>
  <si>
    <t>EFUSE_READ_DIEID_EXPECTED_THERM1ADC_X_X_NV_PEQA_X</t>
  </si>
  <si>
    <t>EFUSE_READ_DIEID_EXPECTED_I2CID_X_X_NV_PEQA_X</t>
  </si>
  <si>
    <t>EFUSE_READ_DIEID_MATCHED_BIN3_X_X_NV_PEQA_X</t>
  </si>
  <si>
    <t>EFUSE_READ_DIEID_MATCHED_SITE3_X_X_NV_PEQA_X</t>
  </si>
  <si>
    <t>EFUSE_READ_DIEID_MATCHED_COLORSELECT_X_X_NV_PEQA_X</t>
  </si>
  <si>
    <t>EFUSE_READ_DIEID_MATCHED_DACCAL_X_X_NV_PEQA_X</t>
  </si>
  <si>
    <t>EFUSE_READ_DIEID_MATCHED_DACWORDCALA_X_X_NV_PEQA_X</t>
  </si>
  <si>
    <t>EFUSE_READ_DIEID_MATCHED_DACWORDCALB_X_X_NV_PEQA_X</t>
  </si>
  <si>
    <t>EFUSE_READ_DIEID_MATCHED_BGTRIM_X_X_NV_PEQA_X</t>
  </si>
  <si>
    <t>EFUSE_READ_DIEID_MATCHED_TEMPERATURE_X_X_NV_PEQA_X</t>
  </si>
  <si>
    <t>EFUSE_READ_DIEID_MATCHED_TEMPADC1QFS_X_X_NV_PEQA_X</t>
  </si>
  <si>
    <t>EFUSE_READ_DIEID_MATCHED_TEMPADC3QFS_X_X_NV_PEQA_X</t>
  </si>
  <si>
    <t>EFUSE_READ_DIEID_MATCHED_THERM0ADC_X_X_NV_PEQA_X</t>
  </si>
  <si>
    <t>EFUSE_READ_DIEID_MATCHED_THERM1ADC_X_X_NV_PEQA_X</t>
  </si>
  <si>
    <t>EFUSE_READ_DIEID_MATCHED_I2CID_X_X_NV_PEQA_X</t>
  </si>
  <si>
    <t>eFuse_PostTest_CP2</t>
  </si>
  <si>
    <t>EFUSE_DEBUG_TESTTIME_TIMESTAMP_X_X_X_NV_PEQA_X</t>
  </si>
  <si>
    <t>PosteFuse_ElapsedTestTime</t>
  </si>
  <si>
    <t>IO_OS_SINK_I2CSCL_DC_OPEN_X_NV_TBCO_RED/GREEN/BLUE</t>
  </si>
  <si>
    <t>IO continuity</t>
  </si>
  <si>
    <t>MTSS only</t>
  </si>
  <si>
    <t>IO_OS_SINK_I2CSDA_DC_OPEN_X_NV_TBCO_RED/GREEN/BLUE</t>
  </si>
  <si>
    <t>IO_OS_SINK_I2CSCL_DC_SHORT_X_NV_TBCO_RED/GREEN/BLUE</t>
  </si>
  <si>
    <t>IO_OS_SINK_I2CSDA_DC_SHORT_X_NV_TBCO_RED/GREEN/BLUE</t>
  </si>
  <si>
    <t>IO_OS_SOURCE_I2CSCL_DC_OPEN_X_NV_TBCO_RED/GREEN/BLUE</t>
  </si>
  <si>
    <t>IO_OS_SOURCE_I2CSDA_DC_OPEN_X_NV_TBCO_RED/GREEN/BLUE</t>
  </si>
  <si>
    <t>IO_OS_SOURCE_I2CSCL_DC_SHORT_X_NV_TBCO_RED/GREEN/BLUE</t>
  </si>
  <si>
    <t>-0.3</t>
  </si>
  <si>
    <t>IO_OS_SOURCE_I2CSDA_DC_SHORT_X_NV_TBCO_RED/GREEN/BLUE</t>
  </si>
  <si>
    <t>Sbin</t>
  </si>
  <si>
    <t>Key</t>
  </si>
  <si>
    <t>DC_SHORT_LOW_PIXI_X_X_X_NV_PEQPD</t>
  </si>
  <si>
    <t>DC_SHORT_LOW_PIX1_X_X_X_NV_PEQPD</t>
  </si>
  <si>
    <t>DE Die</t>
  </si>
  <si>
    <t>DC_SHORT_LOW_PIX2_X_X_X_NV_PEQPD</t>
  </si>
  <si>
    <t>uLED Die</t>
  </si>
  <si>
    <t>DC_SHORT_LOW_PIX3_X_X_X_NV_PEQPD</t>
  </si>
  <si>
    <t>DC_SHORT_LOW_PIX4_X_X_X_NV_PEQPD</t>
  </si>
  <si>
    <t>DC_SHORT_LOW_PIX5_X_X_X_NV_PEQPD</t>
  </si>
  <si>
    <t>DC_SHORT_LOW_PIX7_X_X_X_NV_PEQPD</t>
  </si>
  <si>
    <t>DC_SHORT_LOW_PIX8_X_X_X_NV_PEQPD</t>
  </si>
  <si>
    <t>DC_SHORT_LOW_PIXI_X_X_X_NV_PEQPU</t>
  </si>
  <si>
    <t>DC_SHORT_LOW_PIX1_X_X_X_NV_PEQPU</t>
  </si>
  <si>
    <t>DC_SHORT_LOW_PIX2_X_X_X_NV_PEQPU</t>
  </si>
  <si>
    <t>DC_SHORT_LOW_PIX3_X_X_X_NV_PEQPU</t>
  </si>
  <si>
    <t>DC_SHORT_LOW_PIX4_X_X_X_NV_PEQPU</t>
  </si>
  <si>
    <t>DC_SHORT_LOW_PIX5_X_X_X_NV_PEQPU</t>
  </si>
  <si>
    <t>DC_SHORT_LOW_PIX6_X_X_X_NV_PEQPU</t>
  </si>
  <si>
    <t>DC_SHORT_LOW_PIX7_X_X_X_NV_PEQPU</t>
  </si>
  <si>
    <t>DC_SHORT_LOW_PIX8_X_X_X_NV_PEQPU</t>
  </si>
  <si>
    <t>DC_SHORT_LOW_PIX9_X_X_X_NV_PEQPU</t>
  </si>
  <si>
    <t>DC_SHORT_LOW_PIX10_X_X_X_NV_PEQPU</t>
  </si>
  <si>
    <t>DC_SHORT_LOW_PIX11_X_X_X_NV_PEQPU</t>
  </si>
  <si>
    <t>DC_SHORT_LOW_PIX12_X_X_X_NV_PEQPU</t>
  </si>
  <si>
    <t>DC_SHORT_LOW_PIX13_X_X_X_NV_PEQPU</t>
  </si>
  <si>
    <t>DC_SHORT_LOW_PIX14_X_X_X_NV_PEQPU</t>
  </si>
  <si>
    <t>DC_SHORT_LOW_PIX15_X_X_X_NV_PEQPU</t>
  </si>
  <si>
    <t>DC_SHORT_LOW_PIX16_X_X_X_NV_PEQPU</t>
  </si>
  <si>
    <t>DC_SHORT_LOW_PIX17_X_X_X_NV_PEQPU</t>
  </si>
  <si>
    <t>DC_SHORT_LOW_PIX18_X_X_X_NV_PEQPU</t>
  </si>
  <si>
    <t>DC_SHORT_LOW_PIX20_X_X_X_NV_PEQPU</t>
  </si>
  <si>
    <t>DC_SHORT_LOW_PIX21_X_X_X_NV_PEQPU</t>
  </si>
  <si>
    <t>DC_ACTIVE_CURRENT_PIXI_X_X_X_NV_PEQPD_RED</t>
  </si>
  <si>
    <t>DC_ACTIVE_CURRENT_PIX1_X_X_X_NV_PEQPD_RED</t>
  </si>
  <si>
    <t>DC_ACTIVE_CURRENT_PIX2_X_X_X_NV_PEQPD_RED</t>
  </si>
  <si>
    <t>DC_ACTIVE_CURRENT_PIX3_X_X_X_NV_PEQPD_RED</t>
  </si>
  <si>
    <t>DC_ACTIVE_CURRENT_PIX4_X_X_X_NV_PEQPD_RED</t>
  </si>
  <si>
    <t>DC_ACTIVE_CURRENT_PIX5_X_X_X_NV_PEQPD_RED</t>
  </si>
  <si>
    <t>DC_ACTIVE_CURRENT_PIX7_X_X_X_NV_PEQPD_RED</t>
  </si>
  <si>
    <t>DC_ACTIVE_CURRENT_PIX8_X_X_X_NV_PEQPD_RED</t>
  </si>
  <si>
    <t>DC_ACTIVE_CURRENT_PIXI_X_X_X_NV_PEQPU_RED</t>
  </si>
  <si>
    <t>DC_ACTIVE_CURRENT_PIX1_X_X_X_NV_PEQPU_RED</t>
  </si>
  <si>
    <t>DC_ACTIVE_CURRENT_PIX2_X_X_X_NV_PEQPU_RED</t>
  </si>
  <si>
    <t>DC_ACTIVE_CURRENT_PIX3_X_X_X_NV_PEQPU_RED</t>
  </si>
  <si>
    <t>DC_ACTIVE_CURRENT_PIX4_X_X_X_NV_PEQPU_RED</t>
  </si>
  <si>
    <t>DC_ACTIVE_CURRENT_PIX5_X_X_X_NV_PEQPU_RED</t>
  </si>
  <si>
    <t>DC_ACTIVE_CURRENT_PIX7_X_X_X_NV_PEQPU_RED</t>
  </si>
  <si>
    <t>DC_ACTIVE_CURRENT_PIX8_X_X_X_NV_PEQPU_RED</t>
  </si>
  <si>
    <t>DC_ACTIVE_CURRENT_PIX9_X_X_X_NV_PEQPU_RED</t>
  </si>
  <si>
    <t>DC_ACTIVE_CURRENT_PIX10_X_X_X_NV_PEQPU_RED</t>
  </si>
  <si>
    <t>DC_ACTIVE_CURRENT_PIX11_X_X_X_NV_PEQPU_RED</t>
  </si>
  <si>
    <t>DC_ACTIVE_CURRENT_PIX12_X_X_X_NV_PEQPU_RED</t>
  </si>
  <si>
    <t>DC_ACTIVE_CURRENT_PIX13_X_X_X_NV_PEQPU_RED</t>
  </si>
  <si>
    <t>DC_ACTIVE_CURRENT_PIX14_X_X_X_NV_PEQPU_RED</t>
  </si>
  <si>
    <t>DC_ACTIVE_CURRENT_PIX15_X_X_X_NV_PEQPU_RED</t>
  </si>
  <si>
    <t>DC_ACTIVE_CURRENT_PIX16_X_X_X_NV_PEQPU_RED</t>
  </si>
  <si>
    <t>DC_ACTIVE_CURRENT_PIX17_X_X_X_NV_PEQPU_RED</t>
  </si>
  <si>
    <t>DC_ACTIVE_CURRENT_PIX18_X_X_X_NV_PEQPU_RED</t>
  </si>
  <si>
    <t>DC_ACTIVE_CURRENT_PIX20_X_X_X_NV_PEQPU_RED</t>
  </si>
  <si>
    <t>DC_ACTIVE_CURRENT_PIX21_X_X_X_NV_PEQPU_RED</t>
  </si>
  <si>
    <t>DC_ACTIVE_CURRENT_PIXI_X_X_X_NV_PEQPD_GREEN</t>
  </si>
  <si>
    <t>DC_ACTIVE_CURRENT_PIX1_X_X_X_NV_PEQPD_GREEN</t>
  </si>
  <si>
    <t>DC_ACTIVE_CURRENT_PIX2_X_X_X_NV_PEQPD_GREEN</t>
  </si>
  <si>
    <t>DC_ACTIVE_CURRENT_PIX3_X_X_X_NV_PEQPD_GREEN</t>
  </si>
  <si>
    <t>DC_ACTIVE_CURRENT_PIX4_X_X_X_NV_PEQPD_GREEN</t>
  </si>
  <si>
    <t>DC_ACTIVE_CURRENT_PIX5_X_X_X_NV_PEQPD_GREEN</t>
  </si>
  <si>
    <t>DC_ACTIVE_CURRENT_PIX7_X_X_X_NV_PEQPD_GREEN</t>
  </si>
  <si>
    <t>DC_ACTIVE_CURRENT_PIX8_X_X_X_NV_PEQPD_GREEN</t>
  </si>
  <si>
    <t>DC_ACTIVE_CURRENT_PIXI_X_X_X_NV_PEQPU_GREEN</t>
  </si>
  <si>
    <t>DC_ACTIVE_CURRENT_PIX1_X_X_X_NV_PEQPU_GREEN</t>
  </si>
  <si>
    <t>DC_ACTIVE_CURRENT_PIX2_X_X_X_NV_PEQPU_GREEN</t>
  </si>
  <si>
    <t>DC_ACTIVE_CURRENT_PIX3_X_X_X_NV_PEQPU_GREEN</t>
  </si>
  <si>
    <t>DC_ACTIVE_CURRENT_PIX4_X_X_X_NV_PEQPU_GREEN</t>
  </si>
  <si>
    <t>DC_ACTIVE_CURRENT_PIX5_X_X_X_NV_PEQPU_GREEN</t>
  </si>
  <si>
    <t>DC_ACTIVE_CURRENT_PIX7_X_X_X_NV_PEQPU_GREEN</t>
  </si>
  <si>
    <t>DC_ACTIVE_CURRENT_PIX8_X_X_X_NV_PEQPU_GREEN</t>
  </si>
  <si>
    <t>DC_ACTIVE_CURRENT_PIX9_X_X_X_NV_PEQPU_GREEN</t>
  </si>
  <si>
    <t>DC_ACTIVE_CURRENT_PIX10_X_X_X_NV_PEQPU_GREEN</t>
  </si>
  <si>
    <t>DC_ACTIVE_CURRENT_PIX11_X_X_X_NV_PEQPU_GREEN</t>
  </si>
  <si>
    <t>DC_ACTIVE_CURRENT_PIX12_X_X_X_NV_PEQPU_GREEN</t>
  </si>
  <si>
    <t>DC_ACTIVE_CURRENT_PIX13_X_X_X_NV_PEQPU_GREEN</t>
  </si>
  <si>
    <t>DC_ACTIVE_CURRENT_PIX14_X_X_X_NV_PEQPU_GREEN</t>
  </si>
  <si>
    <t>DC_ACTIVE_CURRENT_PIX15_X_X_X_NV_PEQPU_GREEN</t>
  </si>
  <si>
    <t>DC_ACTIVE_CURRENT_PIX16_X_X_X_NV_PEQPU_GREEN</t>
  </si>
  <si>
    <t>DC_ACTIVE_CURRENT_PIX17_X_X_X_NV_PEQPU_GREEN</t>
  </si>
  <si>
    <t>DC_ACTIVE_CURRENT_PIX18_X_X_X_NV_PEQPU_GREEN</t>
  </si>
  <si>
    <t>DC_ACTIVE_CURRENT_PIX20_X_X_X_NV_PEQPU_GREEN</t>
  </si>
  <si>
    <t>DC_ACTIVE_CURRENT_PIX21_X_X_X_NV_PEQPU_GREEN</t>
  </si>
  <si>
    <t>DC_ACTIVE_CURRENT_PIXI_X_X_X_NV_PEQPD_BLUE</t>
  </si>
  <si>
    <t>DC_ACTIVE_CURRENT_PIX1_X_X_X_NV_PEQPD_BLUE</t>
  </si>
  <si>
    <t>DC_ACTIVE_CURRENT_PIX2_X_X_X_NV_PEQPD_BLUE</t>
  </si>
  <si>
    <t>DC_ACTIVE_CURRENT_PIX3_X_X_X_NV_PEQPD_BLUE</t>
  </si>
  <si>
    <t>DC_ACTIVE_CURRENT_PIX4_X_X_X_NV_PEQPD_BLUE</t>
  </si>
  <si>
    <t>DC_ACTIVE_CURRENT_PIX5_X_X_X_NV_PEQPD_BLUE</t>
  </si>
  <si>
    <t>DC_ACTIVE_CURRENT_PIX7_X_X_X_NV_PEQPD_BLUE</t>
  </si>
  <si>
    <t>DC_ACTIVE_CURRENT_PIX8_X_X_X_NV_PEQPD_BLUE</t>
  </si>
  <si>
    <t>DC_ACTIVE_CURRENT_PIXI_X_X_X_NV_PEQPU_BLUE</t>
  </si>
  <si>
    <t>DC_ACTIVE_CURRENT_PIX1_X_X_X_NV_PEQPU_BLUE</t>
  </si>
  <si>
    <t>DC_ACTIVE_CURRENT_PIX2_X_X_X_NV_PEQPU_BLUE</t>
  </si>
  <si>
    <t>DC_ACTIVE_CURRENT_PIX3_X_X_X_NV_PEQPU_BLUE</t>
  </si>
  <si>
    <t>DC_ACTIVE_CURRENT_PIX4_X_X_X_NV_PEQPU_BLUE</t>
  </si>
  <si>
    <t>DC_ACTIVE_CURRENT_PIX5_X_X_X_NV_PEQPU_BLUE</t>
  </si>
  <si>
    <t>DC_ACTIVE_CURRENT_PIX7_X_X_X_NV_PEQPU_BLUE</t>
  </si>
  <si>
    <t>DC_ACTIVE_CURRENT_PIX8_X_X_X_NV_PEQPU_BLUE</t>
  </si>
  <si>
    <t>DC_ACTIVE_CURRENT_PIX9_X_X_X_NV_PEQPU_BLUE</t>
  </si>
  <si>
    <t>DC_ACTIVE_CURRENT_PIX10_X_X_X_NV_PEQPU_BLUE</t>
  </si>
  <si>
    <t>DC_ACTIVE_CURRENT_PIX11_X_X_X_NV_PEQPU_BLUE</t>
  </si>
  <si>
    <t>DC_ACTIVE_CURRENT_PIX12_X_X_X_NV_PEQPU_BLUE</t>
  </si>
  <si>
    <t>DC_ACTIVE_CURRENT_PIX13_X_X_X_NV_PEQPU_BLUE</t>
  </si>
  <si>
    <t>DC_ACTIVE_CURRENT_PIX14_X_X_X_NV_PEQPU_BLUE</t>
  </si>
  <si>
    <t>DC_ACTIVE_CURRENT_PIX15_X_X_X_NV_PEQPU_BLUE</t>
  </si>
  <si>
    <t>DC_ACTIVE_CURRENT_PIX16_X_X_X_NV_PEQPU_BLUE</t>
  </si>
  <si>
    <t>DC_ACTIVE_CURRENT_PIX17_X_X_X_NV_PEQPU_BLUE</t>
  </si>
  <si>
    <t>DC_ACTIVE_CURRENT_PIX18_X_X_X_NV_PEQPU_BLUE</t>
  </si>
  <si>
    <t>DC_ACTIVE_CURRENT_PIX20_X_X_X_NV_PEQPU_BLUE</t>
  </si>
  <si>
    <t>DC_ACTIVE_CURRENT_PIX21_X_X_X_NV_PEQPU_BLUE</t>
  </si>
  <si>
    <t>OPTIC_ANSI_ALLON_RAW_X_X_X_NV_PEQPD_RED</t>
  </si>
  <si>
    <t>Brightness - Red</t>
  </si>
  <si>
    <t>OPTIC_ANSI_ALLON_SCALED_X_X_X_NV_PEQPD_RED</t>
  </si>
  <si>
    <t>OPTIC_ANSI_ALLON_NORM1PCT_X_X_X_NV_PEQPD_RED</t>
  </si>
  <si>
    <t>OPTIC_ANSI_ALLON_UNIFORMITYPCT_X_X_X_NV_PEQPD_RED</t>
  </si>
  <si>
    <t>OPTIC_ANSI_ALLON_RAW_X_X_X_NV_PEQPU_RED</t>
  </si>
  <si>
    <t>OPTIC_ANSI_ALLON_SCALED_X_X_X_NV_PEQPU_RED</t>
  </si>
  <si>
    <t>OPTIC_ANSI_ALLON_NORM1PCT_X_X_X_NV_PEQPU_RED</t>
  </si>
  <si>
    <t>OPTIC_ANSI_ALLON_UNIFORMITYPCT_X_X_X_NV_PEQPU_RED</t>
  </si>
  <si>
    <t>OPTIC_ANSI_MARCH_RAW_X_X_X_NV_PEQPU_RED</t>
  </si>
  <si>
    <t>OPTIC_ANSI_MARCH_SCALED_X_X_X_NV_PEQPU_RED</t>
  </si>
  <si>
    <t>OPTIC_ANSI_MARCH_NORM1PCT_X_X_X_NV_PEQPU_RED</t>
  </si>
  <si>
    <t>OPTIC_ANSI_MARCH_UNIFORMITYPCT_X_X_X_NV_PEQPU_RED</t>
  </si>
  <si>
    <t>OPTIC_ANSI_1X1_RAW_X_X_X_NV_PEQPU_RED</t>
  </si>
  <si>
    <t>OPTIC_ANSI_1X1_SCALED_X_X_X_NV_PEQPU_RED</t>
  </si>
  <si>
    <t>OPTIC_ANSI_1X1_NORM1PCT_X_X_X_NV_PEQPU_RED</t>
  </si>
  <si>
    <t>OPTIC_ANSI_1X1_UNIFORMITYPCT_X_X_X_NV_PEQPU_RED</t>
  </si>
  <si>
    <t>OPTIC_ANSI_2X2_RAW_X_X_X_NV_PEQPU_RED</t>
  </si>
  <si>
    <t>OPTIC_ANSI_2X2_SCALED_X_X_X_NV_PEQPU_RED</t>
  </si>
  <si>
    <t>OPTIC_ANSI_2X2_NORM1PCT_X_X_X_NV_PEQPU_RED</t>
  </si>
  <si>
    <t>OPTIC_ANSI_2X2_UNIFORMITYPCT_X_X_X_NV_PEQPU_RED</t>
  </si>
  <si>
    <t>OPTIC_ANSI_4X4_RAW_X_X_X_NV_PEQPU_RED</t>
  </si>
  <si>
    <t>OPTIC_ANSI_4X4_SCALED_X_X_X_NV_PEQPU_RED</t>
  </si>
  <si>
    <t>OPTIC_ANSI_4X4_NORM1PCT_X_X_X_NV_PEQPU_RED</t>
  </si>
  <si>
    <t>OPTIC_ANSI_4X4_UNIFORMITYPCT_X_X_X_NV_PEQPU_RED</t>
  </si>
  <si>
    <t>OPTIC_ANSI_UNIFORMITY_5THPERCENTILE_X_X_X_NV_PEQPD_RED</t>
  </si>
  <si>
    <t>Uniformity Red</t>
  </si>
  <si>
    <t>OPTIC_ANSI_UNIFORMITY_MAXANSI_X_X_X_NV_PEQPD_RED</t>
  </si>
  <si>
    <t>OPTIC_ANSI_UNIFORMITY_GRID_X_X_X_NV_PEQPD_RED</t>
  </si>
  <si>
    <t>OPTIC_ANSI_UNIFORMITY_5THPERCENTILE_X_X_X_NV_PEQPU_RED</t>
  </si>
  <si>
    <t>OPTIC_ANSI_UNIFORMITY_MAXANSI_X_X_X_NV_PEQPU_RED</t>
  </si>
  <si>
    <t>OPTIC_ANSI_UNIFORMITY_GRID_X_X_X_NV_PEQPU_RED</t>
  </si>
  <si>
    <t>OPTIC_SPEC_DOMWLTH_CENTER_X_X_X_NV_PEQPD_RED</t>
  </si>
  <si>
    <t>Wavelength Red</t>
  </si>
  <si>
    <t>OPTIC_SPEC_PKWLTH_CENTER_X_X_X_NV_PEQPD_RED</t>
  </si>
  <si>
    <t>OPTIC_SPEC_CETLTH_CENTER_X_X_X_NV_PEQPD_RED</t>
  </si>
  <si>
    <t>OPTIC_SPEC_SIGNAL_CENTER_X_X_X_NV_PEQPD_RED</t>
  </si>
  <si>
    <t>OPTIC_SPEC_COLORX_CENTER_X_X_X_NV_PEQPD_RED</t>
  </si>
  <si>
    <t>OPTIC_SPEC_COLORY_CENTER_X_X_X_NV_PEQPD_RED</t>
  </si>
  <si>
    <t>OPTIC_SPEC_DOMWLTH_CENTER_X_X_X_NV_PEQPU_RED</t>
  </si>
  <si>
    <t>OPTIC_SPEC_PKWLTH_CENTER_X_X_X_NV_PEQPU_RED</t>
  </si>
  <si>
    <t>OPTIC_SPEC_CETLTH_CENTER_X_X_X_NV_PEQPU_RED</t>
  </si>
  <si>
    <t>OPTIC_SPEC_SIGNAL_CENTER_X_X_X_NV_PEQPU_RED</t>
  </si>
  <si>
    <t>OPTIC_SPEC_COLORX_CENTER_X_X_X_NV_PEQPU_RED</t>
  </si>
  <si>
    <t>OPTIC_SPEC_COLORY_CENTER_X_X_X_NV_PEQPU_RED</t>
  </si>
  <si>
    <t>OPTIC_SPEC_FWHM_CENTER_X_X_X_NV_PEQPD_RED</t>
  </si>
  <si>
    <t>FWHM Red</t>
  </si>
  <si>
    <t>OPTIC_SPEC_FWHM_CENTER_X_X_X_NV_PEQPU_RED</t>
  </si>
  <si>
    <t>OPTIC_ANSI_ALLON_RAW_X_X_X_NV_PEQPD_GREEN</t>
  </si>
  <si>
    <t>Brightness - Green</t>
  </si>
  <si>
    <t>OPTIC_ANSI_ALLON_SCALED_X_X_X_NV_PEQPD_GREEN</t>
  </si>
  <si>
    <t>OPTIC_ANSI_ALLON_NORM1PCT_X_X_X_NV_PEQPD_GREEN</t>
  </si>
  <si>
    <t>OPTIC_ANSI_ALLON_UNIFORMITYPCT_X_X_X_NV_PEQPD_GREEN</t>
  </si>
  <si>
    <t>OPTIC_ANSI_ALLON_RAW_X_X_X_NV_PEQPU_GREEN</t>
  </si>
  <si>
    <t>OPTIC_ANSI_ALLON_SCALED_X_X_X_NV_PEQPU_GREEN</t>
  </si>
  <si>
    <t>OPTIC_ANSI_ALLON_NORM1PCT_X_X_X_NV_PEQPU_GREEN</t>
  </si>
  <si>
    <t>OPTIC_ANSI_ALLON_UNIFORMITYPCT_X_X_X_NV_PEQPU_GREEN</t>
  </si>
  <si>
    <t>OPTIC_ANSI_MARCH_RAW_X_X_X_NV_PEQPU_GREEN</t>
  </si>
  <si>
    <t>OPTIC_ANSI_MARCH_SCALED_X_X_X_NV_PEQPU_GREEN</t>
  </si>
  <si>
    <t>OPTIC_ANSI_MARCH_NORM1PCT_X_X_X_NV_PEQPU_GREEN</t>
  </si>
  <si>
    <t>OPTIC_ANSI_MARCH_UNIFORMITYPCT_X_X_X_NV_PEQPU_GREEN</t>
  </si>
  <si>
    <t>OPTIC_ANSI_1X1_RAW_X_X_X_NV_PEQPU_GREEN</t>
  </si>
  <si>
    <t>OPTIC_ANSI_1X1_SCALED_X_X_X_NV_PEQPU_GREEN</t>
  </si>
  <si>
    <t>OPTIC_ANSI_1X1_NORM1PCT_X_X_X_NV_PEQPU_GREEN</t>
  </si>
  <si>
    <t>OPTIC_ANSI_1X1_UNIFORMITYPCT_X_X_X_NV_PEQPU_GREEN</t>
  </si>
  <si>
    <t>OPTIC_ANSI_2X2_RAW_X_X_X_NV_PEQPU_GREEN</t>
  </si>
  <si>
    <t>OPTIC_ANSI_2X2_SCALED_X_X_X_NV_PEQPU_GREEN</t>
  </si>
  <si>
    <t>OPTIC_ANSI_2X2_NORM1PCT_X_X_X_NV_PEQPU_GREEN</t>
  </si>
  <si>
    <t>OPTIC_ANSI_2X2_UNIFORMITYPCT_X_X_X_NV_PEQPU_GREEN</t>
  </si>
  <si>
    <t>OPTIC_ANSI_4X4_RAW_X_X_X_NV_PEQPU_GREEN</t>
  </si>
  <si>
    <t>OPTIC_ANSI_4X4_SCALED_X_X_X_NV_PEQPU_GREEN</t>
  </si>
  <si>
    <t>OPTIC_ANSI_4X4_NORM1PCT_X_X_X_NV_PEQPU_GREEN</t>
  </si>
  <si>
    <t>OPTIC_ANSI_4X4_UNIFORMITYPCT_X_X_X_NV_PEQPU_GREEN</t>
  </si>
  <si>
    <t>OPTIC_ANSI_UNIFORMITY_5THPERCENTILE_X_X_X_NV_PEQPD_GREEN</t>
  </si>
  <si>
    <t>Uniformity Green</t>
  </si>
  <si>
    <t>OPTIC_ANSI_UNIFORMITY_MAXANSI_X_X_X_NV_PEQPD_GREEN</t>
  </si>
  <si>
    <t>OPTIC_ANSI_UNIFORMITY_GRID_X_X_X_NV_PEQPD_GREEN</t>
  </si>
  <si>
    <t>OPTIC_ANSI_UNIFORMITY_5THPERCENTILE_X_X_X_NV_PEQPU_GREEN</t>
  </si>
  <si>
    <t>OPTIC_ANSI_UNIFORMITY_MAXANSI_X_X_X_NV_PEQPU_GREEN</t>
  </si>
  <si>
    <t>OPTIC_ANSI_UNIFORMITY_GRID_X_X_X_NV_PEQPU_GREEN</t>
  </si>
  <si>
    <t>OPTIC_SPEC_DOMWLTH_CENTER_X_X_X_NV_PEQPD_GREEN</t>
  </si>
  <si>
    <t>Wavelength Green</t>
  </si>
  <si>
    <t>OPTIC_SPEC_PKWLTH_CENTER_X_X_X_NV_PEQPD_GREEN</t>
  </si>
  <si>
    <t>OPTIC_SPEC_CETLTH_CENTER_X_X_X_NV_PEQPD_GREEN</t>
  </si>
  <si>
    <t>OPTIC_SPEC_SIGNAL_CENTER_X_X_X_NV_PEQPD_GREEN</t>
  </si>
  <si>
    <t>OPTIC_SPEC_COLORX_CENTER_X_X_X_NV_PEQPD_GREEN</t>
  </si>
  <si>
    <t>OPTIC_SPEC_COLORY_CENTER_X_X_X_NV_PEQPD_GREEN</t>
  </si>
  <si>
    <t>OPTIC_SPEC_DOMWLTH_CENTER_X_X_X_NV_PEQPU_GREEN</t>
  </si>
  <si>
    <t>OPTIC_SPEC_PKWLTH_CENTER_X_X_X_NV_PEQPU_GREEN</t>
  </si>
  <si>
    <t>OPTIC_SPEC_CETLTH_CENTER_X_X_X_NV_PEQPU_GREEN</t>
  </si>
  <si>
    <t>OPTIC_SPEC_SIGNAL_CENTER_X_X_X_NV_PEQPU_GREEN</t>
  </si>
  <si>
    <t>OPTIC_SPEC_COLORX_CENTER_X_X_X_NV_PEQPU_GREEN</t>
  </si>
  <si>
    <t>OPTIC_SPEC_COLORY_CENTER_X_X_X_NV_PEQPU_GREEN</t>
  </si>
  <si>
    <t>OPTIC_SPEC_FWHM_CENTER_X_X_X_NV_PEQPD_GREEN</t>
  </si>
  <si>
    <t>FWHM Green</t>
  </si>
  <si>
    <t>OPTIC_SPEC_FWHM_CENTER_X_X_X_NV_PEQPU_GREEN</t>
  </si>
  <si>
    <t>OPTIC_ANSI_ALLON_RAW_X_X_X_NV_PEQPD_BLUE</t>
  </si>
  <si>
    <t>Brightness - Blue</t>
  </si>
  <si>
    <t>OPTIC_ANSI_ALLON_SCALED_X_X_X_NV_PEQPD_BLUE</t>
  </si>
  <si>
    <t>OPTIC_ANSI_ALLON_NORM1PCT_X_X_X_NV_PEQPD_BLUE</t>
  </si>
  <si>
    <t>OPTIC_ANSI_ALLON_UNIFORMITYPCT_X_X_X_NV_PEQPD_BLUE</t>
  </si>
  <si>
    <t>OPTIC_ANSI_ALLON_RAW_X_X_X_NV_PEQPU_BLUE</t>
  </si>
  <si>
    <t>OPTIC_ANSI_ALLON_SCALED_X_X_X_NV_PEQPU_BLUE</t>
  </si>
  <si>
    <t>OPTIC_ANSI_ALLON_NORM1PCT_X_X_X_NV_PEQPU_BLUE</t>
  </si>
  <si>
    <t>OPTIC_ANSI_ALLON_UNIFORMITYPCT_X_X_X_NV_PEQPU_BLUE</t>
  </si>
  <si>
    <t>OPTIC_ANSI_MARCH_RAW_X_X_X_NV_PEQPU_BLUE</t>
  </si>
  <si>
    <t>OPTIC_ANSI_MARCH_SCALED_X_X_X_NV_PEQPU_BLUE</t>
  </si>
  <si>
    <t>OPTIC_ANSI_MARCH_NORM1PCT_X_X_X_NV_PEQPU_BLUE</t>
  </si>
  <si>
    <t>OPTIC_ANSI_MARCH_UNIFORMITYPCT_X_X_X_NV_PEQPU_BLUE</t>
  </si>
  <si>
    <t>OPTIC_ANSI_1X1_RAW_X_X_X_NV_PEQPU_BLUE</t>
  </si>
  <si>
    <t>OPTIC_ANSI_1X1_SCALED_X_X_X_NV_PEQPU_BLUE</t>
  </si>
  <si>
    <t>OPTIC_ANSI_1X1_NORM1PCT_X_X_X_NV_PEQPU_BLUE</t>
  </si>
  <si>
    <t>OPTIC_ANSI_1X1_UNIFORMITYPCT_X_X_X_NV_PEQPU_BLUE</t>
  </si>
  <si>
    <t>OPTIC_ANSI_2X2_RAW_X_X_X_NV_PEQPU_BLUE</t>
  </si>
  <si>
    <t>OPTIC_ANSI_2X2_SCALED_X_X_X_NV_PEQPU_BLUE</t>
  </si>
  <si>
    <t>OPTIC_ANSI_2X2_NORM1PCT_X_X_X_NV_PEQPU_BLUE</t>
  </si>
  <si>
    <t>OPTIC_ANSI_2X2_UNIFORMITYPCT_X_X_X_NV_PEQPU_BLUE</t>
  </si>
  <si>
    <t>OPTIC_ANSI_4X4_RAW_X_X_X_NV_PEQPU_BLUE</t>
  </si>
  <si>
    <t>OPTIC_ANSI_4X4_SCALED_X_X_X_NV_PEQPU_BLUE</t>
  </si>
  <si>
    <t>OPTIC_ANSI_4X4_NORM1PCT_X_X_X_NV_PEQPU_BLUE</t>
  </si>
  <si>
    <t>OPTIC_ANSI_4X4_UNIFORMITYPCT_X_X_X_NV_PEQPU_BLUE</t>
  </si>
  <si>
    <t>OPTIC_ANSI_UNIFORMITY_5THPERCENTILE_X_X_X_NV_PEQPD_BLUE</t>
  </si>
  <si>
    <t>Uniformity Blue</t>
  </si>
  <si>
    <t>OPTIC_ANSI_UNIFORMITY_MAXANSI_X_X_X_NV_PEQPD_BLUE</t>
  </si>
  <si>
    <t>OPTIC_ANSI_UNIFORMITY_GRID_X_X_X_NV_PEQPD_BLUE</t>
  </si>
  <si>
    <t>OPTIC_ANSI_UNIFORMITY_5THPERCENTILE_X_X_X_NV_PEQPU_BLUE</t>
  </si>
  <si>
    <t>OPTIC_ANSI_UNIFORMITY_MAXANSI_X_X_X_NV_PEQPU_BLUE</t>
  </si>
  <si>
    <t>OPTIC_ANSI_UNIFORMITY_GRID_X_X_X_NV_PEQPU_BLUE</t>
  </si>
  <si>
    <t>OPTIC_SPEC_DOMWLTH_CENTER_X_X_X_NV_PEQPD_BLUE</t>
  </si>
  <si>
    <t>Wavelength Blue</t>
  </si>
  <si>
    <t>OPTIC_SPEC_PKWLTH_CENTER_X_X_X_NV_PEQPD_BLUE</t>
  </si>
  <si>
    <t>OPTIC_SPEC_CETLTH_CENTER_X_X_X_NV_PEQPD_BLUE</t>
  </si>
  <si>
    <t>OPTIC_SPEC_SIGNAL_CENTER_X_X_X_NV_PEQPD_BLUE</t>
  </si>
  <si>
    <t>OPTIC_SPEC_COLORX_CENTER_X_X_X_NV_PEQPD_BLUE</t>
  </si>
  <si>
    <t>OPTIC_SPEC_COLORY_CENTER_X_X_X_NV_PEQPD_BLUE</t>
  </si>
  <si>
    <t>OPTIC_SPEC_DOMWLTH_CENTER_X_X_X_NV_PEQPU_BLUE</t>
  </si>
  <si>
    <t>OPTIC_SPEC_PKWLTH_CENTER_X_X_X_NV_PEQPU_BLUE</t>
  </si>
  <si>
    <t>OPTIC_SPEC_CETLTH_CENTER_X_X_X_NV_PEQPU_BLUE</t>
  </si>
  <si>
    <t>OPTIC_SPEC_SIGNAL_CENTER_X_X_X_NV_PEQPU_BLUE</t>
  </si>
  <si>
    <t>OPTIC_SPEC_COLORX_CENTER_X_X_X_NV_PEQPU_BLUE</t>
  </si>
  <si>
    <t>OPTIC_SPEC_COLORY_CENTER_X_X_X_NV_PEQPU_BLUE</t>
  </si>
  <si>
    <t>OPTIC_SPEC_FWHM_CENTER_X_X_X_NV_PEQPD_BLUE</t>
  </si>
  <si>
    <t>FWHM Blue</t>
  </si>
  <si>
    <t>OPTIC_SPEC_FWHM_CENTER_X_X_X_NV_PEQPU_BLUE</t>
  </si>
  <si>
    <t>OPTIC_CONTRAST_RATIO_ZONEB_64PIXEL_MIN_SP1_NV_PEQPD_RED</t>
  </si>
  <si>
    <t>Contrast Red</t>
  </si>
  <si>
    <t>OPTIC_CONTRAST_RATIO_ZONEB_64PIXEL_AVE_SP1_NV_PEQPD_RED</t>
  </si>
  <si>
    <t>OPTIC_CONTRAST_RATIO_ZONEB_64PIXEL_MAX_SP21_NV_PEQPD_RED</t>
  </si>
  <si>
    <t>OPTIC_CONTRAST_RATIO_ZONEB_64PIXEL_MIN_SP2_NV_PEQPD_RED</t>
  </si>
  <si>
    <t>OPTIC_CONTRAST_RATIO_ZONEB_64PIXEL_AVE_SP2_NV_PEQPD_RED</t>
  </si>
  <si>
    <t>OPTIC_CONTRAST_RATIO_ZONEB_64PIXEL_MAX_SP2_NV_PEQPD_RED</t>
  </si>
  <si>
    <t>OPTIC_CONTRAST_RATIO_ZONEB_64PIXEL_MIN_SP1_NV_PEQPD_GREEN</t>
  </si>
  <si>
    <t>Contrast Green</t>
  </si>
  <si>
    <t>OPTIC_CONTRAST_RATIO_ZONEB_64PIXEL_AVE_SP1_NV_PEQPD_GREEN</t>
  </si>
  <si>
    <t>OPTIC_CONTRAST_RATIO_ZONEB_64PIXEL_MAX_SP1_NV_PEQPD_GREEN</t>
  </si>
  <si>
    <t>OPTIC_CONTRAST_RATIO_ZONEB_64PIXEL_MIN_SP2_NV_PEQPD_GREEN</t>
  </si>
  <si>
    <t>OPTIC_CONTRAST_RATIO_ZONEB_64PIXEL_AVE_SP2_NV_PEQPD_GREEN</t>
  </si>
  <si>
    <t>OPTIC_CONTRAST_RATIO_ZONEB_64PIXEL_MAX_SP2_NV_PEQPD_GREEN</t>
  </si>
  <si>
    <t>OPTIC_CONTRAST_RATIO_ZONEB_64PIXEL_MIN_SP1_NV_PEQPD_BLUE</t>
  </si>
  <si>
    <t>Contrast Blue</t>
  </si>
  <si>
    <t>OPTIC_CONTRAST_RATIO_ZONEB_64PIXEL_AVE_SP1_NV_PEQPD_BLUE</t>
  </si>
  <si>
    <t>OPTIC_CONTRAST_RATIO_ZONEB_64PIXEL_MAX_SP1_NV_PEQPD_BLUE</t>
  </si>
  <si>
    <t>OPTIC_CONTRAST_RATIO_ZONEB_64PIXEL_MIN_SP2_NV_PEQPD_BLUE</t>
  </si>
  <si>
    <t>OPTIC_CONTRAST_RATIO_ZONEB_64PIXEL_AVE_SP2_NV_PEQPD_BLUE</t>
  </si>
  <si>
    <t>OPTIC_CONTRAST_RATIO_ZONEB_64PIXEL_MAX_SP2_NV_PEQPD_BLUE</t>
  </si>
  <si>
    <t>OPTIC_PLMFGR_INITMISREGISTRATION_FLAG_X_X_X_X_PEQPU_RED</t>
  </si>
  <si>
    <t>PLM Misregistration</t>
  </si>
  <si>
    <t>OPTIC_PLMFGR_MISREGISTRATION_FLAG_X_X_X_X_PEQPU_RED</t>
  </si>
  <si>
    <t>OPTIC_PLMFGR_INITMISREGISTRATION1X1_FLAG_X_X_X_X_PEQPU_RED</t>
  </si>
  <si>
    <t>OPTIC_PLMFGR_MISREGISTRATION1X1_FLAG_X_X_X_X_PEQPU_RED</t>
  </si>
  <si>
    <t>OPTIC_PLMFGR_INITMISREGISTRATION2X2_FLAG_X_X_X_X_PEQPU_RED</t>
  </si>
  <si>
    <t>OPTIC_PLMFGR_MISREGISTRATION2X2_FLAG_X_X_X_X_PEQPU_RED</t>
  </si>
  <si>
    <t>OPTIC_PLMFGR_INITMISREGISTRATION4X4_FLAG_X_X_X_X_PEQPU_RED</t>
  </si>
  <si>
    <t>OPTIC_PLMFGR_MISREGISTRATION4X4_FLAG_X_X_X_X_PEQPU_RED</t>
  </si>
  <si>
    <t>OPTIC_PLMFGR_INITMISREGISTRATION_FLAG_X_X_X_X_PEQPU_GREEN</t>
  </si>
  <si>
    <t>OPTIC_PLMFGR_MISREGISTRATION_FLAG_X_X_X_X_PEQPU_GREEN</t>
  </si>
  <si>
    <t>OPTIC_PLMFGR_INITMISREGISTRATION1X1_FLAG_X_X_X_X_PEQPU_GREEN</t>
  </si>
  <si>
    <t>OPTIC_PLMFGR_MISREGISTRATION1X1_FLAG_X_X_X_X_PEQPU_GREEN</t>
  </si>
  <si>
    <t>OPTIC_PLMFGR_INITMISREGISTRATION2X2_FLAG_X_X_X_X_PEQPU_GREEN</t>
  </si>
  <si>
    <t>OPTIC_PLMFGR_MISREGISTRATION2X2_FLAG_X_X_X_X_PEQPU_GREEN</t>
  </si>
  <si>
    <t>OPTIC_PLMFGR_INITMISREGISTRATION4X4_FLAG_X_X_X_X_PEQPU_GREEN</t>
  </si>
  <si>
    <t>OPTIC_PLMFGR_MISREGISTRATION4X4_FLAG_X_X_X_X_PEQPU_GREEN</t>
  </si>
  <si>
    <t>OPTIC_PLMFGR_INITMISREGISTRATION_FLAG_X_X_X_X_PEQPU_BLUE</t>
  </si>
  <si>
    <t>OPTIC_PLMFGR_MISREGISTRATION_FLAG_X_X_X_X_PEQPU_BLUE</t>
  </si>
  <si>
    <t>OPTIC_PLMFGR_INITMISREGISTRATION1X1_FLAG_X_X_X_X_PEQPU_BLUE</t>
  </si>
  <si>
    <t>OPTIC_PLMFGR_MISREGISTRATION1X1_FLAG_X_X_X_X_PEQPU_BLUE</t>
  </si>
  <si>
    <t>OPTIC_PLMFGR_INITMISREGISTRATION2X2_FLAG_X_X_X_X_PEQPU_BLUE</t>
  </si>
  <si>
    <t>OPTIC_PLMFGR_MISREGISTRATION2X2_FLAG_X_X_X_X_PEQPU_BLUE</t>
  </si>
  <si>
    <t>OPTIC_PLMFGR_INITMISREGISTRATION4X4_FLAG_X_X_X_X_PEQPU_BLUE</t>
  </si>
  <si>
    <t>OPTIC_PLMFGR_MISREGISTRATION4X4_FLAG_X_X_X_X_PEQPU_BLUE</t>
  </si>
  <si>
    <t>OPTIC_IMG_ALLON_INITFOCUS_X_X_X_NV_PEQPD</t>
  </si>
  <si>
    <t>OPTIC_IMG_ALLON_INITZ_X_X_X_NV_PEQPD</t>
  </si>
  <si>
    <t>OPTIC_IMG_ALLON_ENDFOCUS_X_X_X_NV_PEQPD</t>
  </si>
  <si>
    <t>OPTIC_IMG_ALLON_ENDZ_X_X_X_NV_PEQPD</t>
  </si>
  <si>
    <t>OPTIC_IMG_ALLON_INITFOCUS_X_X_X_NV_PEQPU</t>
  </si>
  <si>
    <t>OPTIC_IMG_ALLON_INITZ_X_X_X_NV_PEQPU</t>
  </si>
  <si>
    <t>OPTIC_IMG_ALLON_ENDFOCUS_X_X_X_NV_PEQPU</t>
  </si>
  <si>
    <t>OPTIC_IMG_ALLON_ENDZ_X_X_X_NV_PEQPU</t>
  </si>
  <si>
    <t>OPTIC_IMG_CHKBRD_X_X_X_X_NV_PEQPD_RED</t>
  </si>
  <si>
    <t>OPTIC_IMG_INVCHKBRD_X_X_X_X_NV_PEQPD_RED</t>
  </si>
  <si>
    <t>OPTIC_IMG_XHAIR_X_X_X_X_NV_PEQPD_RED</t>
  </si>
  <si>
    <t>OPTIC_IMG_GHOST_X_X_X_X_NV_PEQPD_RED</t>
  </si>
  <si>
    <t>OPTIC_IMG_LOGO_X_X_X_X_NV_PEQPD_RED</t>
  </si>
  <si>
    <t>OPTIC_IMG_ALLON_X_X_X_X_NV_PEQPD_RED</t>
  </si>
  <si>
    <t>OPTIC_IMG_CHKBRD_X_X_X_X_NV_PEQPD_GREEN</t>
  </si>
  <si>
    <t>OPTIC_IMG_INVCHKBRD_X_X_X_X_NV_PEQPD_GREEN</t>
  </si>
  <si>
    <t>OPTIC_IMG_XHAIR_X_X_X_X_NV_PEQPD_GREEN</t>
  </si>
  <si>
    <t>OPTIC_IMG_GHOST_X_X_X_X_NV_PEQPD_GREEN</t>
  </si>
  <si>
    <t>OPTIC_IMG_LOGO_X_X_X_X_NV_PEQPD_GREEN</t>
  </si>
  <si>
    <t>OPTIC_IMG_ALLON_X_X_X_X_NV_PEQPD_GREEN</t>
  </si>
  <si>
    <t>OPTIC_IMG_CHKBRD_X_X_X_X_NV_PEQPD_BLUE</t>
  </si>
  <si>
    <t>OPTIC_IMG_INVCHKBRD_X_X_X_X_NV_PEQPD_BLUE</t>
  </si>
  <si>
    <t>OPTIC_IMG_XHAIR_X_X_X_X_NV_PEQPD_BLUE</t>
  </si>
  <si>
    <t>OPTIC_IMG_GHOST_X_X_X_X_NV_PEQPD_BLUE</t>
  </si>
  <si>
    <t>OPTIC_IMG_LOGO_X_X_X_X_NV_PEQPD_BLUE</t>
  </si>
  <si>
    <t>OPTIC_IMG_ALLON_X_X_X_X_NV_PEQPD_BLUE</t>
  </si>
  <si>
    <t>OPTIC_IMG_INVERSE_X_X_X_X_NV_PEQPU_RED</t>
  </si>
  <si>
    <t>OPTIC_IMG_MARCH_X_X_X_X_NV_PEQPU_RED</t>
  </si>
  <si>
    <t>OPTIC_IMG_CHECKER_X_X_X_X_NV_PEQPU_RED</t>
  </si>
  <si>
    <t>OPTIC_IMG_INVCHECKER_X_X_X_X_NV_PEQPU_RED</t>
  </si>
  <si>
    <t>OPTIC_IMG_1X1_X_X_X_X_NV_PEQPU_RED</t>
  </si>
  <si>
    <t>OPTIC_IMG_2X2_X_X_X_X_NV_PEQPU_RED</t>
  </si>
  <si>
    <t>OPTIC_IMG_4X4_X_X_X_X_NV_PEQPU_RED</t>
  </si>
  <si>
    <t>OPTIC_IMG_9POINT_X_X_X_X_NV_PEQPU_RED</t>
  </si>
  <si>
    <t>OPTIC_IMG_XHAIR_X_X_X_X_NV_PEQPU_RED</t>
  </si>
  <si>
    <t>OPTIC_IMG_ALLON_X_X_X_X_NV_PEQPU_RED</t>
  </si>
  <si>
    <t>OPTIC_IMG_INVERSE_X_X_X_X_NV_PEQPU_GREEN</t>
  </si>
  <si>
    <t>OPTIC_IMG_MARCH_X_X_X_X_NV_PEQPU_GREEN</t>
  </si>
  <si>
    <t>OPTIC_IMG_CHECKER_X_X_X_X_NV_PEQPU_GREEN</t>
  </si>
  <si>
    <t>OPTIC_IMG_INVCHECKER_X_X_X_X_NV_PEQPU_GREEN</t>
  </si>
  <si>
    <t>OPTIC_IMG_1X1_X_X_X_X_NV_PEQPU_GREEN</t>
  </si>
  <si>
    <t>OPTIC_IMG_2X2_X_X_X_X_NV_PEQPU_GREEN</t>
  </si>
  <si>
    <t>OPTIC_IMG_4X4_X_X_X_X_NV_PEQPU_GREEN</t>
  </si>
  <si>
    <t>OPTIC_IMG_9POINT_X_X_X_X_NV_PEQPU_GREEN</t>
  </si>
  <si>
    <t>OPTIC_IMG_XHAIR_X_X_X_X_NV_PEQPU_GREEN</t>
  </si>
  <si>
    <t>OPTIC_IMG_ALLON_X_X_X_X_NV_PEQPU_GREEN</t>
  </si>
  <si>
    <t>OPTIC_IMG_INVERSE_X_X_X_X_NV_PEQPU_BLUE</t>
  </si>
  <si>
    <t>OPTIC_IMG_MARCH_X_X_X_X_NV_PEQPU_BLUE</t>
  </si>
  <si>
    <t>OPTIC_IMG_CHECKER_X_X_X_X_NV_PEQPU_BLUE</t>
  </si>
  <si>
    <t>OPTIC_IMG_INVCHECKER_X_X_X_X_NV_PEQPU_BLUE</t>
  </si>
  <si>
    <t>OPTIC_IMG_1X1_X_X_X_X_NV_PEQPU_BLUE</t>
  </si>
  <si>
    <t>OPTIC_IMG_2X2_X_X_X_X_NV_PEQPU_BLUE</t>
  </si>
  <si>
    <t>OPTIC_IMG_4X4_X_X_X_X_NV_PEQPU_BLUE</t>
  </si>
  <si>
    <t>OPTIC_IMG_9POINT_X_X_X_X_NV_PEQPU_BLUE</t>
  </si>
  <si>
    <t>OPTIC_IMG_XHAIR_X_X_X_X_NV_PEQPU_BLUE</t>
  </si>
  <si>
    <t>OPTIC_IMG_ALLON_X_X_X_X_NV_PEQPU_BLUE</t>
  </si>
  <si>
    <t>OPTIC_PLMFGR_MEANDIFF_FULLPANEL_X_X_X_X_PEQPU_RED</t>
  </si>
  <si>
    <t>FGR Pixel Stats (diff and average)</t>
  </si>
  <si>
    <t>OPTIC_PLMFGR_TOPLINEPIXEL_AVG_X_X_X_X_PEQPU_RED</t>
  </si>
  <si>
    <t>OPTIC_PLMFGR_BOTTOMLINEPIXEL_AVG_X_X_X_X_PEQPU_RED</t>
  </si>
  <si>
    <t>OPTIC_PLMFGR_RIGHTLINEPIXEL_AVG_X_X_X_X_PEQPU_RED</t>
  </si>
  <si>
    <t>OPTIC_PLMFGR_LEFTLINEPIXEL_AVG_X_X_X_X_PEQPU_RED</t>
  </si>
  <si>
    <t>OPTIC_PLMFGR_FULLPANELPIXEL_AVG*15%_X_X_X_X_PEQPU_RED</t>
  </si>
  <si>
    <t>OPTIC_PLMFGR_MEANDIFF1X1_FULLPANEL_X_X_X_X_PEQPU_RED</t>
  </si>
  <si>
    <t>OPTIC_PLMFGR_TOPLINEPIXEL1X1_AVG_X_X_X_X_PEQPU_RED</t>
  </si>
  <si>
    <t>OPTIC_PLMFGR_BOTTOMLINEPIXEL1X1_AVG_X_X_X_X_PEQPU_RED</t>
  </si>
  <si>
    <t>OPTIC_PLMFGR_RIGHTLINEPIXEL1X1_AVG_X_X_X_X_PEQPU_RED</t>
  </si>
  <si>
    <t>OPTIC_PLMFGR_LEFTLINEPIXEL1X1_AVG_X_X_X_X_PEQPU_RED</t>
  </si>
  <si>
    <t>OPTIC_PLMFGR_FULLPANELPIXEL1X1_AVG*15%_X_X_X_X_PEQPU_RED</t>
  </si>
  <si>
    <t>OPTIC_PLMFGR_MEANDIFF2X2_FULLPANEL_X_X_X_X_PEQPU_RED</t>
  </si>
  <si>
    <t>OPTIC_PLMFGR_TOPLINEPIXEL2X2_AVG_X_X_X_X_PEQPU_RED</t>
  </si>
  <si>
    <t>OPTIC_PLMFGR_BOTTOMLINEPIXEL2X2_AVG_X_X_X_X_PEQPU_RED</t>
  </si>
  <si>
    <t>OPTIC_PLMFGR_RIGHTLINEPIXEL2X2_AVG_X_X_X_X_PEQPU_RED</t>
  </si>
  <si>
    <t>OPTIC_PLMFGR_LEFTLINEPIXEL2X2_AVG_X_X_X_X_PEQPU_RED</t>
  </si>
  <si>
    <t>OPTIC_PLMFGR_FULLPANELPIXEL2X2_AVG*15%_X_X_X_X_PEQPU_RED</t>
  </si>
  <si>
    <t>OPTIC_PLMFGR_MEANDIFF4X4_FULLPANEL_X_X_X_X_PEQPU_RED</t>
  </si>
  <si>
    <t>OPTIC_PLMFGR_TOPLINEPIXEL4X4_AVG_X_X_X_X_PEQPU_RED</t>
  </si>
  <si>
    <t>OPTIC_PLMFGR_BOTTOMLINEPIXEL4X4_AVG_X_X_X_X_PEQPU_RED</t>
  </si>
  <si>
    <t>OPTIC_PLMFGR_RIGHTLINEPIXEL4X4_AVG_X_X_X_X_PEQPU_RED</t>
  </si>
  <si>
    <t>OPTIC_PLMFGR_LEFTLINEPIXEL4X4_AVG_X_X_X_X_PEQPU_RED</t>
  </si>
  <si>
    <t>OPTIC_PLMFGR_FULLPANELPIXEL4X4_AVG*15%_X_X_X_X_PEQPU_RED</t>
  </si>
  <si>
    <t>OPTIC_PLMFGR_MEANDIFF_FULLPANEL_X_X_X_X_PEQPU_GREEN</t>
  </si>
  <si>
    <t>OPTIC_PLMFGR_TOPLINEPIXEL_AVG_X_X_X_X_PEQPU_GREEN</t>
  </si>
  <si>
    <t>OPTIC_PLMFGR_BOTTOMLINEPIXEL_AVG_X_X_X_X_PEQPU_GREEN</t>
  </si>
  <si>
    <t>OPTIC_PLMFGR_RIGHTLINEPIXEL_AVG_X_X_X_X_PEQPU_GREEN</t>
  </si>
  <si>
    <t>OPTIC_PLMFGR_LEFTLINEPIXEL_AVG_X_X_X_X_PEQPU_GREEN</t>
  </si>
  <si>
    <t>OPTIC_PLMFGR_FULLPANELPIXEL_AVG*15%_X_X_X_X_PEQPU_GREEN</t>
  </si>
  <si>
    <t>OPTIC_PLMFGR_MEANDIFF1X1_FULLPANEL_X_X_X_X_PEQPU_GREEN</t>
  </si>
  <si>
    <t>OPTIC_PLMFGR_TOPLINEPIXEL1X1_AVG_X_X_X_X_PEQPU_GREEN</t>
  </si>
  <si>
    <t>OPTIC_PLMFGR_BOTTOMLINEPIXEL1X1_AVG_X_X_X_X_PEQPU_GREEN</t>
  </si>
  <si>
    <t>OPTIC_PLMFGR_RIGHTLINEPIXEL1X1_AVG_X_X_X_X_PEQPU_GREEN</t>
  </si>
  <si>
    <t>OPTIC_PLMFGR_LEFTLINEPIXEL1X1_AVG_X_X_X_X_PEQPU_GREEN</t>
  </si>
  <si>
    <t>OPTIC_PLMFGR_FULLPANELPIXEL1X1_AVG*15%_X_X_X_X_PEQPU_GREEN</t>
  </si>
  <si>
    <t>OPTIC_PLMFGR_MEANDIFF2X2_FULLPANEL_X_X_X_X_PEQPU_GREEN</t>
  </si>
  <si>
    <t>OPTIC_PLMFGR_TOPLINEPIXEL2X2_AVG_X_X_X_X_PEQPU_GREEN</t>
  </si>
  <si>
    <t>OPTIC_PLMFGR_BOTTOMLINEPIXEL2X2_AVG_X_X_X_X_PEQPU_GREEN</t>
  </si>
  <si>
    <t>OPTIC_PLMFGR_RIGHTLINEPIXEL2X2_AVG_X_X_X_X_PEQPU_GREEN</t>
  </si>
  <si>
    <t>OPTIC_PLMFGR_LEFTLINEPIXEL2X2_AVG_X_X_X_X_PEQPU_GREEN</t>
  </si>
  <si>
    <t>OPTIC_PLMFGR_FULLPANELPIXEL2X2_AVG*15%_X_X_X_X_PEQPU_GREEN</t>
  </si>
  <si>
    <t>OPTIC_PLMFGR_MEANDIFF4X4_FULLPANEL_X_X_X_X_PEQPU_GREEN</t>
  </si>
  <si>
    <t>OPTIC_PLMFGR_TOPLINEPIXEL4X4_AVG_X_X_X_X_PEQPU_GREEN</t>
  </si>
  <si>
    <t>OPTIC_PLMFGR_BOTTOMLINEPIXEL4X4_AVG_X_X_X_X_PEQPU_GREEN</t>
  </si>
  <si>
    <t>OPTIC_PLMFGR_RIGHTLINEPIXEL4X4_AVG_X_X_X_X_PEQPU_GREEN</t>
  </si>
  <si>
    <t>OPTIC_PLMFGR_LEFTLINEPIXEL4X4_AVG_X_X_X_X_PEQPU_GREEN</t>
  </si>
  <si>
    <t>OPTIC_PLMFGR_FULLPANELPIXEL4X4_AVG*15%_X_X_X_X_PEQPU_GREEN</t>
  </si>
  <si>
    <t>OPTIC_PLMFGR_MEANDIFF_FULLPANEL_X_X_X_X_PEQPU_BLUE</t>
  </si>
  <si>
    <t>OPTIC_PLMFGR_TOPLINEPIXEL_AVG_X_X_X_X_PEQPU_BLUE</t>
  </si>
  <si>
    <t>OPTIC_PLMFGR_BOTTOMLINEPIXEL_AVG_X_X_X_X_PEQPU_BLUE</t>
  </si>
  <si>
    <t>OPTIC_PLMFGR_RIGHTLINEPIXEL_AVG_X_X_X_X_PEQPU_BLUE</t>
  </si>
  <si>
    <t>OPTIC_PLMFGR_LEFTLINEPIXEL_AVG_X_X_X_X_PEQPU_BLUE</t>
  </si>
  <si>
    <t>OPTIC_PLMFGR_FULLPANELPIXEL_AVG*15%_X_X_X_X_PEQPU_BLUE</t>
  </si>
  <si>
    <t>OPTIC_PLMFGR_MEANDIFF1X1_FULLPANEL_X_X_X_X_PEQPU_BLUE</t>
  </si>
  <si>
    <t>OPTIC_PLMFGR_TOPLINEPIXEL1X1_AVG_X_X_X_X_PEQPU_BLUE</t>
  </si>
  <si>
    <t>OPTIC_PLMFGR_BOTTOMLINEPIXEL1X1_AVG_X_X_X_X_PEQPU_BLUE</t>
  </si>
  <si>
    <t>OPTIC_PLMFGR_RIGHTLINEPIXEL1X1_AVG_X_X_X_X_PEQPU_BLUE</t>
  </si>
  <si>
    <t>OPTIC_PLMFGR_LEFTLINEPIXEL1X1_AVG_X_X_X_X_PEQPU_BLUE</t>
  </si>
  <si>
    <t>OPTIC_PLMFGR_FULLPANELPIXEL1X1_AVG*15%_X_X_X_X_PEQPU_BLUE</t>
  </si>
  <si>
    <t>OPTIC_PLMFGR_MEANDIFF2X2_FULLPANEL_X_X_X_X_PEQPU_BLUE</t>
  </si>
  <si>
    <t>OPTIC_PLMFGR_TOPLINEPIXEL2X2_AVG_X_X_X_X_PEQPU_BLUE</t>
  </si>
  <si>
    <t>OPTIC_PLMFGR_BOTTOMLINEPIXEL2X2_AVG_X_X_X_X_PEQPU_BLUE</t>
  </si>
  <si>
    <t>OPTIC_PLMFGR_RIGHTLINEPIXEL2X2_AVG_X_X_X_X_PEQPU_BLUE</t>
  </si>
  <si>
    <t>OPTIC_PLMFGR_LEFTLINEPIXEL2X2_AVG_X_X_X_X_PEQPU_BLUE</t>
  </si>
  <si>
    <t>OPTIC_PLMFGR_FULLPANELPIXEL2X2_AVG*15%_X_X_X_X_PEQPU_BLUE</t>
  </si>
  <si>
    <t>OPTIC_PLMFGR_MEANDIFF4X4_FULLPANEL_X_X_X_X_PEQPU_BLUE</t>
  </si>
  <si>
    <t>OPTIC_PLMFGR_TOPLINEPIXEL4X4_AVG_X_X_X_X_PEQPU_BLUE</t>
  </si>
  <si>
    <t>OPTIC_PLMFGR_BOTTOMLINEPIXEL4X4_AVG_X_X_X_X_PEQPU_BLUE</t>
  </si>
  <si>
    <t>OPTIC_PLMFGR_RIGHTLINEPIXEL4X4_AVG_X_X_X_X_PEQPU_BLUE</t>
  </si>
  <si>
    <t>OPTIC_PLMFGR_LEFTLINEPIXEL4X4_AVG_X_X_X_X_PEQPU_BLUE</t>
  </si>
  <si>
    <t>OPTIC_PLMFGR_FULLPANELPIXEL4X4_AVG*15%_X_X_X_X_PEQPU_BLUE</t>
  </si>
  <si>
    <t>OPTIC_IMG_FLAG_OVEREXP_X_X_X_NV_PEQPD</t>
  </si>
  <si>
    <t>Overexposure flags</t>
  </si>
  <si>
    <t>OPTIC_ANSI_FLAG_OVEREXP_X_X_X_NV_PEQPD_RED</t>
  </si>
  <si>
    <t>OPTIC_ANSI_FLAG_OVEREXP_X_X_X_NV_PEQPD_GREEN</t>
  </si>
  <si>
    <t>OPTIC_ANSI_FLAG_OVEREXP_X_X_X_NV_PEQPD_BLUE</t>
  </si>
  <si>
    <t>OPTIC_IMG_CHKBRD_OVEREXP_X_X_X_NV_PEQPD_RED</t>
  </si>
  <si>
    <t>OPTIC_IMG_INVCHKBRD_OVEREXP_X_X_X_NV_PEQPD_RED</t>
  </si>
  <si>
    <t>OPTIC_IMG_XHAIR_OVEREXP_X_X_X_NV_PEQPD_RED</t>
  </si>
  <si>
    <t>OPTIC_IMG_GHOST_OVEREXP_X_X_X_NV_PEQPD_RED</t>
  </si>
  <si>
    <t>OPTIC_IMG_LOGO_OVEREXP_X_X_X_NV_PEQPD_RED</t>
  </si>
  <si>
    <t>OPTIC_IMG_ALLON_OVEREXP_X_X_X_NV_PEQPD_RED</t>
  </si>
  <si>
    <t>OPTIC_IMG_CHKBRD_OVEREXP_X_X_X_NV_PEQPD_GREEN</t>
  </si>
  <si>
    <t>OPTIC_IMG_INVCHKBRD_OVEREXP_X_X_X_NV_PEQPD_GREEN</t>
  </si>
  <si>
    <t>OPTIC_IMG_XHAIR_OVEREXP_X_X_X_NV_PEQPD_GREEN</t>
  </si>
  <si>
    <t>OPTIC_IMG_GHOST_OVEREXP_X_X_X_NV_PEQPD_GREEN</t>
  </si>
  <si>
    <t>OPTIC_IMG_LOGO_OVEREXP_X_X_X_NV_PEQPD_GREEN</t>
  </si>
  <si>
    <t>OPTIC_IMG_ALLON_OVEREXP_X_X_X_NV_PEQPD_GREEN</t>
  </si>
  <si>
    <t>OPTIC_IMG_CHKBRD_OVEREXP_X_X_X_NV_PEQPD_BLUE</t>
  </si>
  <si>
    <t>OPTIC_IMG_INVCHKBRD_OVEREXP_X_X_X_NV_PEQPD_BLUE</t>
  </si>
  <si>
    <t>OPTIC_IMG_XHAIR_OVEREXP_X_X_X_NV_PEQPD_BLUE</t>
  </si>
  <si>
    <t>OPTIC_IMG_GHOST_OVEREXP_X_X_X_NV_PEQPD_BLUE</t>
  </si>
  <si>
    <t>OPTIC_IMG_LOGO_OVEREXP_X_X_X_NV_PEQPD_BLUE</t>
  </si>
  <si>
    <t>OPTIC_IMG_ALLON_OVEREXP_X_X_X_NV_PEQPD_BLUE</t>
  </si>
  <si>
    <t>OPTIC_CONTRAST_RATIO_OVEREXP_SP1_X_X_NV_PEQPD_RED</t>
  </si>
  <si>
    <t>OPTIC_CONTRAST_RATIO_OVEREXP_SP1_X_X_NV_PEQPD_GREEN</t>
  </si>
  <si>
    <t>OPTIC_CONTRAST_RATIO_OVEREXP_SP1_X_X_NV_PEQPD_BLUE</t>
  </si>
  <si>
    <t>OPTIC_CONTRAST_RATIO_OVEREXP_SP2_X_X_NV_PEQPD_RED</t>
  </si>
  <si>
    <t>OPTIC_CONTRAST_RATIO_OVEREXP_SP2_X_X_NV_PEQPD_GREEN</t>
  </si>
  <si>
    <t>OPTIC_CONTRAST_RATIO_OVEREXP_SP2_X_X_NV_PEQPD_BLUE</t>
  </si>
  <si>
    <t>OPTIC_IMG_FLAG_OVEREXP_X_X_X_NV_PEQPU</t>
  </si>
  <si>
    <t>OPTIC_ANSI_FLAG_OVEREXP_ALLON_X_X_NV_PEQPU_RED</t>
  </si>
  <si>
    <t>OPTIC_ANSI_FLAG_OVEREXP_ALLON_X_X_NV_PEQPU_GREEN</t>
  </si>
  <si>
    <t>OPTIC_ANSI_FLAG_OVEREXP_ALLON_X_X_NV_PEQPU_BLUE</t>
  </si>
  <si>
    <t>OPTIC_ANSI_FLAG_OVEREXP_MARCH_X_X_NV_PEQPU_RED</t>
  </si>
  <si>
    <t>OPTIC_ANSI_FLAG_OVEREXP_MARCH_X_X_NV_PEQPU_GREEN</t>
  </si>
  <si>
    <t>OPTIC_ANSI_FLAG_OVEREXP_MARCH_X_X_NV_PEQPU_BLUE</t>
  </si>
  <si>
    <t>OPTIC_ANSI_FLAG_OVEREXP_1X1_X_X_NV_PEQPU_RED</t>
  </si>
  <si>
    <t>OPTIC_ANSI_FLAG_OVEREXP_1X1_X_X_NV_PEQPU_GREEN</t>
  </si>
  <si>
    <t>OPTIC_ANSI_FLAG_OVEREXP_1X1_X_X_NV_PEQPU_BLUE</t>
  </si>
  <si>
    <t>OPTIC_ANSI_FLAG_OVEREXP_2X2_X_X_NV_PEQPU_RED</t>
  </si>
  <si>
    <t>OPTIC_ANSI_FLAG_OVEREXP_2X2_X_X_NV_PEQPU_GREEN</t>
  </si>
  <si>
    <t>OPTIC_ANSI_FLAG_OVEREXP_2X2_X_X_NV_PEQPU_BLUE</t>
  </si>
  <si>
    <t>OPTIC_ANSI_FLAG_OVEREXP_4X4_X_X_NV_PEQPU_RED</t>
  </si>
  <si>
    <t>OPTIC_ANSI_FLAG_OVEREXP_4X4_X_X_NV_PEQPU_GREEN</t>
  </si>
  <si>
    <t>OPTIC_ANSI_FLAG_OVEREXP_4X4_X_X_NV_PEQPU_BLUE</t>
  </si>
  <si>
    <t>OPTIC_IMG_INVERSE_OVEREXP_X_X_X_NV_PEQPU_RED</t>
  </si>
  <si>
    <t>OPTIC_IMG_MARCH_OVEREXP_X_X_X_NV_PEQPU_RED</t>
  </si>
  <si>
    <t>OPTIC_IMG_CHECKER_OVEREXP_X_X_X_NV_PEQPU_RED</t>
  </si>
  <si>
    <t>OPTIC_IMG_INVCHECKER_OVEREXP_X_X_X_NV_PEQPU_RED</t>
  </si>
  <si>
    <t>OPTIC_IMG_1X1_OVEREXP_X_X_X_NV_PEQPU_RED</t>
  </si>
  <si>
    <t>OPTIC_IMG_2X2_OVEREXP_X_X_X_NV_PEQPU_RED</t>
  </si>
  <si>
    <t>OPTIC_IMG_4X4_OVEREXP_X_X_X_NV_PEQPU_RED</t>
  </si>
  <si>
    <t>OPTIC_IMG_9POINT_OVEREXP_X_X_X_NV_PEQPU_RED</t>
  </si>
  <si>
    <t>OPTIC_IMG_XHAIR_OVEREXP_X_X_X_NV_PEQPU_RED</t>
  </si>
  <si>
    <t>OPTIC_IMG_ALLON_OVEREXP_X_X_X_NV_PEQPU_RED</t>
  </si>
  <si>
    <t>OPTIC_IMG_INVERSE_OVEREXP_X_X_X_NV_PEQPU_GREEN</t>
  </si>
  <si>
    <t>OPTIC_IMG_MARCH_OVEREXP_X_X_X_NV_PEQPU_GREEN</t>
  </si>
  <si>
    <t>OPTIC_IMG_CHECKER_OVEREXP_X_X_X_NV_PEQPU_GREEN</t>
  </si>
  <si>
    <t>OPTIC_IMG_INVCHECKER_OVEREXP_X_X_X_NV_PEQPU_GREEN</t>
  </si>
  <si>
    <t>OPTIC_IMG_1X1_OVEREXP_X_X_X_NV_PEQPU_GREEN</t>
  </si>
  <si>
    <t>OPTIC_IMG_2X2_OVEREXP_X_X_X_NV_PEQPU_GREEN</t>
  </si>
  <si>
    <t>OPTIC_IMG_4X4_OVEREXP_X_X_X_NV_PEQPU_GREEN</t>
  </si>
  <si>
    <t>OPTIC_IMG_9POINT_OVEREXP_X_X_X_NV_PEQPU_GREEN</t>
  </si>
  <si>
    <t>OPTIC_IMG_XHAIR_OVEREXP_X_X_X_NV_PEQPU_GREEN</t>
  </si>
  <si>
    <t>OPTIC_IMG_ALLON_OVEREXP_X_X_X_NV_PEQPU_GREEN</t>
  </si>
  <si>
    <t>OPTIC_IMG_INVERSE_OVEREXP_X_X_X_NV_PEQPU_BLUE</t>
  </si>
  <si>
    <t>OPTIC_IMG_MARCH_OVEREXP_X_X_X_NV_PEQPU_BLUE</t>
  </si>
  <si>
    <t>OPTIC_IMG_CHECKER_OVEREXP_X_X_X_NV_PEQPU_BLUE</t>
  </si>
  <si>
    <t>OPTIC_IMG_INVCHECKER_OVEREXP_X_X_X_NV_PEQPU_BLUE</t>
  </si>
  <si>
    <t>OPTIC_IMG_1X1_OVEREXP_X_X_X_NV_PEQPU_BLUE</t>
  </si>
  <si>
    <t>OPTIC_IMG_2X2_OVEREXP_X_X_X_NV_PEQPU_BLUE</t>
  </si>
  <si>
    <t>OPTIC_IMG_4X4_OVEREXP_X_X_X_NV_PEQPU_BLUE</t>
  </si>
  <si>
    <t>OPTIC_IMG_9POINT_OVEREXP_X_X_X_NV_PEQPU_BLUE</t>
  </si>
  <si>
    <t>OPTIC_IMG_XHAIR_OVEREXP_X_X_X_NV_PEQPU_BLUE</t>
  </si>
  <si>
    <t>OPTIC_IMG_ALLON_OVEREXP_X_X_X_NV_PEQPU_BLUE</t>
  </si>
  <si>
    <t>OPTIC_PLMFGR_FLAG_OVEREXP_X_X_X_X_PEQPU_RED</t>
  </si>
  <si>
    <t>OPTIC_PLMFGR_FLAG_OVEREXP_X_X_X_X_PEQPU_GREEN</t>
  </si>
  <si>
    <t>OPTIC_PLMFGR_FLAG_OVEREXP_X_X_X_X_PEQPU_BLUE</t>
  </si>
  <si>
    <t>OPTIC_PLMFGR_FLAG_OVEREXP1X1_X_X_X_X_PEQPU_RED</t>
  </si>
  <si>
    <t>OPTIC_PLMFGR_FLAG_OVEREXP2X2_X_X_X_X_PEQPU_RED</t>
  </si>
  <si>
    <t>OPTIC_PLMFGR_FLAG_OVEREXP4X4_X_X_X_X_PEQPU_RED</t>
  </si>
  <si>
    <t>OPTIC_PLMFGR_FLAG_OVEREXP1X1_X_X_X_X_PEQPU_GREEN</t>
  </si>
  <si>
    <t>OPTIC_PLMFGR_FLAG_OVEREXP2X2_X_X_X_X_PEQPU_GREEN</t>
  </si>
  <si>
    <t>OPTIC_PLMFGR_FLAG_OVEREXP4X4_X_X_X_X_PEQPU_GREEN</t>
  </si>
  <si>
    <t>OPTIC_PLMFGR_FLAG_OVEREXP1X1_X_X_X_X_PEQPU_BLUE</t>
  </si>
  <si>
    <t>OPTIC_PLMFGR_FLAG_OVEREXP2X2_X_X_X_X_PEQPU_BLUE</t>
  </si>
  <si>
    <t>OPTIC_PLMFGR_FLAG_OVEREXP4X4_X_X_X_X_PEQPU_BLUE</t>
  </si>
  <si>
    <t>OPTIC_SPEC_NDFILTER_CENTER_X_X_X_NV_PEQPD_RED</t>
  </si>
  <si>
    <t>Parameter logging</t>
  </si>
  <si>
    <t>N/A</t>
  </si>
  <si>
    <t>OPTIC_SPEC_EXPTIME_CENTER_X_X_X_NV_PEQPD_RED</t>
  </si>
  <si>
    <t>OPTIC_SPEC_NDFILTER_CENTER_X_X_X_NV_PEQPD_GREEN</t>
  </si>
  <si>
    <t>OPTIC_SPEC_EXPTIME_CENTER_X_X_X_NV_PEQPD_GREEN</t>
  </si>
  <si>
    <t>OPTIC_SPEC_NDFILTER_CENTER_X_X_X_NV_PEQPD_BLUE</t>
  </si>
  <si>
    <t>OPTIC_SPEC_EXPTIME_CENTER_X_X_X_NV_PEQPD_BLUE</t>
  </si>
  <si>
    <t>OPTIC_SPEC_NDFILTER_CENTER_X_X_X_NV_PEQPU_RED</t>
  </si>
  <si>
    <t>OPTIC_SPEC_EXPTIME_CENTER_X_X_X_NV_PEQPU_RED</t>
  </si>
  <si>
    <t>OPTIC_SPEC_NDFILTER_CENTER_X_X_X_NV_PEQPU_GREEN</t>
  </si>
  <si>
    <t>OPTIC_SPEC_EXPTIME_CENTER_X_X_X_NV_PEQPU_GREEN</t>
  </si>
  <si>
    <t>OPTIC_SPEC_NDFILTER_CENTER_X_X_X_NV_PEQPU_BLUE</t>
  </si>
  <si>
    <t>OPTIC_SPEC_EXPTIME_CENTER_X_X_X_NV_PEQPU_BLUE</t>
  </si>
  <si>
    <t>binTable</t>
  </si>
  <si>
    <t>Continuity Functionality Test</t>
  </si>
  <si>
    <t>IO_OS_SINK_ALLIO_FUNC_OS_X_NV_TBCO_RED/GREEN/BLUE</t>
  </si>
  <si>
    <t>Continuity Analog</t>
  </si>
  <si>
    <t>Lower Diode Open</t>
  </si>
  <si>
    <t>Lower Diode Short</t>
  </si>
  <si>
    <t>Functional Fail</t>
  </si>
  <si>
    <t>Most functional fails are genuine but occasionally patterns can fail due to bad contact</t>
  </si>
  <si>
    <t>IO_OS_SOURCE_ALLIO_FUNC_OS_X_NV_TBCO_RED/GREEN/BLUE</t>
  </si>
  <si>
    <t xml:space="preserve">Continuity </t>
  </si>
  <si>
    <t>At sort can choose to retest but normally we don't</t>
  </si>
  <si>
    <t>Any analog test e.g. current, VBG, IBIAS etc</t>
  </si>
  <si>
    <t>OpticalFail</t>
  </si>
  <si>
    <t>Any optical test failing Photometer / Spectrometer</t>
  </si>
  <si>
    <t>Unexpected Bin. Software or file loading Error</t>
  </si>
  <si>
    <t>DC_PWRUP_X_POK18_X_X_X_NV_TBCO_RED/GREEN/BLUE</t>
  </si>
  <si>
    <t>Efuse write</t>
  </si>
  <si>
    <t>Standby Current</t>
  </si>
  <si>
    <t>DC_DARKPANEL_CURRENT_VDD10_avee*_current&amp;_dutyCycle*_NV_TBCO_RED</t>
  </si>
  <si>
    <t>TEMPSNS_STANDBY_THERM0_SPI_VOLT_X_X_NV_TBCO_RED/GREEN/BLUE</t>
  </si>
  <si>
    <t>ANSI - Red</t>
  </si>
  <si>
    <t>Grid Uniformity - Red</t>
  </si>
  <si>
    <t>Wavelength - Red</t>
  </si>
  <si>
    <t>FWHM - Red</t>
  </si>
  <si>
    <t>DeadPixelCntFail - Red</t>
  </si>
  <si>
    <t>Cluster - Red</t>
  </si>
  <si>
    <t>StuckPixel - Red</t>
  </si>
  <si>
    <t>PixelBridge - Red</t>
  </si>
  <si>
    <t>ANSI - Green</t>
  </si>
  <si>
    <t>Grid Uniformity - Green</t>
  </si>
  <si>
    <t>Wavelength - Green</t>
  </si>
  <si>
    <t>FWHM - Green</t>
  </si>
  <si>
    <t>DeadPixelCntFail - Green</t>
  </si>
  <si>
    <t>Cluster - Green</t>
  </si>
  <si>
    <t>StuckPixel - Green</t>
  </si>
  <si>
    <t>PixelBridge - Green</t>
  </si>
  <si>
    <t>ANSI - Blue</t>
  </si>
  <si>
    <t>Grid Uniformity - Blue</t>
  </si>
  <si>
    <t>Wavelength - Blue</t>
  </si>
  <si>
    <t>FWHM - Blue</t>
  </si>
  <si>
    <t>DeadPixelCntFail - Blue</t>
  </si>
  <si>
    <t>Cluster - Blue</t>
  </si>
  <si>
    <t>StuckPixel - Blue</t>
  </si>
  <si>
    <t>PixelBridge - Blue</t>
  </si>
  <si>
    <t>AACrossHairDisplayFail - Red</t>
  </si>
  <si>
    <t>AACrossHairDisplayFail - Green</t>
  </si>
  <si>
    <t>AACrossHairDisplayFail - Blue</t>
  </si>
  <si>
    <t>Contrast - Red</t>
  </si>
  <si>
    <t>Contrast - Green</t>
  </si>
  <si>
    <t>Contrast - Blue</t>
  </si>
  <si>
    <t>PLMFGR Registration</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</si>
</sst>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mmd"/>
    <numFmt numFmtId="165" formatCode="m/d/yyyy"/>
    <numFmt numFmtId="166" formatCode="m/d"/>
  </numFmts>
  <fonts count="32">
    <font>
      <sz val="12.0"/>
      <color theme="1"/>
      <name val="Calibri"/>
      <scheme val="minor"/>
    </font>
    <font>
      <sz val="11.0"/>
      <color theme="1"/>
      <name val="Calibri"/>
    </font>
    <font>
      <u/>
      <sz val="11.0"/>
      <color rgb="FF0000FF"/>
      <name val="Calibri"/>
    </font>
    <font>
      <b/>
      <sz val="11.0"/>
      <color theme="1"/>
      <name val="Calibri"/>
    </font>
    <font>
      <u/>
      <sz val="11.0"/>
      <color rgb="FF1155CC"/>
      <name val="Calibri"/>
    </font>
    <font>
      <sz val="11.0"/>
      <color rgb="FF000000"/>
      <name val="Calibri"/>
    </font>
    <font>
      <u/>
      <sz val="11.0"/>
      <color rgb="FF1155CC"/>
      <name val="Calibri"/>
    </font>
    <font>
      <u/>
      <sz val="11.0"/>
      <color rgb="FF0000FF"/>
      <name val="Calibri"/>
    </font>
    <font>
      <u/>
      <sz val="11.0"/>
      <color rgb="FF0563C1"/>
      <name val="Calibri"/>
    </font>
    <font>
      <color theme="1"/>
      <name val="Calibri"/>
      <scheme val="minor"/>
    </font>
    <font>
      <b/>
      <sz val="10.0"/>
      <color theme="1"/>
      <name val="Calibri"/>
    </font>
    <font>
      <sz val="10.0"/>
      <color theme="1"/>
      <name val="Calibri"/>
    </font>
    <font>
      <sz val="10.0"/>
      <color theme="1"/>
      <name val="Calibri"/>
      <scheme val="minor"/>
    </font>
    <font>
      <sz val="12.0"/>
      <color theme="1"/>
      <name val="Calibri"/>
    </font>
    <font>
      <b/>
      <sz val="24.0"/>
      <color theme="1"/>
      <name val="Calibri"/>
    </font>
    <font>
      <sz val="9.0"/>
      <color theme="1"/>
      <name val="Arial"/>
    </font>
    <font>
      <b/>
      <sz val="9.0"/>
      <color theme="1"/>
      <name val="Arial"/>
    </font>
    <font>
      <b/>
      <sz val="9.0"/>
      <color rgb="FF000000"/>
      <name val="Arial"/>
    </font>
    <font>
      <sz val="9.0"/>
      <color rgb="FF000000"/>
      <name val="Arial"/>
    </font>
    <font/>
    <font>
      <sz val="9.0"/>
      <color rgb="FFFF0000"/>
      <name val="Arial"/>
    </font>
    <font>
      <sz val="6.0"/>
      <color rgb="FF000000"/>
      <name val="Calibri"/>
    </font>
    <font>
      <sz val="9.0"/>
      <color rgb="FFFF9900"/>
      <name val="Arial"/>
    </font>
    <font>
      <sz val="12.0"/>
      <color rgb="FF000000"/>
      <name val="Calibri"/>
    </font>
    <font>
      <sz val="9.0"/>
      <color rgb="FF000000"/>
      <name val="Calibri"/>
    </font>
    <font>
      <sz val="9.0"/>
      <color rgb="FF0432C9"/>
      <name val="Arial"/>
    </font>
    <font>
      <sz val="11.0"/>
      <color rgb="FF000000"/>
      <name val="&quot;Aptos Narrow&quot;"/>
    </font>
    <font>
      <sz val="11.0"/>
      <color rgb="FF000000"/>
      <name val="Arial"/>
    </font>
    <font>
      <sz val="8.0"/>
      <color rgb="FF000000"/>
      <name val="&quot;Optimistic Text&quot;"/>
    </font>
    <font>
      <b/>
      <sz val="12.0"/>
      <color theme="1"/>
      <name val="Calibri"/>
    </font>
    <font>
      <sz val="9.0"/>
      <color rgb="FFFFFFFF"/>
      <name val="Arial"/>
    </font>
    <font>
      <sz val="10.0"/>
      <color rgb="FF000000"/>
      <name val="Calibri"/>
    </font>
  </fonts>
  <fills count="25">
    <fill>
      <patternFill patternType="none"/>
    </fill>
    <fill>
      <patternFill patternType="lightGray"/>
    </fill>
    <fill>
      <patternFill patternType="solid">
        <fgColor rgb="FFFFFFFF"/>
        <bgColor rgb="FFFFFFFF"/>
      </patternFill>
    </fill>
    <fill>
      <patternFill patternType="solid">
        <fgColor rgb="FFD9E2F3"/>
        <bgColor rgb="FFD9E2F3"/>
      </patternFill>
    </fill>
    <fill>
      <patternFill patternType="solid">
        <fgColor theme="0"/>
        <bgColor theme="0"/>
      </patternFill>
    </fill>
    <fill>
      <patternFill patternType="solid">
        <fgColor rgb="FFFF9900"/>
        <bgColor rgb="FFFF9900"/>
      </patternFill>
    </fill>
    <fill>
      <patternFill patternType="solid">
        <fgColor rgb="FFD9D2E9"/>
        <bgColor rgb="FFD9D2E9"/>
      </patternFill>
    </fill>
    <fill>
      <patternFill patternType="solid">
        <fgColor rgb="FFF4CCCC"/>
        <bgColor rgb="FFF4CCCC"/>
      </patternFill>
    </fill>
    <fill>
      <patternFill patternType="solid">
        <fgColor rgb="FFB6D7A8"/>
        <bgColor rgb="FFB6D7A8"/>
      </patternFill>
    </fill>
    <fill>
      <patternFill patternType="solid">
        <fgColor rgb="FFA4C2F4"/>
        <bgColor rgb="FFA4C2F4"/>
      </patternFill>
    </fill>
    <fill>
      <patternFill patternType="solid">
        <fgColor rgb="FFF3F3F3"/>
        <bgColor rgb="FFF3F3F3"/>
      </patternFill>
    </fill>
    <fill>
      <patternFill patternType="solid">
        <fgColor rgb="FFCCCCCC"/>
        <bgColor rgb="FFCCCCCC"/>
      </patternFill>
    </fill>
    <fill>
      <patternFill patternType="solid">
        <fgColor rgb="FFB7B7B7"/>
        <bgColor rgb="FFB7B7B7"/>
      </patternFill>
    </fill>
    <fill>
      <patternFill patternType="solid">
        <fgColor rgb="FFFCE5CD"/>
        <bgColor rgb="FFFCE5CD"/>
      </patternFill>
    </fill>
    <fill>
      <patternFill patternType="solid">
        <fgColor rgb="FFD9EAD3"/>
        <bgColor rgb="FFD9EAD3"/>
      </patternFill>
    </fill>
    <fill>
      <patternFill patternType="solid">
        <fgColor rgb="FFC9DAF8"/>
        <bgColor rgb="FFC9DAF8"/>
      </patternFill>
    </fill>
    <fill>
      <patternFill patternType="solid">
        <fgColor rgb="FFDDEBF7"/>
        <bgColor rgb="FFDDEBF7"/>
      </patternFill>
    </fill>
    <fill>
      <patternFill patternType="solid">
        <fgColor rgb="FFFCE4D6"/>
        <bgColor rgb="FFFCE4D6"/>
      </patternFill>
    </fill>
    <fill>
      <patternFill patternType="solid">
        <fgColor rgb="FFE2EFDA"/>
        <bgColor rgb="FFE2EFDA"/>
      </patternFill>
    </fill>
    <fill>
      <patternFill patternType="solid">
        <fgColor rgb="FFFFFF00"/>
        <bgColor rgb="FFFFFF00"/>
      </patternFill>
    </fill>
    <fill>
      <patternFill patternType="solid">
        <fgColor rgb="FF999999"/>
        <bgColor rgb="FF999999"/>
      </patternFill>
    </fill>
    <fill>
      <patternFill patternType="solid">
        <fgColor rgb="FFFF0000"/>
        <bgColor rgb="FFFF0000"/>
      </patternFill>
    </fill>
    <fill>
      <patternFill patternType="solid">
        <fgColor rgb="FF00FF00"/>
        <bgColor rgb="FF00FF00"/>
      </patternFill>
    </fill>
    <fill>
      <patternFill patternType="solid">
        <fgColor rgb="FF0000FF"/>
        <bgColor rgb="FF0000FF"/>
      </patternFill>
    </fill>
    <fill>
      <patternFill patternType="solid">
        <fgColor rgb="FFEFEFEF"/>
        <bgColor rgb="FFEFEFEF"/>
      </patternFill>
    </fill>
  </fills>
  <borders count="6">
    <border/>
    <border>
      <left/>
      <right/>
      <top/>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277">
    <xf borderId="0" fillId="0" fontId="0" numFmtId="0" xfId="0" applyAlignment="1" applyFont="1">
      <alignment readingOrder="0" shrinkToFit="0" vertical="bottom" wrapText="0"/>
    </xf>
    <xf borderId="0" fillId="2" fontId="1" numFmtId="0" xfId="0" applyAlignment="1" applyFill="1" applyFont="1">
      <alignment vertical="bottom"/>
    </xf>
    <xf borderId="1" fillId="2" fontId="1" numFmtId="0" xfId="0" applyAlignment="1" applyBorder="1" applyFont="1">
      <alignment vertical="bottom"/>
    </xf>
    <xf borderId="2" fillId="2" fontId="2" numFmtId="0" xfId="0" applyAlignment="1" applyBorder="1" applyFont="1">
      <alignment readingOrder="0" vertical="bottom"/>
    </xf>
    <xf borderId="2" fillId="2" fontId="1" numFmtId="0" xfId="0" applyAlignment="1" applyBorder="1" applyFont="1">
      <alignment vertical="bottom"/>
    </xf>
    <xf borderId="2" fillId="3" fontId="3" numFmtId="0" xfId="0" applyAlignment="1" applyBorder="1" applyFill="1" applyFont="1">
      <alignment shrinkToFit="0" vertical="bottom" wrapText="0"/>
    </xf>
    <xf borderId="2" fillId="3" fontId="1" numFmtId="0" xfId="0" applyAlignment="1" applyBorder="1" applyFont="1">
      <alignment readingOrder="0" vertical="bottom"/>
    </xf>
    <xf borderId="2" fillId="3" fontId="1" numFmtId="0" xfId="0" applyAlignment="1" applyBorder="1" applyFont="1">
      <alignment vertical="bottom"/>
    </xf>
    <xf borderId="2" fillId="2" fontId="1" numFmtId="49" xfId="0" applyAlignment="1" applyBorder="1" applyFont="1" applyNumberFormat="1">
      <alignment horizontal="center" readingOrder="0" vertical="center"/>
    </xf>
    <xf borderId="2" fillId="2" fontId="1" numFmtId="164" xfId="0" applyAlignment="1" applyBorder="1" applyFont="1" applyNumberFormat="1">
      <alignment horizontal="center" readingOrder="0" vertical="center"/>
    </xf>
    <xf borderId="2" fillId="2" fontId="1" numFmtId="0" xfId="0" applyAlignment="1" applyBorder="1" applyFont="1">
      <alignment readingOrder="0" shrinkToFit="0" vertical="center" wrapText="0"/>
    </xf>
    <xf borderId="2" fillId="2" fontId="1" numFmtId="0" xfId="0" applyAlignment="1" applyBorder="1" applyFont="1">
      <alignment readingOrder="0" shrinkToFit="0" vertical="bottom" wrapText="1"/>
    </xf>
    <xf borderId="2" fillId="2" fontId="4" numFmtId="0" xfId="0" applyAlignment="1" applyBorder="1" applyFont="1">
      <alignment horizontal="center" readingOrder="0" vertical="center"/>
    </xf>
    <xf borderId="2" fillId="2" fontId="5" numFmtId="0" xfId="0" applyAlignment="1" applyBorder="1" applyFont="1">
      <alignment readingOrder="0" shrinkToFit="0" vertical="center" wrapText="0"/>
    </xf>
    <xf borderId="2" fillId="2" fontId="1" numFmtId="0" xfId="0" applyAlignment="1" applyBorder="1" applyFont="1">
      <alignment horizontal="center" readingOrder="0" vertical="center"/>
    </xf>
    <xf borderId="2" fillId="2" fontId="6" numFmtId="0" xfId="0" applyAlignment="1" applyBorder="1" applyFont="1">
      <alignment readingOrder="0" shrinkToFit="0" vertical="center" wrapText="0"/>
    </xf>
    <xf borderId="2" fillId="2" fontId="1" numFmtId="0" xfId="0" applyAlignment="1" applyBorder="1" applyFont="1">
      <alignment readingOrder="0" vertical="bottom"/>
    </xf>
    <xf borderId="2" fillId="2" fontId="7" numFmtId="0" xfId="0" applyAlignment="1" applyBorder="1" applyFont="1">
      <alignment horizontal="center" readingOrder="0" vertical="center"/>
    </xf>
    <xf borderId="2" fillId="2" fontId="1" numFmtId="49" xfId="0" applyAlignment="1" applyBorder="1" applyFont="1" applyNumberFormat="1">
      <alignment horizontal="center" readingOrder="0" vertical="bottom"/>
    </xf>
    <xf borderId="2" fillId="2" fontId="1" numFmtId="0" xfId="0" applyAlignment="1" applyBorder="1" applyFont="1">
      <alignment horizontal="center" readingOrder="0" vertical="bottom"/>
    </xf>
    <xf borderId="2" fillId="2" fontId="1" numFmtId="0" xfId="0" applyAlignment="1" applyBorder="1" applyFont="1">
      <alignment readingOrder="0" shrinkToFit="0" vertical="bottom" wrapText="0"/>
    </xf>
    <xf borderId="2" fillId="2" fontId="8" numFmtId="0" xfId="0" applyAlignment="1" applyBorder="1" applyFont="1">
      <alignment readingOrder="0" shrinkToFit="0" vertical="bottom" wrapText="1"/>
    </xf>
    <xf borderId="2" fillId="0" fontId="9" numFmtId="0" xfId="0" applyAlignment="1" applyBorder="1" applyFont="1">
      <alignment readingOrder="0"/>
    </xf>
    <xf borderId="2" fillId="2" fontId="1" numFmtId="165" xfId="0" applyAlignment="1" applyBorder="1" applyFont="1" applyNumberFormat="1">
      <alignment readingOrder="0" vertical="bottom"/>
    </xf>
    <xf borderId="2" fillId="0" fontId="9" numFmtId="165" xfId="0" applyAlignment="1" applyBorder="1" applyFont="1" applyNumberFormat="1">
      <alignment readingOrder="0"/>
    </xf>
    <xf borderId="2" fillId="0" fontId="9" numFmtId="0" xfId="0" applyBorder="1" applyFont="1"/>
    <xf borderId="2" fillId="2" fontId="1" numFmtId="0" xfId="0" applyAlignment="1" applyBorder="1" applyFont="1">
      <alignment shrinkToFit="0" vertical="bottom" wrapText="1"/>
    </xf>
    <xf borderId="2" fillId="2" fontId="1" numFmtId="0" xfId="0" applyAlignment="1" applyBorder="1" applyFont="1">
      <alignment vertical="center"/>
    </xf>
    <xf borderId="2" fillId="0" fontId="10" numFmtId="0" xfId="0" applyBorder="1" applyFont="1"/>
    <xf borderId="2" fillId="0" fontId="10" numFmtId="0" xfId="0" applyAlignment="1" applyBorder="1" applyFont="1">
      <alignment readingOrder="0"/>
    </xf>
    <xf borderId="2" fillId="4" fontId="11" numFmtId="0" xfId="0" applyAlignment="1" applyBorder="1" applyFill="1" applyFont="1">
      <alignment horizontal="center"/>
    </xf>
    <xf borderId="2" fillId="4" fontId="11" numFmtId="0" xfId="0" applyBorder="1" applyFont="1"/>
    <xf borderId="2" fillId="0" fontId="11" numFmtId="0" xfId="0" applyBorder="1" applyFont="1"/>
    <xf borderId="2" fillId="4" fontId="11" numFmtId="0" xfId="0" applyAlignment="1" applyBorder="1" applyFont="1">
      <alignment shrinkToFit="0" wrapText="1"/>
    </xf>
    <xf borderId="2" fillId="4" fontId="11" numFmtId="0" xfId="0" applyAlignment="1" applyBorder="1" applyFont="1">
      <alignment readingOrder="0"/>
    </xf>
    <xf borderId="2" fillId="4" fontId="11" numFmtId="0" xfId="0" applyAlignment="1" applyBorder="1" applyFont="1">
      <alignment readingOrder="0" shrinkToFit="0" wrapText="1"/>
    </xf>
    <xf borderId="2" fillId="4" fontId="11" numFmtId="0" xfId="0" applyAlignment="1" applyBorder="1" applyFont="1">
      <alignment horizontal="center" readingOrder="0"/>
    </xf>
    <xf borderId="2" fillId="0" fontId="12" numFmtId="0" xfId="0" applyAlignment="1" applyBorder="1" applyFont="1">
      <alignment readingOrder="0"/>
    </xf>
    <xf borderId="2" fillId="0" fontId="11" numFmtId="0" xfId="0" applyAlignment="1" applyBorder="1" applyFont="1">
      <alignment horizontal="left" readingOrder="0" vertical="center"/>
    </xf>
    <xf borderId="2" fillId="0" fontId="12" numFmtId="0" xfId="0" applyBorder="1" applyFont="1"/>
    <xf borderId="2" fillId="0" fontId="11" numFmtId="0" xfId="0" applyAlignment="1" applyBorder="1" applyFont="1">
      <alignment readingOrder="0" shrinkToFit="0" vertical="top" wrapText="1"/>
    </xf>
    <xf borderId="0" fillId="5" fontId="13" numFmtId="0" xfId="0" applyAlignment="1" applyFill="1" applyFont="1">
      <alignment vertical="bottom"/>
    </xf>
    <xf borderId="0" fillId="5" fontId="14" numFmtId="0" xfId="0" applyAlignment="1" applyFont="1">
      <alignment readingOrder="0"/>
    </xf>
    <xf borderId="0" fillId="6" fontId="9" numFmtId="0" xfId="0" applyAlignment="1" applyFill="1" applyFont="1">
      <alignment readingOrder="0"/>
    </xf>
    <xf borderId="0" fillId="6" fontId="9" numFmtId="0" xfId="0" applyFont="1"/>
    <xf borderId="0" fillId="6" fontId="14" numFmtId="0" xfId="0" applyAlignment="1" applyFont="1">
      <alignment readingOrder="0"/>
    </xf>
    <xf borderId="2" fillId="0" fontId="15" numFmtId="0" xfId="0" applyBorder="1" applyFont="1"/>
    <xf borderId="2" fillId="0" fontId="16" numFmtId="0" xfId="0" applyAlignment="1" applyBorder="1" applyFont="1">
      <alignment horizontal="left" shrinkToFit="0" vertical="center" wrapText="1"/>
    </xf>
    <xf borderId="2" fillId="0" fontId="17" numFmtId="0" xfId="0" applyAlignment="1" applyBorder="1" applyFont="1">
      <alignment horizontal="left" readingOrder="0" shrinkToFit="0" vertical="center" wrapText="0"/>
    </xf>
    <xf borderId="2" fillId="0" fontId="17" numFmtId="0" xfId="0" applyAlignment="1" applyBorder="1" applyFont="1">
      <alignment horizontal="center" readingOrder="0" shrinkToFit="0" vertical="center" wrapText="0"/>
    </xf>
    <xf borderId="2" fillId="0" fontId="16" numFmtId="0" xfId="0" applyAlignment="1" applyBorder="1" applyFont="1">
      <alignment horizontal="center" readingOrder="0" vertical="center"/>
    </xf>
    <xf borderId="0" fillId="0" fontId="9" numFmtId="0" xfId="0" applyAlignment="1" applyFont="1">
      <alignment readingOrder="0"/>
    </xf>
    <xf borderId="3" fillId="0" fontId="16" numFmtId="0" xfId="0" applyAlignment="1" applyBorder="1" applyFont="1">
      <alignment vertical="top"/>
    </xf>
    <xf borderId="2" fillId="0" fontId="18" numFmtId="0" xfId="0" applyAlignment="1" applyBorder="1" applyFont="1">
      <alignment horizontal="left" readingOrder="0" shrinkToFit="0" vertical="center" wrapText="1"/>
    </xf>
    <xf borderId="2" fillId="0" fontId="18" numFmtId="0" xfId="0" applyAlignment="1" applyBorder="1" applyFont="1">
      <alignment horizontal="left" readingOrder="0" vertical="center"/>
    </xf>
    <xf borderId="2" fillId="0" fontId="18" numFmtId="0" xfId="0" applyAlignment="1" applyBorder="1" applyFont="1">
      <alignment horizontal="center" readingOrder="0" shrinkToFit="0" vertical="center" wrapText="0"/>
    </xf>
    <xf borderId="2" fillId="0" fontId="18" numFmtId="166" xfId="0" applyAlignment="1" applyBorder="1" applyFont="1" applyNumberFormat="1">
      <alignment horizontal="center" readingOrder="0" shrinkToFit="0" vertical="center" wrapText="0"/>
    </xf>
    <xf borderId="2" fillId="0" fontId="16" numFmtId="0" xfId="0" applyAlignment="1" applyBorder="1" applyFont="1">
      <alignment horizontal="center" vertical="center"/>
    </xf>
    <xf borderId="2" fillId="2" fontId="16" numFmtId="0" xfId="0" applyAlignment="1" applyBorder="1" applyFont="1">
      <alignment horizontal="center" vertical="center"/>
    </xf>
    <xf borderId="4" fillId="0" fontId="19" numFmtId="0" xfId="0" applyBorder="1" applyFont="1"/>
    <xf borderId="2" fillId="0" fontId="18" numFmtId="0" xfId="0" applyAlignment="1" applyBorder="1" applyFont="1">
      <alignment horizontal="left" readingOrder="0" shrinkToFit="0" vertical="center" wrapText="0"/>
    </xf>
    <xf borderId="2" fillId="0" fontId="18" numFmtId="1" xfId="0" applyAlignment="1" applyBorder="1" applyFont="1" applyNumberFormat="1">
      <alignment horizontal="center" readingOrder="0" shrinkToFit="0" vertical="center" wrapText="0"/>
    </xf>
    <xf borderId="2" fillId="0" fontId="15" numFmtId="0" xfId="0" applyAlignment="1" applyBorder="1" applyFont="1">
      <alignment shrinkToFit="0" wrapText="1"/>
    </xf>
    <xf borderId="2" fillId="0" fontId="15" numFmtId="0" xfId="0" applyBorder="1" applyFont="1"/>
    <xf borderId="2" fillId="0" fontId="13" numFmtId="0" xfId="0" applyBorder="1" applyFont="1"/>
    <xf borderId="2" fillId="0" fontId="15" numFmtId="0" xfId="0" applyAlignment="1" applyBorder="1" applyFont="1">
      <alignment horizontal="center"/>
    </xf>
    <xf borderId="2" fillId="0" fontId="18" numFmtId="0" xfId="0" applyAlignment="1" applyBorder="1" applyFont="1">
      <alignment horizontal="center" readingOrder="0" shrinkToFit="0" vertical="center" wrapText="1"/>
    </xf>
    <xf borderId="2" fillId="0" fontId="18" numFmtId="0" xfId="0" applyAlignment="1" applyBorder="1" applyFont="1">
      <alignment horizontal="center" readingOrder="0" vertical="center"/>
    </xf>
    <xf borderId="2" fillId="7" fontId="18" numFmtId="0" xfId="0" applyAlignment="1" applyBorder="1" applyFill="1" applyFont="1">
      <alignment horizontal="left" readingOrder="0" shrinkToFit="0" vertical="center" wrapText="1"/>
    </xf>
    <xf borderId="2" fillId="8" fontId="18" numFmtId="0" xfId="0" applyAlignment="1" applyBorder="1" applyFill="1" applyFont="1">
      <alignment horizontal="left" readingOrder="0" shrinkToFit="0" vertical="center" wrapText="1"/>
    </xf>
    <xf borderId="2" fillId="9" fontId="18" numFmtId="0" xfId="0" applyAlignment="1" applyBorder="1" applyFill="1" applyFont="1">
      <alignment horizontal="left" readingOrder="0" shrinkToFit="0" vertical="center" wrapText="1"/>
    </xf>
    <xf borderId="2" fillId="0" fontId="15" numFmtId="0" xfId="0" applyAlignment="1" applyBorder="1" applyFont="1">
      <alignment readingOrder="0" shrinkToFit="0" wrapText="1"/>
    </xf>
    <xf borderId="2" fillId="0" fontId="15" numFmtId="0" xfId="0" applyAlignment="1" applyBorder="1" applyFont="1">
      <alignment horizontal="center" readingOrder="0"/>
    </xf>
    <xf borderId="5" fillId="0" fontId="19" numFmtId="0" xfId="0" applyBorder="1" applyFont="1"/>
    <xf borderId="3" fillId="10" fontId="16" numFmtId="0" xfId="0" applyAlignment="1" applyBorder="1" applyFill="1" applyFont="1">
      <alignment vertical="top"/>
    </xf>
    <xf borderId="2" fillId="10" fontId="18" numFmtId="0" xfId="0" applyAlignment="1" applyBorder="1" applyFont="1">
      <alignment horizontal="left" readingOrder="0" shrinkToFit="0" vertical="center" wrapText="1"/>
    </xf>
    <xf borderId="2" fillId="10" fontId="18" numFmtId="0" xfId="0" applyAlignment="1" applyBorder="1" applyFont="1">
      <alignment horizontal="left" readingOrder="0" vertical="center"/>
    </xf>
    <xf borderId="2" fillId="10" fontId="18" numFmtId="0" xfId="0" applyAlignment="1" applyBorder="1" applyFont="1">
      <alignment horizontal="center" readingOrder="0" shrinkToFit="0" vertical="center" wrapText="0"/>
    </xf>
    <xf borderId="2" fillId="10" fontId="18" numFmtId="0" xfId="0" applyAlignment="1" applyBorder="1" applyFont="1">
      <alignment horizontal="center" readingOrder="0" vertical="center"/>
    </xf>
    <xf borderId="2" fillId="10" fontId="16" numFmtId="0" xfId="0" applyAlignment="1" applyBorder="1" applyFont="1">
      <alignment horizontal="center" vertical="center"/>
    </xf>
    <xf borderId="4" fillId="0" fontId="16" numFmtId="0" xfId="0" applyAlignment="1" applyBorder="1" applyFont="1">
      <alignment readingOrder="0" vertical="top"/>
    </xf>
    <xf borderId="3" fillId="10" fontId="16" numFmtId="0" xfId="0" applyAlignment="1" applyBorder="1" applyFont="1">
      <alignment vertical="top"/>
    </xf>
    <xf borderId="2" fillId="0" fontId="16" numFmtId="0" xfId="0" applyAlignment="1" applyBorder="1" applyFont="1">
      <alignment shrinkToFit="0" vertical="bottom" wrapText="1"/>
    </xf>
    <xf borderId="2" fillId="0" fontId="16" numFmtId="49" xfId="0" applyAlignment="1" applyBorder="1" applyFont="1" applyNumberFormat="1">
      <alignment shrinkToFit="0" vertical="bottom" wrapText="1"/>
    </xf>
    <xf borderId="0" fillId="0" fontId="11" numFmtId="0" xfId="0" applyFont="1"/>
    <xf borderId="2" fillId="0" fontId="15" numFmtId="0" xfId="0" applyAlignment="1" applyBorder="1" applyFont="1">
      <alignment shrinkToFit="0" vertical="bottom" wrapText="1"/>
    </xf>
    <xf borderId="3" fillId="0" fontId="15" numFmtId="0" xfId="0" applyAlignment="1" applyBorder="1" applyFont="1">
      <alignment shrinkToFit="0" vertical="bottom" wrapText="1"/>
    </xf>
    <xf borderId="2" fillId="0" fontId="20" numFmtId="49" xfId="0" applyAlignment="1" applyBorder="1" applyFont="1" applyNumberFormat="1">
      <alignment readingOrder="0" shrinkToFit="0" vertical="bottom" wrapText="1"/>
    </xf>
    <xf borderId="2" fillId="0" fontId="15" numFmtId="0" xfId="0" applyAlignment="1" applyBorder="1" applyFont="1">
      <alignment vertical="top"/>
    </xf>
    <xf borderId="0" fillId="0" fontId="10" numFmtId="0" xfId="0" applyAlignment="1" applyFont="1">
      <alignment readingOrder="0"/>
    </xf>
    <xf borderId="0" fillId="0" fontId="5" numFmtId="0" xfId="0" applyAlignment="1" applyFont="1">
      <alignment horizontal="right" readingOrder="0" shrinkToFit="0" vertical="bottom" wrapText="0"/>
    </xf>
    <xf borderId="2" fillId="0" fontId="15" numFmtId="49" xfId="0" applyAlignment="1" applyBorder="1" applyFont="1" applyNumberFormat="1">
      <alignment readingOrder="0" shrinkToFit="0" vertical="bottom" wrapText="1"/>
    </xf>
    <xf borderId="2" fillId="0" fontId="15" numFmtId="49" xfId="0" applyAlignment="1" applyBorder="1" applyFont="1" applyNumberFormat="1">
      <alignment shrinkToFit="0" vertical="bottom" wrapText="1"/>
    </xf>
    <xf borderId="2" fillId="0" fontId="15" numFmtId="0" xfId="0" applyAlignment="1" applyBorder="1" applyFont="1">
      <alignment vertical="bottom"/>
    </xf>
    <xf borderId="2" fillId="0" fontId="15" numFmtId="49" xfId="0" applyAlignment="1" applyBorder="1" applyFont="1" applyNumberFormat="1">
      <alignment vertical="top"/>
    </xf>
    <xf borderId="2" fillId="0" fontId="15" numFmtId="49" xfId="0" applyAlignment="1" applyBorder="1" applyFont="1" applyNumberFormat="1">
      <alignment readingOrder="0" vertical="top"/>
    </xf>
    <xf borderId="2" fillId="0" fontId="21" numFmtId="49" xfId="0" applyAlignment="1" applyBorder="1" applyFont="1" applyNumberFormat="1">
      <alignment horizontal="center" readingOrder="0" shrinkToFit="0" wrapText="1"/>
    </xf>
    <xf borderId="2" fillId="0" fontId="15" numFmtId="0" xfId="0" applyAlignment="1" applyBorder="1" applyFont="1">
      <alignment readingOrder="0" vertical="top"/>
    </xf>
    <xf borderId="2" fillId="0" fontId="15" numFmtId="0" xfId="0" applyAlignment="1" applyBorder="1" applyFont="1">
      <alignment readingOrder="0" shrinkToFit="0" vertical="bottom" wrapText="1"/>
    </xf>
    <xf borderId="0" fillId="0" fontId="12" numFmtId="0" xfId="0" applyAlignment="1" applyFont="1">
      <alignment horizontal="left" readingOrder="0" vertical="center"/>
    </xf>
    <xf borderId="2" fillId="0" fontId="15" numFmtId="49" xfId="0" applyAlignment="1" applyBorder="1" applyFont="1" applyNumberFormat="1">
      <alignment vertical="bottom"/>
    </xf>
    <xf borderId="2" fillId="11" fontId="15" numFmtId="49" xfId="0" applyAlignment="1" applyBorder="1" applyFill="1" applyFont="1" applyNumberFormat="1">
      <alignment readingOrder="0" shrinkToFit="0" vertical="bottom" wrapText="1"/>
    </xf>
    <xf borderId="2" fillId="0" fontId="16" numFmtId="49" xfId="0" applyAlignment="1" applyBorder="1" applyFont="1" applyNumberFormat="1">
      <alignment readingOrder="0" shrinkToFit="0" vertical="bottom" wrapText="1"/>
    </xf>
    <xf borderId="2" fillId="0" fontId="16" numFmtId="49" xfId="0" applyAlignment="1" applyBorder="1" applyFont="1" applyNumberFormat="1">
      <alignment readingOrder="0" vertical="bottom"/>
    </xf>
    <xf borderId="2" fillId="0" fontId="15" numFmtId="49" xfId="0" applyAlignment="1" applyBorder="1" applyFont="1" applyNumberFormat="1">
      <alignment readingOrder="0" vertical="bottom"/>
    </xf>
    <xf borderId="2" fillId="0" fontId="15" numFmtId="0" xfId="0" applyAlignment="1" applyBorder="1" applyFont="1">
      <alignment readingOrder="0" vertical="bottom"/>
    </xf>
    <xf borderId="2" fillId="0" fontId="18" numFmtId="0" xfId="0" applyAlignment="1" applyBorder="1" applyFont="1">
      <alignment readingOrder="0" vertical="bottom"/>
    </xf>
    <xf borderId="3" fillId="0" fontId="15" numFmtId="0" xfId="0" applyAlignment="1" applyBorder="1" applyFont="1">
      <alignment readingOrder="0" shrinkToFit="0" vertical="bottom" wrapText="1"/>
    </xf>
    <xf borderId="2" fillId="0" fontId="18" numFmtId="0" xfId="0" applyAlignment="1" applyBorder="1" applyFont="1">
      <alignment shrinkToFit="0" vertical="bottom" wrapText="1"/>
    </xf>
    <xf borderId="2" fillId="0" fontId="16" numFmtId="0" xfId="0" applyAlignment="1" applyBorder="1" applyFont="1">
      <alignment readingOrder="0" shrinkToFit="0" vertical="bottom" wrapText="1"/>
    </xf>
    <xf borderId="2" fillId="0" fontId="17" numFmtId="0" xfId="0" applyAlignment="1" applyBorder="1" applyFont="1">
      <alignment readingOrder="0" shrinkToFit="0" vertical="bottom" wrapText="1"/>
    </xf>
    <xf borderId="2" fillId="0" fontId="13" numFmtId="49" xfId="0" applyAlignment="1" applyBorder="1" applyFont="1" applyNumberFormat="1">
      <alignment vertical="bottom"/>
    </xf>
    <xf borderId="2" fillId="12" fontId="18" numFmtId="0" xfId="0" applyAlignment="1" applyBorder="1" applyFill="1" applyFont="1">
      <alignment readingOrder="0" shrinkToFit="0" vertical="bottom" wrapText="1"/>
    </xf>
    <xf borderId="2" fillId="0" fontId="18" numFmtId="0" xfId="0" applyAlignment="1" applyBorder="1" applyFont="1">
      <alignment readingOrder="0" shrinkToFit="0" vertical="bottom" wrapText="1"/>
    </xf>
    <xf borderId="2" fillId="11" fontId="18" numFmtId="0" xfId="0" applyAlignment="1" applyBorder="1" applyFont="1">
      <alignment readingOrder="0" shrinkToFit="0" vertical="bottom" wrapText="1"/>
    </xf>
    <xf borderId="2" fillId="0" fontId="13" numFmtId="0" xfId="0" applyAlignment="1" applyBorder="1" applyFont="1">
      <alignment vertical="bottom"/>
    </xf>
    <xf borderId="2" fillId="0" fontId="13" numFmtId="0" xfId="0" applyAlignment="1" applyBorder="1" applyFont="1">
      <alignment vertical="top"/>
    </xf>
    <xf borderId="2" fillId="0" fontId="15" numFmtId="0" xfId="0" applyAlignment="1" applyBorder="1" applyFont="1">
      <alignment horizontal="right" readingOrder="0" vertical="bottom"/>
    </xf>
    <xf borderId="2" fillId="12" fontId="15" numFmtId="0" xfId="0" applyAlignment="1" applyBorder="1" applyFont="1">
      <alignment shrinkToFit="0" vertical="bottom" wrapText="1"/>
    </xf>
    <xf borderId="0" fillId="13" fontId="11" numFmtId="0" xfId="0" applyFill="1" applyFont="1"/>
    <xf borderId="0" fillId="7" fontId="11" numFmtId="0" xfId="0" applyFont="1"/>
    <xf borderId="0" fillId="0" fontId="11" numFmtId="0" xfId="0" applyAlignment="1" applyFont="1">
      <alignment horizontal="left"/>
    </xf>
    <xf borderId="0" fillId="4" fontId="11" numFmtId="0" xfId="0" applyFont="1"/>
    <xf borderId="0" fillId="14" fontId="11" numFmtId="0" xfId="0" applyFill="1" applyFont="1"/>
    <xf borderId="2" fillId="0" fontId="22" numFmtId="0" xfId="0" applyAlignment="1" applyBorder="1" applyFont="1">
      <alignment shrinkToFit="0" vertical="bottom" wrapText="1"/>
    </xf>
    <xf borderId="0" fillId="0" fontId="15" numFmtId="0" xfId="0" applyAlignment="1" applyFont="1">
      <alignment horizontal="left" readingOrder="0" vertical="center"/>
    </xf>
    <xf borderId="0" fillId="0" fontId="15" numFmtId="49" xfId="0" applyAlignment="1" applyFont="1" applyNumberFormat="1">
      <alignment horizontal="left" readingOrder="0" vertical="center"/>
    </xf>
    <xf borderId="0" fillId="15" fontId="11" numFmtId="0" xfId="0" applyFill="1" applyFont="1"/>
    <xf borderId="2" fillId="0" fontId="16" numFmtId="0" xfId="0" applyAlignment="1" applyBorder="1" applyFont="1">
      <alignment horizontal="left" shrinkToFit="0" vertical="bottom" wrapText="1"/>
    </xf>
    <xf borderId="2" fillId="0" fontId="18" numFmtId="0" xfId="0" applyAlignment="1" applyBorder="1" applyFont="1">
      <alignment horizontal="left" readingOrder="0" vertical="bottom"/>
    </xf>
    <xf borderId="3" fillId="0" fontId="18" numFmtId="0" xfId="0" applyAlignment="1" applyBorder="1" applyFont="1">
      <alignment readingOrder="0" vertical="bottom"/>
    </xf>
    <xf borderId="2" fillId="0" fontId="20" numFmtId="49" xfId="0" applyAlignment="1" applyBorder="1" applyFont="1" applyNumberFormat="1">
      <alignment horizontal="center" readingOrder="0"/>
    </xf>
    <xf borderId="2" fillId="0" fontId="20" numFmtId="49" xfId="0" applyAlignment="1" applyBorder="1" applyFont="1" applyNumberFormat="1">
      <alignment horizontal="center"/>
    </xf>
    <xf borderId="2" fillId="0" fontId="18" numFmtId="0" xfId="0" applyAlignment="1" applyBorder="1" applyFont="1">
      <alignment shrinkToFit="0" vertical="top" wrapText="0"/>
    </xf>
    <xf borderId="2" fillId="0" fontId="18" numFmtId="0" xfId="0" applyAlignment="1" applyBorder="1" applyFont="1">
      <alignment vertical="bottom"/>
    </xf>
    <xf borderId="2" fillId="7" fontId="18" numFmtId="0" xfId="0" applyAlignment="1" applyBorder="1" applyFont="1">
      <alignment readingOrder="0" vertical="bottom"/>
    </xf>
    <xf borderId="2" fillId="14" fontId="18" numFmtId="0" xfId="0" applyAlignment="1" applyBorder="1" applyFont="1">
      <alignment readingOrder="0" vertical="bottom"/>
    </xf>
    <xf borderId="2" fillId="15" fontId="18" numFmtId="0" xfId="0" applyAlignment="1" applyBorder="1" applyFont="1">
      <alignment readingOrder="0" vertical="bottom"/>
    </xf>
    <xf borderId="2" fillId="2" fontId="18" numFmtId="0" xfId="0" applyAlignment="1" applyBorder="1" applyFont="1">
      <alignment horizontal="left" readingOrder="0" vertical="bottom"/>
    </xf>
    <xf borderId="2" fillId="2" fontId="18" numFmtId="0" xfId="0" applyAlignment="1" applyBorder="1" applyFont="1">
      <alignment readingOrder="0" vertical="bottom"/>
    </xf>
    <xf borderId="2" fillId="2" fontId="18" numFmtId="0" xfId="0" applyAlignment="1" applyBorder="1" applyFont="1">
      <alignment vertical="bottom"/>
    </xf>
    <xf borderId="2" fillId="2" fontId="20" numFmtId="49" xfId="0" applyAlignment="1" applyBorder="1" applyFont="1" applyNumberFormat="1">
      <alignment horizontal="center"/>
    </xf>
    <xf borderId="2" fillId="2" fontId="20" numFmtId="49" xfId="0" applyAlignment="1" applyBorder="1" applyFont="1" applyNumberFormat="1">
      <alignment horizontal="center" readingOrder="0"/>
    </xf>
    <xf borderId="2" fillId="2" fontId="18" numFmtId="0" xfId="0" applyAlignment="1" applyBorder="1" applyFont="1">
      <alignment readingOrder="0" shrinkToFit="0" vertical="top" wrapText="0"/>
    </xf>
    <xf borderId="0" fillId="2" fontId="10" numFmtId="0" xfId="0" applyAlignment="1" applyFont="1">
      <alignment readingOrder="0"/>
    </xf>
    <xf borderId="0" fillId="2" fontId="9" numFmtId="0" xfId="0" applyFont="1"/>
    <xf borderId="0" fillId="2" fontId="11" numFmtId="0" xfId="0" applyFont="1"/>
    <xf borderId="2" fillId="0" fontId="18" numFmtId="0" xfId="0" applyAlignment="1" applyBorder="1" applyFont="1">
      <alignment readingOrder="0" shrinkToFit="0" vertical="top" wrapText="0"/>
    </xf>
    <xf borderId="2" fillId="0" fontId="23" numFmtId="49" xfId="0" applyAlignment="1" applyBorder="1" applyFont="1" applyNumberFormat="1">
      <alignment horizontal="center" shrinkToFit="0" wrapText="0"/>
    </xf>
    <xf borderId="2" fillId="0" fontId="20" numFmtId="0" xfId="0" applyAlignment="1" applyBorder="1" applyFont="1">
      <alignment horizontal="center"/>
    </xf>
    <xf borderId="2" fillId="0" fontId="18" numFmtId="0" xfId="0" applyAlignment="1" applyBorder="1" applyFont="1">
      <alignment readingOrder="0" shrinkToFit="0" vertical="top" wrapText="0"/>
    </xf>
    <xf borderId="2" fillId="0" fontId="15" numFmtId="0" xfId="0" applyAlignment="1" applyBorder="1" applyFont="1">
      <alignment horizontal="left" vertical="bottom"/>
    </xf>
    <xf borderId="2" fillId="7" fontId="15" numFmtId="0" xfId="0" applyAlignment="1" applyBorder="1" applyFont="1">
      <alignment readingOrder="0" vertical="bottom"/>
    </xf>
    <xf borderId="2" fillId="0" fontId="18" numFmtId="0" xfId="0" applyAlignment="1" applyBorder="1" applyFont="1">
      <alignment readingOrder="0" vertical="bottom"/>
    </xf>
    <xf borderId="2" fillId="0" fontId="23" numFmtId="0" xfId="0" applyAlignment="1" applyBorder="1" applyFont="1">
      <alignment shrinkToFit="0" vertical="bottom" wrapText="0"/>
    </xf>
    <xf borderId="2" fillId="0" fontId="23" numFmtId="0" xfId="0" applyAlignment="1" applyBorder="1" applyFont="1">
      <alignment shrinkToFit="0" vertical="bottom" wrapText="0"/>
    </xf>
    <xf borderId="2" fillId="0" fontId="18" numFmtId="49" xfId="0" applyAlignment="1" applyBorder="1" applyFont="1" applyNumberFormat="1">
      <alignment horizontal="center" readingOrder="0"/>
    </xf>
    <xf borderId="2" fillId="0" fontId="23" numFmtId="49" xfId="0" applyAlignment="1" applyBorder="1" applyFont="1" applyNumberFormat="1">
      <alignment horizontal="center" readingOrder="0"/>
    </xf>
    <xf borderId="2" fillId="0" fontId="23" numFmtId="49" xfId="0" applyAlignment="1" applyBorder="1" applyFont="1" applyNumberFormat="1">
      <alignment horizontal="center" readingOrder="0"/>
    </xf>
    <xf borderId="2" fillId="0" fontId="18" numFmtId="0" xfId="0" applyAlignment="1" applyBorder="1" applyFont="1">
      <alignment shrinkToFit="0" vertical="bottom" wrapText="0"/>
    </xf>
    <xf borderId="2" fillId="0" fontId="18" numFmtId="49" xfId="0" applyAlignment="1" applyBorder="1" applyFont="1" applyNumberFormat="1">
      <alignment horizontal="center" readingOrder="0"/>
    </xf>
    <xf borderId="2" fillId="0" fontId="18" numFmtId="0" xfId="0" applyAlignment="1" applyBorder="1" applyFont="1">
      <alignment shrinkToFit="0" vertical="top" wrapText="0"/>
    </xf>
    <xf borderId="2" fillId="0" fontId="18" numFmtId="49" xfId="0" applyAlignment="1" applyBorder="1" applyFont="1" applyNumberFormat="1">
      <alignment horizontal="center" readingOrder="0" shrinkToFit="0" wrapText="0"/>
    </xf>
    <xf borderId="2" fillId="0" fontId="24" numFmtId="49" xfId="0" applyAlignment="1" applyBorder="1" applyFont="1" applyNumberFormat="1">
      <alignment horizontal="center" readingOrder="0"/>
    </xf>
    <xf borderId="2" fillId="0" fontId="24" numFmtId="49" xfId="0" applyAlignment="1" applyBorder="1" applyFont="1" applyNumberFormat="1">
      <alignment horizontal="center"/>
    </xf>
    <xf borderId="4" fillId="0" fontId="18" numFmtId="0" xfId="0" applyAlignment="1" applyBorder="1" applyFont="1">
      <alignment readingOrder="0" vertical="bottom"/>
    </xf>
    <xf borderId="2" fillId="16" fontId="25" numFmtId="0" xfId="0" applyAlignment="1" applyBorder="1" applyFill="1" applyFont="1">
      <alignment readingOrder="0" shrinkToFit="0" vertical="bottom" wrapText="0"/>
    </xf>
    <xf borderId="2" fillId="17" fontId="25" numFmtId="0" xfId="0" applyAlignment="1" applyBorder="1" applyFill="1" applyFont="1">
      <alignment readingOrder="0" shrinkToFit="0" vertical="bottom" wrapText="0"/>
    </xf>
    <xf borderId="2" fillId="18" fontId="25" numFmtId="0" xfId="0" applyAlignment="1" applyBorder="1" applyFill="1" applyFont="1">
      <alignment readingOrder="0" shrinkToFit="0" vertical="bottom" wrapText="0"/>
    </xf>
    <xf borderId="2" fillId="0" fontId="18" numFmtId="49" xfId="0" applyAlignment="1" applyBorder="1" applyFont="1" applyNumberFormat="1">
      <alignment shrinkToFit="0" vertical="top" wrapText="0"/>
    </xf>
    <xf borderId="2" fillId="0" fontId="24" numFmtId="49" xfId="0" applyAlignment="1" applyBorder="1" applyFont="1" applyNumberFormat="1">
      <alignment horizontal="center" readingOrder="0" vertical="bottom"/>
    </xf>
    <xf borderId="2" fillId="0" fontId="18" numFmtId="49" xfId="0" applyAlignment="1" applyBorder="1" applyFont="1" applyNumberFormat="1">
      <alignment readingOrder="0" shrinkToFit="0" vertical="top" wrapText="0"/>
    </xf>
    <xf borderId="2" fillId="0" fontId="18" numFmtId="49" xfId="0" applyAlignment="1" applyBorder="1" applyFont="1" applyNumberFormat="1">
      <alignment vertical="bottom"/>
    </xf>
    <xf borderId="2" fillId="0" fontId="18" numFmtId="49" xfId="0" applyAlignment="1" applyBorder="1" applyFont="1" applyNumberFormat="1">
      <alignment horizontal="center" shrinkToFit="0" wrapText="0"/>
    </xf>
    <xf borderId="2" fillId="0" fontId="24" numFmtId="49" xfId="0" applyAlignment="1" applyBorder="1" applyFont="1" applyNumberFormat="1">
      <alignment horizontal="center"/>
    </xf>
    <xf borderId="2" fillId="0" fontId="18" numFmtId="0" xfId="0" applyAlignment="1" applyBorder="1" applyFont="1">
      <alignment shrinkToFit="0" vertical="top" wrapText="0"/>
    </xf>
    <xf borderId="2" fillId="0" fontId="18" numFmtId="49" xfId="0" applyAlignment="1" applyBorder="1" applyFont="1" applyNumberFormat="1">
      <alignment readingOrder="0" vertical="bottom"/>
    </xf>
    <xf borderId="2" fillId="0" fontId="18" numFmtId="0" xfId="0" applyAlignment="1" applyBorder="1" applyFont="1">
      <alignment vertical="bottom"/>
    </xf>
    <xf borderId="2" fillId="0" fontId="18" numFmtId="49" xfId="0" applyAlignment="1" applyBorder="1" applyFont="1" applyNumberFormat="1">
      <alignment shrinkToFit="0" vertical="bottom" wrapText="0"/>
    </xf>
    <xf borderId="2" fillId="0" fontId="18" numFmtId="49" xfId="0" applyAlignment="1" applyBorder="1" applyFont="1" applyNumberFormat="1">
      <alignment readingOrder="0" shrinkToFit="0" vertical="bottom" wrapText="0"/>
    </xf>
    <xf borderId="2" fillId="0" fontId="18" numFmtId="49" xfId="0" applyAlignment="1" applyBorder="1" applyFont="1" applyNumberFormat="1">
      <alignment readingOrder="0" vertical="bottom"/>
    </xf>
    <xf borderId="2" fillId="0" fontId="18" numFmtId="0" xfId="0" applyAlignment="1" applyBorder="1" applyFont="1">
      <alignment shrinkToFit="0" vertical="bottom" wrapText="0"/>
    </xf>
    <xf borderId="5" fillId="0" fontId="18" numFmtId="0" xfId="0" applyAlignment="1" applyBorder="1" applyFont="1">
      <alignment readingOrder="0" vertical="bottom"/>
    </xf>
    <xf borderId="2" fillId="7" fontId="18" numFmtId="0" xfId="0" applyAlignment="1" applyBorder="1" applyFont="1">
      <alignment readingOrder="0" vertical="bottom"/>
    </xf>
    <xf borderId="2" fillId="0" fontId="17" numFmtId="49" xfId="0" applyAlignment="1" applyBorder="1" applyFont="1" applyNumberFormat="1">
      <alignment vertical="bottom"/>
    </xf>
    <xf borderId="2" fillId="19" fontId="18" numFmtId="0" xfId="0" applyAlignment="1" applyBorder="1" applyFill="1" applyFont="1">
      <alignment horizontal="left" readingOrder="0" vertical="bottom"/>
    </xf>
    <xf borderId="2" fillId="0" fontId="17" numFmtId="49" xfId="0" applyAlignment="1" applyBorder="1" applyFont="1" applyNumberFormat="1">
      <alignment shrinkToFit="0" vertical="bottom" wrapText="0"/>
    </xf>
    <xf borderId="2" fillId="0" fontId="23" numFmtId="49" xfId="0" applyAlignment="1" applyBorder="1" applyFont="1" applyNumberFormat="1">
      <alignment shrinkToFit="0" vertical="bottom" wrapText="0"/>
    </xf>
    <xf borderId="2" fillId="0" fontId="18" numFmtId="49" xfId="0" applyAlignment="1" applyBorder="1" applyFont="1" applyNumberFormat="1">
      <alignment readingOrder="0" shrinkToFit="0" vertical="bottom" wrapText="0"/>
    </xf>
    <xf borderId="2" fillId="0" fontId="18" numFmtId="0" xfId="0" applyAlignment="1" applyBorder="1" applyFont="1">
      <alignment readingOrder="0" shrinkToFit="0" vertical="bottom" wrapText="0"/>
    </xf>
    <xf borderId="2" fillId="0" fontId="18" numFmtId="0" xfId="0" applyAlignment="1" applyBorder="1" applyFont="1">
      <alignment horizontal="left" readingOrder="0" shrinkToFit="0" vertical="bottom" wrapText="0"/>
    </xf>
    <xf borderId="2" fillId="0" fontId="23" numFmtId="0" xfId="0" applyAlignment="1" applyBorder="1" applyFont="1">
      <alignment horizontal="left" shrinkToFit="0" vertical="bottom" wrapText="0"/>
    </xf>
    <xf borderId="2" fillId="0" fontId="17" numFmtId="0" xfId="0" applyAlignment="1" applyBorder="1" applyFont="1">
      <alignment horizontal="left" vertical="bottom"/>
    </xf>
    <xf borderId="2" fillId="0" fontId="17" numFmtId="0" xfId="0" applyAlignment="1" applyBorder="1" applyFont="1">
      <alignment vertical="bottom"/>
    </xf>
    <xf borderId="2" fillId="0" fontId="18" numFmtId="0" xfId="0" applyAlignment="1" applyBorder="1" applyFont="1">
      <alignment horizontal="left" vertical="bottom"/>
    </xf>
    <xf borderId="3" fillId="0" fontId="13" numFmtId="0" xfId="0" applyAlignment="1" applyBorder="1" applyFont="1">
      <alignment shrinkToFit="0" vertical="bottom" wrapText="0"/>
    </xf>
    <xf borderId="2" fillId="0" fontId="23" numFmtId="0" xfId="0" applyAlignment="1" applyBorder="1" applyFont="1">
      <alignment shrinkToFit="0" vertical="top" wrapText="0"/>
    </xf>
    <xf borderId="2" fillId="0" fontId="23" numFmtId="49" xfId="0" applyAlignment="1" applyBorder="1" applyFont="1" applyNumberFormat="1">
      <alignment readingOrder="0" shrinkToFit="0" vertical="bottom" wrapText="0"/>
    </xf>
    <xf borderId="2" fillId="0" fontId="23" numFmtId="0" xfId="0" applyAlignment="1" applyBorder="1" applyFont="1">
      <alignment readingOrder="0" shrinkToFit="0" vertical="top" wrapText="0"/>
    </xf>
    <xf borderId="2" fillId="20" fontId="18" numFmtId="0" xfId="0" applyAlignment="1" applyBorder="1" applyFill="1" applyFont="1">
      <alignment readingOrder="0" vertical="bottom"/>
    </xf>
    <xf borderId="2" fillId="0" fontId="18" numFmtId="0" xfId="0" applyAlignment="1" applyBorder="1" applyFont="1">
      <alignment horizontal="left" shrinkToFit="0" wrapText="0"/>
    </xf>
    <xf borderId="2" fillId="0" fontId="18" numFmtId="49" xfId="0" applyAlignment="1" applyBorder="1" applyFont="1" applyNumberFormat="1">
      <alignment horizontal="left" readingOrder="0" shrinkToFit="0" wrapText="0"/>
    </xf>
    <xf borderId="2" fillId="0" fontId="18" numFmtId="49" xfId="0" applyAlignment="1" applyBorder="1" applyFont="1" applyNumberFormat="1">
      <alignment horizontal="left" shrinkToFit="0" wrapText="0"/>
    </xf>
    <xf borderId="2" fillId="0" fontId="22" numFmtId="0" xfId="0" applyAlignment="1" applyBorder="1" applyFont="1">
      <alignment readingOrder="0" vertical="bottom"/>
    </xf>
    <xf borderId="2" fillId="0" fontId="22" numFmtId="0" xfId="0" applyAlignment="1" applyBorder="1" applyFont="1">
      <alignment vertical="bottom"/>
    </xf>
    <xf borderId="2" fillId="0" fontId="18" numFmtId="0" xfId="0" applyAlignment="1" applyBorder="1" applyFont="1">
      <alignment horizontal="left" readingOrder="0" shrinkToFit="0" wrapText="0"/>
    </xf>
    <xf borderId="2" fillId="0" fontId="18" numFmtId="0" xfId="0" applyAlignment="1" applyBorder="1" applyFont="1">
      <alignment horizontal="left" readingOrder="0" shrinkToFit="0" wrapText="0"/>
    </xf>
    <xf borderId="2" fillId="0" fontId="18" numFmtId="49" xfId="0" applyAlignment="1" applyBorder="1" applyFont="1" applyNumberFormat="1">
      <alignment horizontal="left" readingOrder="0" shrinkToFit="0" wrapText="0"/>
    </xf>
    <xf borderId="2" fillId="2" fontId="18" numFmtId="0" xfId="0" applyAlignment="1" applyBorder="1" applyFont="1">
      <alignment horizontal="left" readingOrder="0" shrinkToFit="0" wrapText="0"/>
    </xf>
    <xf borderId="2" fillId="0" fontId="18" numFmtId="0" xfId="0" applyAlignment="1" applyBorder="1" applyFont="1">
      <alignment horizontal="left" shrinkToFit="0" wrapText="0"/>
    </xf>
    <xf borderId="2" fillId="0" fontId="15" numFmtId="0" xfId="0" applyAlignment="1" applyBorder="1" applyFont="1">
      <alignment horizontal="left" readingOrder="0" vertical="center"/>
    </xf>
    <xf borderId="2" fillId="0" fontId="15" numFmtId="49" xfId="0" applyAlignment="1" applyBorder="1" applyFont="1" applyNumberFormat="1">
      <alignment horizontal="left" readingOrder="0" vertical="center"/>
    </xf>
    <xf borderId="2" fillId="0" fontId="12" numFmtId="0" xfId="0" applyAlignment="1" applyBorder="1" applyFont="1">
      <alignment horizontal="left" readingOrder="0" vertical="center"/>
    </xf>
    <xf borderId="0" fillId="7" fontId="15" numFmtId="0" xfId="0" applyAlignment="1" applyFont="1">
      <alignment horizontal="left" readingOrder="0" vertical="center"/>
    </xf>
    <xf borderId="0" fillId="14" fontId="15" numFmtId="0" xfId="0" applyAlignment="1" applyFont="1">
      <alignment horizontal="left" readingOrder="0" vertical="center"/>
    </xf>
    <xf borderId="0" fillId="9" fontId="15" numFmtId="0" xfId="0" applyAlignment="1" applyFont="1">
      <alignment horizontal="left" readingOrder="0" vertical="center"/>
    </xf>
    <xf borderId="2" fillId="0" fontId="26" numFmtId="0" xfId="0" applyAlignment="1" applyBorder="1" applyFont="1">
      <alignment readingOrder="0" shrinkToFit="0" vertical="bottom" wrapText="0"/>
    </xf>
    <xf borderId="2" fillId="0" fontId="26" numFmtId="0" xfId="0" applyAlignment="1" applyBorder="1" applyFont="1">
      <alignment shrinkToFit="0" vertical="bottom" wrapText="0"/>
    </xf>
    <xf borderId="2" fillId="0" fontId="26" numFmtId="11" xfId="0" applyAlignment="1" applyBorder="1" applyFont="1" applyNumberFormat="1">
      <alignment readingOrder="0" shrinkToFit="0" vertical="bottom" wrapText="0"/>
    </xf>
    <xf borderId="2" fillId="0" fontId="27" numFmtId="0" xfId="0" applyAlignment="1" applyBorder="1" applyFont="1">
      <alignment readingOrder="0" shrinkToFit="0" vertical="bottom" wrapText="0"/>
    </xf>
    <xf borderId="0" fillId="0" fontId="26" numFmtId="0" xfId="0" applyAlignment="1" applyFont="1">
      <alignment readingOrder="0" shrinkToFit="0" vertical="bottom" wrapText="0"/>
    </xf>
    <xf borderId="0" fillId="0" fontId="26" numFmtId="0" xfId="0" applyAlignment="1" applyFont="1">
      <alignment shrinkToFit="0" vertical="bottom" wrapText="0"/>
    </xf>
    <xf borderId="3" fillId="0" fontId="15" numFmtId="0" xfId="0" applyAlignment="1" applyBorder="1" applyFont="1">
      <alignment readingOrder="0" shrinkToFit="0" vertical="top" wrapText="1"/>
    </xf>
    <xf borderId="2" fillId="0" fontId="20" numFmtId="0" xfId="0" applyAlignment="1" applyBorder="1" applyFont="1">
      <alignment readingOrder="0" vertical="top"/>
    </xf>
    <xf borderId="2" fillId="13" fontId="28" numFmtId="0" xfId="0" applyAlignment="1" applyBorder="1" applyFont="1">
      <alignment horizontal="center" readingOrder="0" shrinkToFit="0" wrapText="1"/>
    </xf>
    <xf borderId="3" fillId="0" fontId="15" numFmtId="0" xfId="0" applyAlignment="1" applyBorder="1" applyFont="1">
      <alignment horizontal="left" readingOrder="0" shrinkToFit="0" vertical="center" wrapText="1"/>
    </xf>
    <xf borderId="3" fillId="0" fontId="15" numFmtId="0" xfId="0" applyAlignment="1" applyBorder="1" applyFont="1">
      <alignment horizontal="left" readingOrder="0" vertical="center"/>
    </xf>
    <xf borderId="2" fillId="6" fontId="28" numFmtId="0" xfId="0" applyAlignment="1" applyBorder="1" applyFont="1">
      <alignment horizontal="center" readingOrder="0" shrinkToFit="0" wrapText="1"/>
    </xf>
    <xf borderId="2" fillId="0" fontId="15" numFmtId="0" xfId="0" applyAlignment="1" applyBorder="1" applyFont="1">
      <alignment horizontal="left" readingOrder="0" shrinkToFit="0" vertical="center" wrapText="1"/>
    </xf>
    <xf borderId="0" fillId="0" fontId="24" numFmtId="0" xfId="0" applyAlignment="1" applyFont="1">
      <alignment readingOrder="0"/>
    </xf>
    <xf borderId="0" fillId="0" fontId="29" numFmtId="0" xfId="0" applyFont="1"/>
    <xf borderId="2" fillId="0" fontId="11" numFmtId="0" xfId="0" applyAlignment="1" applyBorder="1" applyFont="1">
      <alignment readingOrder="0"/>
    </xf>
    <xf borderId="3" fillId="0" fontId="16" numFmtId="0" xfId="0" applyAlignment="1" applyBorder="1" applyFont="1">
      <alignment readingOrder="0" vertical="top"/>
    </xf>
    <xf borderId="0" fillId="0" fontId="11" numFmtId="0" xfId="0" applyAlignment="1" applyFont="1">
      <alignment readingOrder="0"/>
    </xf>
    <xf borderId="0" fillId="5" fontId="9" numFmtId="0" xfId="0" applyAlignment="1" applyFont="1">
      <alignment readingOrder="0"/>
    </xf>
    <xf borderId="0" fillId="5" fontId="9" numFmtId="0" xfId="0" applyFont="1"/>
    <xf borderId="0" fillId="5" fontId="14" numFmtId="0" xfId="0" applyAlignment="1" applyFont="1">
      <alignment horizontal="left" readingOrder="0" vertical="center"/>
    </xf>
    <xf borderId="0" fillId="0" fontId="11" numFmtId="0" xfId="0" applyAlignment="1" applyFont="1">
      <alignment readingOrder="0" shrinkToFit="0" vertical="top" wrapText="1"/>
    </xf>
    <xf borderId="2" fillId="21" fontId="30" numFmtId="0" xfId="0" applyAlignment="1" applyBorder="1" applyFill="1" applyFont="1">
      <alignment horizontal="left" readingOrder="0" shrinkToFit="0" vertical="center" wrapText="1"/>
    </xf>
    <xf borderId="2" fillId="22" fontId="18" numFmtId="0" xfId="0" applyAlignment="1" applyBorder="1" applyFill="1" applyFont="1">
      <alignment horizontal="left" readingOrder="0" shrinkToFit="0" vertical="center" wrapText="1"/>
    </xf>
    <xf borderId="2" fillId="23" fontId="30" numFmtId="0" xfId="0" applyAlignment="1" applyBorder="1" applyFill="1" applyFont="1">
      <alignment horizontal="left" readingOrder="0" shrinkToFit="0" vertical="center" wrapText="1"/>
    </xf>
    <xf borderId="3" fillId="24" fontId="16" numFmtId="0" xfId="0" applyAlignment="1" applyBorder="1" applyFill="1" applyFont="1">
      <alignment readingOrder="0" vertical="top"/>
    </xf>
    <xf borderId="2" fillId="24" fontId="18" numFmtId="0" xfId="0" applyAlignment="1" applyBorder="1" applyFont="1">
      <alignment horizontal="left" readingOrder="0" shrinkToFit="0" vertical="center" wrapText="1"/>
    </xf>
    <xf borderId="2" fillId="24" fontId="18" numFmtId="0" xfId="0" applyAlignment="1" applyBorder="1" applyFont="1">
      <alignment horizontal="left" readingOrder="0" vertical="center"/>
    </xf>
    <xf borderId="2" fillId="24" fontId="18" numFmtId="0" xfId="0" applyAlignment="1" applyBorder="1" applyFont="1">
      <alignment horizontal="center" readingOrder="0" shrinkToFit="0" vertical="center" wrapText="0"/>
    </xf>
    <xf borderId="2" fillId="24" fontId="18" numFmtId="0" xfId="0" applyAlignment="1" applyBorder="1" applyFont="1">
      <alignment horizontal="center" readingOrder="0" vertical="center"/>
    </xf>
    <xf borderId="2" fillId="24" fontId="16" numFmtId="0" xfId="0" applyAlignment="1" applyBorder="1" applyFont="1">
      <alignment horizontal="center" readingOrder="0" vertical="center"/>
    </xf>
    <xf borderId="2" fillId="2" fontId="16" numFmtId="0" xfId="0" applyAlignment="1" applyBorder="1" applyFont="1">
      <alignment horizontal="center" readingOrder="0" vertical="center"/>
    </xf>
    <xf borderId="0" fillId="0" fontId="15" numFmtId="0" xfId="0" applyFont="1"/>
    <xf borderId="0" fillId="0" fontId="18" numFmtId="0" xfId="0" applyAlignment="1" applyFont="1">
      <alignment horizontal="left" readingOrder="0" shrinkToFit="0" vertical="bottom" wrapText="1"/>
    </xf>
    <xf borderId="0" fillId="0" fontId="18" numFmtId="0" xfId="0" applyAlignment="1" applyFont="1">
      <alignment horizontal="left" readingOrder="0"/>
    </xf>
    <xf borderId="0" fillId="0" fontId="18" numFmtId="0" xfId="0" applyAlignment="1" applyFont="1">
      <alignment horizontal="center" readingOrder="0"/>
    </xf>
    <xf borderId="0" fillId="0" fontId="18" numFmtId="0" xfId="0" applyAlignment="1" applyFont="1">
      <alignment horizontal="center" readingOrder="0" shrinkToFit="0" vertical="bottom" wrapText="0"/>
    </xf>
    <xf borderId="0" fillId="0" fontId="16" numFmtId="0" xfId="0" applyAlignment="1" applyFont="1">
      <alignment horizontal="center" readingOrder="0"/>
    </xf>
    <xf borderId="0" fillId="0" fontId="31" numFmtId="0" xfId="0" applyAlignment="1" applyFont="1">
      <alignment horizontal="left" readingOrder="0" shrinkToFit="0" vertical="bottom" wrapText="1"/>
    </xf>
    <xf borderId="0" fillId="0" fontId="31" numFmtId="0" xfId="0" applyAlignment="1" applyFont="1">
      <alignment horizontal="left" readingOrder="0"/>
    </xf>
    <xf borderId="0" fillId="0" fontId="31" numFmtId="0" xfId="0" applyAlignment="1" applyFont="1">
      <alignment horizontal="center" readingOrder="0"/>
    </xf>
    <xf borderId="0" fillId="0" fontId="31" numFmtId="0" xfId="0" applyAlignment="1" applyFont="1">
      <alignment horizontal="center" readingOrder="0" shrinkToFit="0" vertical="bottom" wrapText="0"/>
    </xf>
    <xf borderId="0" fillId="0" fontId="10" numFmtId="0" xfId="0" applyAlignment="1" applyFont="1">
      <alignment horizontal="center" readingOrder="0"/>
    </xf>
    <xf borderId="0" fillId="0" fontId="15" numFmtId="0" xfId="0" applyAlignment="1" applyFont="1">
      <alignment horizontal="center" readingOrder="0" vertical="center"/>
    </xf>
    <xf borderId="0" fillId="0" fontId="12" numFmtId="0" xfId="0" applyAlignment="1" applyFont="1">
      <alignment horizontal="center" readingOrder="0" vertical="center"/>
    </xf>
    <xf borderId="0" fillId="0" fontId="11" numFmtId="0" xfId="0" applyAlignment="1" applyFont="1">
      <alignment shrinkToFit="0" wrapText="1"/>
    </xf>
    <xf borderId="0" fillId="0" fontId="11" numFmtId="0" xfId="0" applyAlignment="1" applyFont="1">
      <alignment horizontal="center"/>
    </xf>
    <xf borderId="0" fillId="0" fontId="1" numFmtId="0" xfId="0" applyAlignment="1" applyFont="1">
      <alignment readingOrder="0"/>
    </xf>
    <xf borderId="0" fillId="0" fontId="12" numFmtId="0" xfId="0" applyAlignment="1" applyFont="1">
      <alignment readingOrder="0"/>
    </xf>
    <xf borderId="0" fillId="0" fontId="31" numFmtId="0" xfId="0" applyAlignment="1" applyFont="1">
      <alignment horizontal="right" readingOrder="0" shrinkToFit="0" vertical="bottom" wrapText="0"/>
    </xf>
    <xf borderId="0" fillId="0" fontId="11" numFmtId="0" xfId="0" applyAlignment="1" applyFont="1">
      <alignment horizontal="right" readingOrder="0"/>
    </xf>
    <xf borderId="0" fillId="0" fontId="31" numFmtId="0" xfId="0" applyFont="1"/>
    <xf borderId="0" fillId="0" fontId="31" numFmtId="0" xfId="0" applyAlignment="1" applyFont="1">
      <alignment horizontal="right" readingOrder="0" shrinkToFit="0" vertical="bottom" wrapText="0"/>
    </xf>
    <xf borderId="0" fillId="0" fontId="31" numFmtId="0" xfId="0" applyAlignment="1" applyFont="1">
      <alignment readingOrder="0"/>
    </xf>
    <xf borderId="0" fillId="0" fontId="11" numFmtId="0" xfId="0" applyAlignment="1" applyFont="1">
      <alignment horizontal="left"/>
    </xf>
    <xf borderId="0" fillId="0" fontId="11" numFmtId="0" xfId="0" applyAlignment="1" applyFont="1">
      <alignment horizontal="left" readingOrder="0"/>
    </xf>
    <xf borderId="0" fillId="0" fontId="31" numFmtId="0" xfId="0" applyAlignment="1" applyFont="1">
      <alignment readingOrder="0" shrinkToFit="0" vertical="bottom" wrapText="0"/>
    </xf>
    <xf borderId="1" fillId="2" fontId="1" numFmtId="0" xfId="0" applyAlignment="1" applyBorder="1" applyFont="1">
      <alignment horizontal="center" vertical="bottom"/>
    </xf>
    <xf borderId="2" fillId="2" fontId="1" numFmtId="0" xfId="0" applyAlignment="1" applyBorder="1" applyFont="1">
      <alignment shrinkToFit="0" vertical="bottom" wrapText="0"/>
    </xf>
    <xf borderId="0" fillId="0" fontId="9" numFmtId="0" xfId="0" applyAlignment="1" applyFont="1">
      <alignment horizontal="center"/>
    </xf>
    <xf borderId="0" fillId="0" fontId="9" numFmtId="0" xfId="0" applyAlignment="1" applyFont="1">
      <alignment shrinkToFit="0" wrapText="1"/>
    </xf>
  </cellXfs>
  <cellStyles count="1">
    <cellStyle xfId="0" name="Normal" builtinId="0"/>
  </cellStyles>
  <dxfs count="5">
    <dxf>
      <font/>
      <fill>
        <patternFill patternType="solid">
          <fgColor rgb="FFFF9900"/>
          <bgColor rgb="FFFF9900"/>
        </patternFill>
      </fill>
      <border/>
    </dxf>
    <dxf>
      <font/>
      <fill>
        <patternFill patternType="solid">
          <fgColor rgb="FFD9D2E9"/>
          <bgColor rgb="FFD9D2E9"/>
        </patternFill>
      </fill>
      <border/>
    </dxf>
    <dxf>
      <font>
        <b/>
        <color rgb="FFFFFFFF"/>
      </font>
      <fill>
        <patternFill patternType="solid">
          <fgColor rgb="FFFF0000"/>
          <bgColor rgb="FFFF0000"/>
        </patternFill>
      </fill>
      <border/>
    </dxf>
    <dxf>
      <font/>
      <fill>
        <patternFill patternType="solid">
          <fgColor rgb="FFFF0000"/>
          <bgColor rgb="FFFF0000"/>
        </patternFill>
      </fill>
      <border/>
    </dxf>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schemas.openxmlformats.org/officeDocument/2006/relationships/worksheet" Target="worksheets/sheet9.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H-BWpZGvw8KcOGIIwHiYrgZj4WXehEa5/edit" TargetMode="External"/><Relationship Id="rId2" Type="http://schemas.openxmlformats.org/officeDocument/2006/relationships/hyperlink" Target="https://docs.google.com/spreadsheets/d/1H-BWpZGvw8KcOGIIwHiYrgZj4WXehEa5/edit?gid=879128407" TargetMode="External"/><Relationship Id="rId3" Type="http://schemas.openxmlformats.org/officeDocument/2006/relationships/hyperlink" Target="https://docs.google.com/spreadsheets/d/1H-BWpZGvw8KcOGIIwHiYrgZj4WXehEa5/edit?gid=879128407" TargetMode="External"/><Relationship Id="rId4" Type="http://schemas.openxmlformats.org/officeDocument/2006/relationships/hyperlink" Target="https://docs.google.com/document/d/1PfnBWPiiIQrmrDvEUO2wtdY0figoCqnMqleWXS0IC9c/edit?tab=t.0" TargetMode="External"/><Relationship Id="rId10" Type="http://schemas.openxmlformats.org/officeDocument/2006/relationships/drawing" Target="../drawings/drawing1.xml"/><Relationship Id="rId9" Type="http://schemas.openxmlformats.org/officeDocument/2006/relationships/hyperlink" Target="https://docs.google.com/document/d/1PfnBWPiiIQrmrDvEUO2wtdY0figoCqnMqleWXS0IC9c/edit?tab=t.0" TargetMode="External"/><Relationship Id="rId5" Type="http://schemas.openxmlformats.org/officeDocument/2006/relationships/hyperlink" Target="https://docs.google.com/spreadsheets/d/1H-BWpZGvw8KcOGIIwHiYrgZj4WXehEa5/edit?gid=879128407" TargetMode="External"/><Relationship Id="rId6" Type="http://schemas.openxmlformats.org/officeDocument/2006/relationships/hyperlink" Target="https://docs.google.com/document/d/1PfnBWPiiIQrmrDvEUO2wtdY0figoCqnMqleWXS0IC9c/edit?tab=t.0" TargetMode="External"/><Relationship Id="rId7" Type="http://schemas.openxmlformats.org/officeDocument/2006/relationships/hyperlink" Target="https://docs.google.com/spreadsheets/d/1-YFhtwH_b2znLEU5L1MzMlDGDLVWeEJ3y0PUGSeNG2s/edit?gid=1619350653" TargetMode="External"/><Relationship Id="rId8" Type="http://schemas.openxmlformats.org/officeDocument/2006/relationships/hyperlink" Target="https://docs.google.com/spreadsheets/d/1H-BWpZGvw8KcOGIIwHiYrgZj4WXehEa5/edit?gid=879128407"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4" max="4" width="16.11"/>
    <col customWidth="1" min="5" max="5" width="28.78"/>
    <col customWidth="1" min="7" max="7" width="21.33"/>
    <col customWidth="1" min="8" max="8" width="16.11"/>
    <col customWidth="1" min="9" max="9" width="15.67"/>
    <col customWidth="1" min="10" max="10" width="18.22"/>
    <col customWidth="1" min="11" max="11" width="21.33"/>
  </cols>
  <sheetData>
    <row r="1">
      <c r="A1" s="1"/>
      <c r="B1" s="1"/>
      <c r="C1" s="1"/>
      <c r="D1" s="1"/>
      <c r="E1" s="1"/>
      <c r="F1" s="1"/>
      <c r="G1" s="1"/>
      <c r="H1" s="1"/>
      <c r="I1" s="1"/>
      <c r="J1" s="1"/>
      <c r="K1" s="1"/>
      <c r="L1" s="1"/>
      <c r="M1" s="1"/>
      <c r="N1" s="1"/>
      <c r="O1" s="1"/>
      <c r="P1" s="1"/>
      <c r="Q1" s="1"/>
    </row>
    <row r="2">
      <c r="A2" s="2"/>
      <c r="B2" s="3" t="s">
        <v>0</v>
      </c>
      <c r="C2" s="4"/>
      <c r="D2" s="4"/>
      <c r="E2" s="4"/>
      <c r="F2" s="4"/>
      <c r="G2" s="4"/>
      <c r="H2" s="4"/>
      <c r="I2" s="4"/>
      <c r="J2" s="4"/>
      <c r="K2" s="4"/>
      <c r="L2" s="4"/>
      <c r="M2" s="4"/>
      <c r="N2" s="4"/>
      <c r="O2" s="4"/>
      <c r="P2" s="4"/>
      <c r="Q2" s="4"/>
    </row>
    <row r="3">
      <c r="A3" s="4"/>
      <c r="B3" s="5" t="s">
        <v>1</v>
      </c>
      <c r="C3" s="6" t="s">
        <v>2</v>
      </c>
      <c r="D3" s="6" t="s">
        <v>3</v>
      </c>
      <c r="E3" s="6" t="s">
        <v>4</v>
      </c>
      <c r="F3" s="6" t="s">
        <v>5</v>
      </c>
      <c r="G3" s="6" t="s">
        <v>6</v>
      </c>
      <c r="H3" s="6" t="s">
        <v>7</v>
      </c>
      <c r="I3" s="6" t="s">
        <v>8</v>
      </c>
      <c r="J3" s="6" t="s">
        <v>9</v>
      </c>
      <c r="K3" s="6" t="s">
        <v>10</v>
      </c>
      <c r="L3" s="6" t="s">
        <v>11</v>
      </c>
      <c r="M3" s="7"/>
      <c r="N3" s="7"/>
      <c r="O3" s="7"/>
      <c r="P3" s="7"/>
      <c r="Q3" s="7"/>
    </row>
    <row r="4">
      <c r="A4" s="4"/>
      <c r="B4" s="8" t="s">
        <v>12</v>
      </c>
      <c r="C4" s="9">
        <v>45663.0</v>
      </c>
      <c r="D4" s="10" t="s">
        <v>13</v>
      </c>
      <c r="E4" s="11" t="s">
        <v>14</v>
      </c>
      <c r="F4" s="12"/>
      <c r="G4" s="13"/>
      <c r="H4" s="4"/>
      <c r="I4" s="4"/>
      <c r="J4" s="4"/>
      <c r="K4" s="4"/>
      <c r="L4" s="4"/>
      <c r="M4" s="4"/>
      <c r="N4" s="4"/>
      <c r="O4" s="4"/>
      <c r="P4" s="4"/>
      <c r="Q4" s="4"/>
    </row>
    <row r="5">
      <c r="A5" s="4"/>
      <c r="B5" s="8" t="s">
        <v>15</v>
      </c>
      <c r="C5" s="14" t="s">
        <v>16</v>
      </c>
      <c r="D5" s="10" t="s">
        <v>13</v>
      </c>
      <c r="E5" s="11" t="s">
        <v>17</v>
      </c>
      <c r="F5" s="12"/>
      <c r="G5" s="15"/>
      <c r="H5" s="16"/>
      <c r="I5" s="16"/>
      <c r="J5" s="16"/>
      <c r="K5" s="16"/>
      <c r="L5" s="4"/>
      <c r="M5" s="4"/>
      <c r="N5" s="4"/>
      <c r="O5" s="4"/>
      <c r="P5" s="4"/>
      <c r="Q5" s="4"/>
    </row>
    <row r="6">
      <c r="A6" s="4"/>
      <c r="B6" s="8" t="s">
        <v>18</v>
      </c>
      <c r="C6" s="14" t="s">
        <v>19</v>
      </c>
      <c r="D6" s="10" t="s">
        <v>20</v>
      </c>
      <c r="E6" s="11" t="s">
        <v>21</v>
      </c>
      <c r="F6" s="17" t="s">
        <v>22</v>
      </c>
      <c r="G6" s="15"/>
      <c r="H6" s="4"/>
      <c r="I6" s="4"/>
      <c r="J6" s="4"/>
      <c r="K6" s="16"/>
      <c r="L6" s="4"/>
      <c r="M6" s="4"/>
      <c r="N6" s="4"/>
      <c r="O6" s="4"/>
      <c r="P6" s="4"/>
      <c r="Q6" s="4"/>
    </row>
    <row r="7">
      <c r="A7" s="4"/>
      <c r="B7" s="8" t="s">
        <v>23</v>
      </c>
      <c r="C7" s="14" t="s">
        <v>24</v>
      </c>
      <c r="D7" s="10" t="s">
        <v>13</v>
      </c>
      <c r="E7" s="11" t="s">
        <v>25</v>
      </c>
      <c r="F7" s="17" t="s">
        <v>22</v>
      </c>
      <c r="G7" s="15" t="s">
        <v>26</v>
      </c>
      <c r="H7" s="4"/>
      <c r="I7" s="16"/>
      <c r="J7" s="4"/>
      <c r="K7" s="4"/>
      <c r="L7" s="4"/>
      <c r="M7" s="4"/>
      <c r="N7" s="4"/>
      <c r="O7" s="4"/>
      <c r="P7" s="4"/>
      <c r="Q7" s="4"/>
    </row>
    <row r="8">
      <c r="A8" s="4"/>
      <c r="B8" s="18" t="s">
        <v>27</v>
      </c>
      <c r="C8" s="19" t="s">
        <v>28</v>
      </c>
      <c r="D8" s="20" t="s">
        <v>13</v>
      </c>
      <c r="E8" s="11" t="s">
        <v>29</v>
      </c>
      <c r="F8" s="17" t="s">
        <v>22</v>
      </c>
      <c r="G8" s="15" t="s">
        <v>26</v>
      </c>
      <c r="H8" s="4"/>
      <c r="I8" s="4"/>
      <c r="J8" s="4"/>
      <c r="K8" s="16"/>
      <c r="L8" s="4"/>
      <c r="M8" s="4"/>
      <c r="N8" s="4"/>
      <c r="O8" s="4"/>
      <c r="P8" s="4"/>
      <c r="Q8" s="4"/>
    </row>
    <row r="9">
      <c r="A9" s="4"/>
      <c r="B9" s="18" t="s">
        <v>30</v>
      </c>
      <c r="C9" s="19" t="s">
        <v>31</v>
      </c>
      <c r="D9" s="20" t="s">
        <v>13</v>
      </c>
      <c r="E9" s="21" t="s">
        <v>32</v>
      </c>
      <c r="F9" s="17" t="s">
        <v>22</v>
      </c>
      <c r="G9" s="15" t="s">
        <v>26</v>
      </c>
      <c r="H9" s="4"/>
      <c r="I9" s="4"/>
      <c r="J9" s="4"/>
      <c r="K9" s="4"/>
      <c r="L9" s="4"/>
      <c r="M9" s="4"/>
      <c r="N9" s="4"/>
      <c r="O9" s="4"/>
      <c r="P9" s="4"/>
      <c r="Q9" s="4"/>
    </row>
    <row r="10">
      <c r="A10" s="4"/>
      <c r="B10" s="18" t="s">
        <v>33</v>
      </c>
      <c r="C10" s="19" t="s">
        <v>34</v>
      </c>
      <c r="D10" s="16" t="s">
        <v>35</v>
      </c>
      <c r="E10" s="11" t="s">
        <v>36</v>
      </c>
      <c r="F10" s="12"/>
      <c r="G10" s="15"/>
      <c r="H10" s="4"/>
      <c r="I10" s="16"/>
      <c r="J10" s="4"/>
      <c r="K10" s="4"/>
      <c r="L10" s="4"/>
      <c r="M10" s="4"/>
      <c r="N10" s="4"/>
      <c r="O10" s="4"/>
      <c r="P10" s="4"/>
      <c r="Q10" s="4"/>
    </row>
    <row r="11">
      <c r="A11" s="4"/>
      <c r="B11" s="18" t="s">
        <v>37</v>
      </c>
      <c r="C11" s="16" t="s">
        <v>38</v>
      </c>
      <c r="D11" s="16" t="s">
        <v>13</v>
      </c>
      <c r="E11" s="11" t="s">
        <v>39</v>
      </c>
      <c r="F11" s="12"/>
      <c r="G11" s="15"/>
      <c r="H11" s="4"/>
      <c r="I11" s="4"/>
      <c r="J11" s="4"/>
      <c r="K11" s="4"/>
      <c r="L11" s="4"/>
      <c r="M11" s="4"/>
      <c r="N11" s="4"/>
      <c r="O11" s="4"/>
      <c r="P11" s="4"/>
      <c r="Q11" s="4"/>
    </row>
    <row r="12">
      <c r="A12" s="4"/>
      <c r="B12" s="18" t="s">
        <v>40</v>
      </c>
      <c r="C12" s="16" t="s">
        <v>41</v>
      </c>
      <c r="D12" s="16" t="s">
        <v>42</v>
      </c>
      <c r="E12" s="11" t="s">
        <v>43</v>
      </c>
      <c r="F12" s="12"/>
      <c r="G12" s="15"/>
      <c r="H12" s="4"/>
      <c r="I12" s="4"/>
      <c r="J12" s="4"/>
      <c r="K12" s="4"/>
      <c r="L12" s="4"/>
      <c r="M12" s="4"/>
      <c r="N12" s="4"/>
      <c r="O12" s="4"/>
      <c r="P12" s="4"/>
      <c r="Q12" s="4"/>
    </row>
    <row r="13">
      <c r="A13" s="4"/>
      <c r="B13" s="22"/>
      <c r="C13" s="23"/>
      <c r="D13" s="20"/>
      <c r="E13" s="11"/>
      <c r="F13" s="12"/>
      <c r="G13" s="15"/>
      <c r="H13" s="4"/>
      <c r="I13" s="4"/>
      <c r="J13" s="4"/>
      <c r="K13" s="4"/>
      <c r="L13" s="4"/>
      <c r="M13" s="4"/>
      <c r="N13" s="4"/>
      <c r="O13" s="4"/>
      <c r="P13" s="4"/>
      <c r="Q13" s="4"/>
    </row>
    <row r="14">
      <c r="A14" s="4"/>
      <c r="B14" s="22"/>
      <c r="C14" s="24"/>
      <c r="D14" s="22"/>
      <c r="E14" s="11"/>
      <c r="F14" s="12"/>
      <c r="G14" s="15"/>
      <c r="H14" s="4"/>
      <c r="I14" s="4"/>
      <c r="J14" s="4"/>
      <c r="K14" s="4"/>
      <c r="L14" s="16"/>
      <c r="M14" s="4"/>
      <c r="N14" s="4"/>
      <c r="O14" s="4"/>
      <c r="P14" s="4"/>
      <c r="Q14" s="4"/>
    </row>
    <row r="15">
      <c r="A15" s="4"/>
      <c r="B15" s="25"/>
      <c r="C15" s="25"/>
      <c r="D15" s="25"/>
      <c r="E15" s="26"/>
      <c r="F15" s="27"/>
      <c r="G15" s="27"/>
      <c r="H15" s="4"/>
      <c r="I15" s="4"/>
      <c r="J15" s="4"/>
      <c r="K15" s="4"/>
      <c r="L15" s="4"/>
      <c r="M15" s="4"/>
      <c r="N15" s="4"/>
      <c r="O15" s="4"/>
      <c r="P15" s="4"/>
      <c r="Q15" s="4"/>
    </row>
    <row r="16">
      <c r="A16" s="4"/>
      <c r="B16" s="25"/>
      <c r="C16" s="25"/>
      <c r="D16" s="25"/>
      <c r="E16" s="26"/>
      <c r="F16" s="27"/>
      <c r="G16" s="27"/>
      <c r="H16" s="4"/>
      <c r="I16" s="4"/>
      <c r="J16" s="4"/>
      <c r="K16" s="4"/>
      <c r="L16" s="4"/>
      <c r="M16" s="4"/>
      <c r="N16" s="4"/>
      <c r="O16" s="4"/>
      <c r="P16" s="4"/>
      <c r="Q16" s="4"/>
    </row>
    <row r="17">
      <c r="A17" s="4"/>
      <c r="B17" s="25"/>
      <c r="C17" s="25"/>
      <c r="D17" s="25"/>
      <c r="E17" s="26"/>
      <c r="F17" s="27"/>
      <c r="G17" s="27"/>
      <c r="H17" s="4"/>
      <c r="I17" s="4"/>
      <c r="J17" s="4"/>
      <c r="K17" s="4"/>
      <c r="L17" s="4"/>
      <c r="M17" s="4"/>
      <c r="N17" s="4"/>
      <c r="O17" s="4"/>
      <c r="P17" s="4"/>
      <c r="Q17" s="4"/>
    </row>
    <row r="18">
      <c r="A18" s="4"/>
      <c r="B18" s="25"/>
      <c r="C18" s="25"/>
      <c r="D18" s="25"/>
      <c r="E18" s="26"/>
      <c r="F18" s="27"/>
      <c r="G18" s="27"/>
      <c r="H18" s="4"/>
      <c r="I18" s="4"/>
      <c r="J18" s="4"/>
      <c r="K18" s="4"/>
      <c r="L18" s="4"/>
      <c r="M18" s="4"/>
      <c r="N18" s="4"/>
      <c r="O18" s="4"/>
      <c r="P18" s="4"/>
      <c r="Q18" s="4"/>
    </row>
    <row r="19">
      <c r="A19" s="4"/>
      <c r="B19" s="25"/>
      <c r="C19" s="25"/>
      <c r="D19" s="25"/>
      <c r="E19" s="26"/>
      <c r="F19" s="27"/>
      <c r="G19" s="27"/>
      <c r="H19" s="4"/>
      <c r="I19" s="4"/>
      <c r="J19" s="4"/>
      <c r="K19" s="4"/>
      <c r="L19" s="4"/>
      <c r="M19" s="4"/>
      <c r="N19" s="4"/>
      <c r="O19" s="4"/>
      <c r="P19" s="4"/>
      <c r="Q19" s="4"/>
    </row>
    <row r="20">
      <c r="A20" s="4"/>
      <c r="B20" s="25"/>
      <c r="C20" s="25"/>
      <c r="D20" s="25"/>
      <c r="E20" s="26"/>
      <c r="F20" s="27"/>
      <c r="G20" s="27"/>
      <c r="H20" s="4"/>
      <c r="I20" s="4"/>
      <c r="J20" s="4"/>
      <c r="K20" s="4"/>
      <c r="L20" s="4"/>
      <c r="M20" s="4"/>
      <c r="N20" s="4"/>
      <c r="O20" s="4"/>
      <c r="P20" s="4"/>
      <c r="Q20" s="4"/>
    </row>
    <row r="21">
      <c r="A21" s="4"/>
      <c r="B21" s="25"/>
      <c r="C21" s="25"/>
      <c r="D21" s="25"/>
      <c r="E21" s="26"/>
      <c r="F21" s="27"/>
      <c r="G21" s="27"/>
      <c r="H21" s="4"/>
      <c r="I21" s="4"/>
      <c r="J21" s="4"/>
      <c r="K21" s="4"/>
      <c r="L21" s="4"/>
      <c r="M21" s="4"/>
      <c r="N21" s="4"/>
      <c r="O21" s="4"/>
      <c r="P21" s="4"/>
      <c r="Q21" s="4"/>
    </row>
    <row r="22">
      <c r="A22" s="4"/>
      <c r="B22" s="25"/>
      <c r="C22" s="25"/>
      <c r="D22" s="25"/>
      <c r="E22" s="26"/>
      <c r="F22" s="27"/>
      <c r="G22" s="27"/>
      <c r="H22" s="4"/>
      <c r="I22" s="4"/>
      <c r="J22" s="4"/>
      <c r="K22" s="4"/>
      <c r="L22" s="4"/>
      <c r="M22" s="4"/>
      <c r="N22" s="4"/>
      <c r="O22" s="4"/>
      <c r="P22" s="4"/>
      <c r="Q22" s="4"/>
    </row>
  </sheetData>
  <hyperlinks>
    <hyperlink r:id="rId1" location="gid=1659632638" ref="B2"/>
    <hyperlink r:id="rId2" location="gid=879128407" ref="F6"/>
    <hyperlink r:id="rId3" location="gid=879128407" ref="F7"/>
    <hyperlink r:id="rId4" ref="G7"/>
    <hyperlink r:id="rId5" location="gid=879128407" ref="F8"/>
    <hyperlink r:id="rId6" ref="G8"/>
    <hyperlink r:id="rId7" location="gid=1619350653" ref="E9"/>
    <hyperlink r:id="rId8" location="gid=879128407" ref="F9"/>
    <hyperlink r:id="rId9" ref="G9"/>
  </hyperlinks>
  <drawing r:id="rId1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13.0"/>
    <col customWidth="1" min="2" max="2" width="20.11"/>
    <col customWidth="1" min="3" max="3" width="53.22"/>
    <col customWidth="1" min="4" max="4" width="25.67"/>
    <col customWidth="1" min="5" max="5" width="4.89"/>
    <col customWidth="1" min="6" max="6" width="8.78"/>
    <col customWidth="1" min="8" max="8" width="14.0"/>
    <col customWidth="1" min="9" max="9" width="17.89"/>
    <col customWidth="1" min="10" max="10" width="20.67"/>
    <col customWidth="1" min="12" max="12" width="29.67"/>
  </cols>
  <sheetData>
    <row r="1">
      <c r="A1" s="28" t="s">
        <v>44</v>
      </c>
      <c r="B1" s="28" t="s">
        <v>45</v>
      </c>
      <c r="C1" s="29" t="s">
        <v>46</v>
      </c>
    </row>
    <row r="2">
      <c r="A2" s="30">
        <v>1.0</v>
      </c>
      <c r="B2" s="31" t="s">
        <v>47</v>
      </c>
      <c r="C2" s="32"/>
    </row>
    <row r="3">
      <c r="A3" s="30">
        <v>2.0</v>
      </c>
      <c r="B3" s="31" t="s">
        <v>48</v>
      </c>
      <c r="C3" s="33" t="s">
        <v>49</v>
      </c>
    </row>
    <row r="4">
      <c r="A4" s="30">
        <v>3.0</v>
      </c>
      <c r="B4" s="34" t="s">
        <v>50</v>
      </c>
      <c r="C4" s="35" t="s">
        <v>51</v>
      </c>
    </row>
    <row r="5">
      <c r="A5" s="30">
        <v>4.0</v>
      </c>
      <c r="B5" s="34" t="s">
        <v>52</v>
      </c>
      <c r="C5" s="34" t="s">
        <v>53</v>
      </c>
    </row>
    <row r="6">
      <c r="A6" s="36">
        <v>5.0</v>
      </c>
      <c r="B6" s="34" t="s">
        <v>54</v>
      </c>
      <c r="C6" s="34" t="s">
        <v>55</v>
      </c>
    </row>
    <row r="7">
      <c r="A7" s="36">
        <v>6.0</v>
      </c>
      <c r="B7" s="34" t="s">
        <v>56</v>
      </c>
      <c r="C7" s="34" t="s">
        <v>57</v>
      </c>
    </row>
    <row r="8">
      <c r="A8" s="36">
        <v>7.0</v>
      </c>
      <c r="B8" s="34" t="s">
        <v>58</v>
      </c>
      <c r="C8" s="34" t="s">
        <v>59</v>
      </c>
    </row>
    <row r="9">
      <c r="A9" s="30">
        <v>8.0</v>
      </c>
      <c r="B9" s="34" t="s">
        <v>60</v>
      </c>
      <c r="C9" s="31" t="s">
        <v>61</v>
      </c>
    </row>
    <row r="10">
      <c r="A10" s="30">
        <v>9.0</v>
      </c>
      <c r="B10" s="37" t="s">
        <v>62</v>
      </c>
      <c r="C10" s="37" t="s">
        <v>63</v>
      </c>
    </row>
    <row r="11">
      <c r="A11" s="30">
        <v>10.0</v>
      </c>
      <c r="B11" s="37" t="s">
        <v>62</v>
      </c>
      <c r="C11" s="37" t="s">
        <v>64</v>
      </c>
    </row>
    <row r="12">
      <c r="A12" s="30">
        <v>11.0</v>
      </c>
      <c r="B12" s="37" t="s">
        <v>65</v>
      </c>
      <c r="C12" s="38" t="s">
        <v>66</v>
      </c>
    </row>
    <row r="13">
      <c r="A13" s="30">
        <v>12.0</v>
      </c>
      <c r="B13" s="37" t="s">
        <v>62</v>
      </c>
      <c r="C13" s="39"/>
    </row>
    <row r="14">
      <c r="A14" s="30">
        <v>13.0</v>
      </c>
      <c r="B14" s="37" t="s">
        <v>62</v>
      </c>
      <c r="C14" s="40"/>
      <c r="H14" s="41" t="s">
        <v>67</v>
      </c>
      <c r="I14" s="41"/>
      <c r="J14" s="42">
        <v>499.0</v>
      </c>
    </row>
    <row r="15">
      <c r="A15" s="30">
        <v>14.0</v>
      </c>
      <c r="B15" s="37" t="s">
        <v>62</v>
      </c>
      <c r="C15" s="40"/>
      <c r="H15" s="41" t="s">
        <v>68</v>
      </c>
      <c r="I15" s="41"/>
    </row>
    <row r="16">
      <c r="A16" s="30">
        <v>15.0</v>
      </c>
      <c r="B16" s="31" t="s">
        <v>69</v>
      </c>
      <c r="C16" s="34" t="s">
        <v>70</v>
      </c>
      <c r="H16" s="43" t="s">
        <v>71</v>
      </c>
      <c r="I16" s="44"/>
      <c r="J16" s="45">
        <v>1000.0</v>
      </c>
    </row>
    <row r="17">
      <c r="H17" s="43" t="s">
        <v>72</v>
      </c>
      <c r="I17" s="44"/>
    </row>
    <row r="19">
      <c r="A19" s="46"/>
      <c r="B19" s="47" t="s">
        <v>73</v>
      </c>
      <c r="C19" s="48" t="s">
        <v>74</v>
      </c>
      <c r="D19" s="49" t="s">
        <v>75</v>
      </c>
      <c r="E19" s="49" t="s">
        <v>76</v>
      </c>
      <c r="F19" s="49" t="s">
        <v>77</v>
      </c>
      <c r="G19" s="49" t="s">
        <v>78</v>
      </c>
      <c r="H19" s="49" t="s">
        <v>79</v>
      </c>
      <c r="I19" s="50" t="s">
        <v>80</v>
      </c>
      <c r="J19" s="50" t="s">
        <v>81</v>
      </c>
      <c r="K19" s="51"/>
      <c r="L19" s="22" t="s">
        <v>82</v>
      </c>
    </row>
    <row r="20">
      <c r="A20" s="52" t="s">
        <v>83</v>
      </c>
      <c r="B20" s="53" t="s">
        <v>84</v>
      </c>
      <c r="C20" s="54" t="s">
        <v>85</v>
      </c>
      <c r="D20" s="55" t="s">
        <v>86</v>
      </c>
      <c r="E20" s="56">
        <v>45727.0</v>
      </c>
      <c r="F20" s="55" t="str">
        <f t="shared" ref="F20:F29" si="1">left(G20,5)</f>
        <v>10011</v>
      </c>
      <c r="G20" s="55">
        <v>1.0011001E7</v>
      </c>
      <c r="H20" s="55">
        <v>1.0011999E7</v>
      </c>
      <c r="I20" s="57">
        <f t="shared" ref="I20:I139" si="2">H20-G20+1</f>
        <v>999</v>
      </c>
      <c r="J20" s="58">
        <f t="shared" ref="J20:J28" si="3">G21-H20</f>
        <v>1</v>
      </c>
      <c r="L20" s="25" t="str">
        <f t="shared" ref="L20:L29" si="4">if((F20-F19)&lt;0,"Error","")</f>
        <v>#VALUE!</v>
      </c>
    </row>
    <row r="21">
      <c r="A21" s="59"/>
      <c r="B21" s="53" t="s">
        <v>87</v>
      </c>
      <c r="C21" s="54" t="s">
        <v>88</v>
      </c>
      <c r="D21" s="55" t="s">
        <v>89</v>
      </c>
      <c r="E21" s="55">
        <v>9.0</v>
      </c>
      <c r="F21" s="55" t="str">
        <f t="shared" si="1"/>
        <v>10012</v>
      </c>
      <c r="G21" s="55">
        <v>1.0012E7</v>
      </c>
      <c r="H21" s="55">
        <v>1.0012999E7</v>
      </c>
      <c r="I21" s="57">
        <f t="shared" si="2"/>
        <v>1000</v>
      </c>
      <c r="J21" s="58">
        <f t="shared" si="3"/>
        <v>2</v>
      </c>
      <c r="L21" s="25" t="str">
        <f t="shared" si="4"/>
        <v/>
      </c>
    </row>
    <row r="22">
      <c r="A22" s="59"/>
      <c r="B22" s="53" t="s">
        <v>90</v>
      </c>
      <c r="C22" s="54" t="s">
        <v>91</v>
      </c>
      <c r="D22" s="55" t="s">
        <v>86</v>
      </c>
      <c r="E22" s="56">
        <v>45727.0</v>
      </c>
      <c r="F22" s="55" t="str">
        <f t="shared" si="1"/>
        <v>10013</v>
      </c>
      <c r="G22" s="55">
        <v>1.0013001E7</v>
      </c>
      <c r="H22" s="55">
        <v>1.0013999E7</v>
      </c>
      <c r="I22" s="57">
        <f t="shared" si="2"/>
        <v>999</v>
      </c>
      <c r="J22" s="58">
        <f t="shared" si="3"/>
        <v>1</v>
      </c>
      <c r="L22" s="25" t="str">
        <f t="shared" si="4"/>
        <v/>
      </c>
    </row>
    <row r="23">
      <c r="A23" s="59"/>
      <c r="B23" s="53" t="s">
        <v>92</v>
      </c>
      <c r="C23" s="54" t="s">
        <v>93</v>
      </c>
      <c r="D23" s="55" t="s">
        <v>89</v>
      </c>
      <c r="E23" s="55">
        <v>9.0</v>
      </c>
      <c r="F23" s="55" t="str">
        <f t="shared" si="1"/>
        <v>10014</v>
      </c>
      <c r="G23" s="55">
        <v>1.0014E7</v>
      </c>
      <c r="H23" s="55">
        <v>1.0014999E7</v>
      </c>
      <c r="I23" s="57">
        <f t="shared" si="2"/>
        <v>1000</v>
      </c>
      <c r="J23" s="58">
        <f t="shared" si="3"/>
        <v>5001</v>
      </c>
      <c r="L23" s="25" t="str">
        <f t="shared" si="4"/>
        <v/>
      </c>
    </row>
    <row r="24">
      <c r="A24" s="59"/>
      <c r="B24" s="53" t="s">
        <v>94</v>
      </c>
      <c r="C24" s="54" t="s">
        <v>95</v>
      </c>
      <c r="D24" s="55"/>
      <c r="E24" s="55">
        <v>9.0</v>
      </c>
      <c r="F24" s="55" t="str">
        <f t="shared" si="1"/>
        <v>10020</v>
      </c>
      <c r="G24" s="55">
        <v>1.002E7</v>
      </c>
      <c r="H24" s="55">
        <v>1.0020049E7</v>
      </c>
      <c r="I24" s="57">
        <f t="shared" si="2"/>
        <v>50</v>
      </c>
      <c r="J24" s="58">
        <f t="shared" si="3"/>
        <v>951</v>
      </c>
      <c r="L24" s="25" t="str">
        <f t="shared" si="4"/>
        <v/>
      </c>
    </row>
    <row r="25">
      <c r="A25" s="59"/>
      <c r="B25" s="53" t="s">
        <v>96</v>
      </c>
      <c r="C25" s="54" t="s">
        <v>97</v>
      </c>
      <c r="D25" s="55" t="s">
        <v>98</v>
      </c>
      <c r="E25" s="55">
        <v>3.0</v>
      </c>
      <c r="F25" s="55" t="str">
        <f t="shared" si="1"/>
        <v>10021</v>
      </c>
      <c r="G25" s="55">
        <v>1.0021E7</v>
      </c>
      <c r="H25" s="55">
        <v>1.0021499E7</v>
      </c>
      <c r="I25" s="57">
        <f t="shared" si="2"/>
        <v>500</v>
      </c>
      <c r="J25" s="58">
        <f t="shared" si="3"/>
        <v>1</v>
      </c>
      <c r="L25" s="25" t="str">
        <f t="shared" si="4"/>
        <v/>
      </c>
    </row>
    <row r="26">
      <c r="A26" s="59"/>
      <c r="B26" s="53" t="s">
        <v>99</v>
      </c>
      <c r="C26" s="54" t="s">
        <v>100</v>
      </c>
      <c r="D26" s="55" t="s">
        <v>98</v>
      </c>
      <c r="E26" s="55">
        <v>3.0</v>
      </c>
      <c r="F26" s="55" t="str">
        <f t="shared" si="1"/>
        <v>10021</v>
      </c>
      <c r="G26" s="55">
        <v>1.00215E7</v>
      </c>
      <c r="H26" s="55">
        <v>1.0021999E7</v>
      </c>
      <c r="I26" s="57">
        <f t="shared" si="2"/>
        <v>500</v>
      </c>
      <c r="J26" s="58">
        <f t="shared" si="3"/>
        <v>1</v>
      </c>
      <c r="L26" s="25" t="str">
        <f t="shared" si="4"/>
        <v/>
      </c>
    </row>
    <row r="27">
      <c r="A27" s="59"/>
      <c r="B27" s="53" t="s">
        <v>101</v>
      </c>
      <c r="C27" s="60"/>
      <c r="D27" s="55" t="s">
        <v>98</v>
      </c>
      <c r="E27" s="55">
        <v>3.0</v>
      </c>
      <c r="F27" s="55" t="str">
        <f t="shared" si="1"/>
        <v>10022</v>
      </c>
      <c r="G27" s="55">
        <v>1.0022E7</v>
      </c>
      <c r="H27" s="55">
        <v>1.0022499E7</v>
      </c>
      <c r="I27" s="57">
        <f t="shared" si="2"/>
        <v>500</v>
      </c>
      <c r="J27" s="58">
        <f t="shared" si="3"/>
        <v>501</v>
      </c>
      <c r="L27" s="25" t="str">
        <f t="shared" si="4"/>
        <v/>
      </c>
    </row>
    <row r="28">
      <c r="A28" s="59"/>
      <c r="B28" s="53" t="s">
        <v>102</v>
      </c>
      <c r="C28" s="60"/>
      <c r="D28" s="55" t="s">
        <v>98</v>
      </c>
      <c r="E28" s="55">
        <v>3.0</v>
      </c>
      <c r="F28" s="55" t="str">
        <f t="shared" si="1"/>
        <v>10023</v>
      </c>
      <c r="G28" s="55">
        <v>1.0023E7</v>
      </c>
      <c r="H28" s="55">
        <v>1.0023499E7</v>
      </c>
      <c r="I28" s="57">
        <f t="shared" si="2"/>
        <v>500</v>
      </c>
      <c r="J28" s="58">
        <f t="shared" si="3"/>
        <v>6501</v>
      </c>
      <c r="L28" s="25" t="str">
        <f t="shared" si="4"/>
        <v/>
      </c>
    </row>
    <row r="29">
      <c r="A29" s="59"/>
      <c r="B29" s="53" t="s">
        <v>103</v>
      </c>
      <c r="C29" s="60"/>
      <c r="D29" s="55" t="s">
        <v>104</v>
      </c>
      <c r="E29" s="55">
        <v>4.0</v>
      </c>
      <c r="F29" s="61" t="str">
        <f t="shared" si="1"/>
        <v>10030</v>
      </c>
      <c r="G29" s="55">
        <v>1.003E7</v>
      </c>
      <c r="H29" s="55">
        <v>1.0030499E7</v>
      </c>
      <c r="I29" s="57">
        <f t="shared" si="2"/>
        <v>500</v>
      </c>
      <c r="J29" s="58">
        <f>G31-H29</f>
        <v>501</v>
      </c>
      <c r="L29" s="25" t="str">
        <f t="shared" si="4"/>
        <v/>
      </c>
    </row>
    <row r="30">
      <c r="A30" s="59"/>
      <c r="B30" s="53" t="s">
        <v>105</v>
      </c>
      <c r="C30" s="60"/>
      <c r="D30" s="55" t="s">
        <v>106</v>
      </c>
      <c r="E30" s="55">
        <v>4.0</v>
      </c>
      <c r="F30" s="61">
        <v>10031.0</v>
      </c>
      <c r="G30" s="55">
        <v>1.0031E7</v>
      </c>
      <c r="H30" s="55">
        <v>1.0031999E7</v>
      </c>
      <c r="I30" s="57">
        <f t="shared" si="2"/>
        <v>1000</v>
      </c>
      <c r="J30" s="58">
        <f t="shared" ref="J30:J54" si="5">G31-H30</f>
        <v>-999</v>
      </c>
      <c r="L30" s="25" t="str">
        <f t="shared" ref="L30:L31" si="6">if((F30-F28)&lt;0,"Error","")</f>
        <v/>
      </c>
    </row>
    <row r="31">
      <c r="A31" s="59"/>
      <c r="B31" s="53" t="s">
        <v>107</v>
      </c>
      <c r="C31" s="60"/>
      <c r="D31" s="55" t="s">
        <v>106</v>
      </c>
      <c r="E31" s="55">
        <v>4.0</v>
      </c>
      <c r="F31" s="61">
        <v>10032.0</v>
      </c>
      <c r="G31" s="55">
        <v>1.0031E7</v>
      </c>
      <c r="H31" s="55">
        <v>1.0031999E7</v>
      </c>
      <c r="I31" s="57">
        <f t="shared" si="2"/>
        <v>1000</v>
      </c>
      <c r="J31" s="58">
        <f t="shared" si="5"/>
        <v>1</v>
      </c>
      <c r="L31" s="25" t="str">
        <f t="shared" si="6"/>
        <v/>
      </c>
    </row>
    <row r="32">
      <c r="A32" s="59"/>
      <c r="B32" s="53" t="s">
        <v>108</v>
      </c>
      <c r="C32" s="60"/>
      <c r="D32" s="55"/>
      <c r="E32" s="55">
        <v>4.0</v>
      </c>
      <c r="F32" s="61">
        <v>10033.0</v>
      </c>
      <c r="G32" s="55">
        <v>1.0032E7</v>
      </c>
      <c r="H32" s="55">
        <v>1.0033E7</v>
      </c>
      <c r="I32" s="57">
        <f t="shared" si="2"/>
        <v>1001</v>
      </c>
      <c r="J32" s="58">
        <f t="shared" si="5"/>
        <v>16001</v>
      </c>
      <c r="L32" s="25" t="str">
        <f t="shared" ref="L32:L39" si="7">if((F32-F31)&lt;0,"Error","")</f>
        <v/>
      </c>
    </row>
    <row r="33">
      <c r="A33" s="59"/>
      <c r="B33" s="62" t="s">
        <v>109</v>
      </c>
      <c r="C33" s="63"/>
      <c r="D33" s="64"/>
      <c r="E33" s="65">
        <v>3.0</v>
      </c>
      <c r="F33" s="65" t="str">
        <f>left(G33,5)</f>
        <v>10049</v>
      </c>
      <c r="G33" s="65">
        <v>1.0049001E7</v>
      </c>
      <c r="H33" s="65">
        <v>1.0049001E7</v>
      </c>
      <c r="I33" s="57">
        <f t="shared" si="2"/>
        <v>1</v>
      </c>
      <c r="J33" s="58">
        <f t="shared" si="5"/>
        <v>151000</v>
      </c>
      <c r="L33" s="25" t="str">
        <f t="shared" si="7"/>
        <v/>
      </c>
    </row>
    <row r="34">
      <c r="A34" s="59"/>
      <c r="B34" s="53" t="s">
        <v>110</v>
      </c>
      <c r="C34" s="54"/>
      <c r="D34" s="55"/>
      <c r="E34" s="55">
        <v>4.0</v>
      </c>
      <c r="F34" s="55">
        <v>10200.0</v>
      </c>
      <c r="G34" s="55">
        <v>1.0200001E7</v>
      </c>
      <c r="H34" s="55">
        <v>1.0200499E7</v>
      </c>
      <c r="I34" s="57">
        <f t="shared" si="2"/>
        <v>499</v>
      </c>
      <c r="J34" s="58">
        <f t="shared" si="5"/>
        <v>14502</v>
      </c>
      <c r="L34" s="25" t="str">
        <f t="shared" si="7"/>
        <v/>
      </c>
    </row>
    <row r="35">
      <c r="A35" s="59"/>
      <c r="B35" s="53" t="s">
        <v>111</v>
      </c>
      <c r="C35" s="54"/>
      <c r="D35" s="55"/>
      <c r="E35" s="55">
        <v>4.0</v>
      </c>
      <c r="F35" s="55">
        <v>10215.0</v>
      </c>
      <c r="G35" s="55">
        <v>1.0215001E7</v>
      </c>
      <c r="H35" s="55">
        <v>1.0215499E7</v>
      </c>
      <c r="I35" s="57">
        <f t="shared" si="2"/>
        <v>499</v>
      </c>
      <c r="J35" s="58">
        <f t="shared" si="5"/>
        <v>39502</v>
      </c>
      <c r="L35" s="25" t="str">
        <f t="shared" si="7"/>
        <v/>
      </c>
    </row>
    <row r="36">
      <c r="A36" s="59"/>
      <c r="B36" s="53" t="s">
        <v>112</v>
      </c>
      <c r="C36" s="54"/>
      <c r="D36" s="55"/>
      <c r="E36" s="55">
        <v>4.0</v>
      </c>
      <c r="F36" s="55">
        <v>10255.0</v>
      </c>
      <c r="G36" s="55">
        <v>1.0255001E7</v>
      </c>
      <c r="H36" s="55">
        <v>1.0255499E7</v>
      </c>
      <c r="I36" s="57">
        <f t="shared" si="2"/>
        <v>499</v>
      </c>
      <c r="J36" s="58">
        <f t="shared" si="5"/>
        <v>9502</v>
      </c>
      <c r="L36" s="25" t="str">
        <f t="shared" si="7"/>
        <v/>
      </c>
    </row>
    <row r="37">
      <c r="A37" s="59"/>
      <c r="B37" s="53" t="s">
        <v>113</v>
      </c>
      <c r="C37" s="54"/>
      <c r="D37" s="55"/>
      <c r="E37" s="55">
        <v>4.0</v>
      </c>
      <c r="F37" s="55">
        <v>10265.0</v>
      </c>
      <c r="G37" s="55">
        <v>1.0265001E7</v>
      </c>
      <c r="H37" s="55">
        <v>1.0265499E7</v>
      </c>
      <c r="I37" s="57">
        <f t="shared" si="2"/>
        <v>499</v>
      </c>
      <c r="J37" s="58">
        <f t="shared" si="5"/>
        <v>334501</v>
      </c>
      <c r="L37" s="25" t="str">
        <f t="shared" si="7"/>
        <v/>
      </c>
    </row>
    <row r="38">
      <c r="A38" s="59"/>
      <c r="B38" s="53" t="s">
        <v>114</v>
      </c>
      <c r="C38" s="54" t="s">
        <v>115</v>
      </c>
      <c r="D38" s="55"/>
      <c r="E38" s="55">
        <v>4.0</v>
      </c>
      <c r="F38" s="55" t="str">
        <f t="shared" ref="F38:F39" si="8">left(G38,5)</f>
        <v>10600</v>
      </c>
      <c r="G38" s="55">
        <v>1.06E7</v>
      </c>
      <c r="H38" s="55">
        <v>1.0600999E7</v>
      </c>
      <c r="I38" s="57">
        <f t="shared" si="2"/>
        <v>1000</v>
      </c>
      <c r="J38" s="58">
        <f t="shared" si="5"/>
        <v>1001</v>
      </c>
      <c r="L38" s="25" t="str">
        <f t="shared" si="7"/>
        <v/>
      </c>
    </row>
    <row r="39">
      <c r="A39" s="59"/>
      <c r="B39" s="53" t="s">
        <v>116</v>
      </c>
      <c r="C39" s="60" t="s">
        <v>117</v>
      </c>
      <c r="D39" s="55" t="s">
        <v>118</v>
      </c>
      <c r="E39" s="55">
        <v>4.0</v>
      </c>
      <c r="F39" s="55" t="str">
        <f t="shared" si="8"/>
        <v>10602</v>
      </c>
      <c r="G39" s="55">
        <v>1.0602E7</v>
      </c>
      <c r="H39" s="55">
        <v>1.0602999E7</v>
      </c>
      <c r="I39" s="57">
        <f t="shared" si="2"/>
        <v>1000</v>
      </c>
      <c r="J39" s="58">
        <f t="shared" si="5"/>
        <v>2</v>
      </c>
      <c r="L39" s="25" t="str">
        <f t="shared" si="7"/>
        <v/>
      </c>
    </row>
    <row r="40">
      <c r="A40" s="59"/>
      <c r="B40" s="53" t="s">
        <v>119</v>
      </c>
      <c r="C40" s="60"/>
      <c r="D40" s="55"/>
      <c r="E40" s="55">
        <v>4.0</v>
      </c>
      <c r="F40" s="55">
        <v>10603.0</v>
      </c>
      <c r="G40" s="55">
        <v>1.0603001E7</v>
      </c>
      <c r="H40" s="55">
        <v>1.0603499E7</v>
      </c>
      <c r="I40" s="57">
        <f t="shared" si="2"/>
        <v>499</v>
      </c>
      <c r="J40" s="58">
        <f t="shared" si="5"/>
        <v>96501</v>
      </c>
      <c r="L40" s="25"/>
    </row>
    <row r="41">
      <c r="A41" s="59"/>
      <c r="B41" s="53" t="s">
        <v>120</v>
      </c>
      <c r="C41" s="60"/>
      <c r="D41" s="55" t="s">
        <v>121</v>
      </c>
      <c r="E41" s="55">
        <v>10.0</v>
      </c>
      <c r="F41" s="55">
        <v>10700.0</v>
      </c>
      <c r="G41" s="55">
        <v>1.07E7</v>
      </c>
      <c r="H41" s="55">
        <v>1.0769999E7</v>
      </c>
      <c r="I41" s="57">
        <f t="shared" si="2"/>
        <v>70000</v>
      </c>
      <c r="J41" s="58">
        <f t="shared" si="5"/>
        <v>635002</v>
      </c>
      <c r="L41" s="25" t="str">
        <f>if((F41-F39)&lt;0,"Error","")</f>
        <v/>
      </c>
    </row>
    <row r="42">
      <c r="A42" s="59"/>
      <c r="B42" s="53" t="s">
        <v>122</v>
      </c>
      <c r="C42" s="60" t="s">
        <v>123</v>
      </c>
      <c r="D42" s="55"/>
      <c r="E42" s="55">
        <v>3.0</v>
      </c>
      <c r="F42" s="55" t="str">
        <f>left(G42,5)</f>
        <v>11405</v>
      </c>
      <c r="G42" s="55">
        <v>1.1405001E7</v>
      </c>
      <c r="H42" s="55">
        <v>1.1405999E7</v>
      </c>
      <c r="I42" s="57">
        <f t="shared" si="2"/>
        <v>999</v>
      </c>
      <c r="J42" s="58">
        <f t="shared" si="5"/>
        <v>34002</v>
      </c>
      <c r="L42" s="25" t="str">
        <f t="shared" ref="L42:L55" si="9">if((F42-F41)&lt;0,"Error","")</f>
        <v/>
      </c>
    </row>
    <row r="43">
      <c r="A43" s="59"/>
      <c r="B43" s="53" t="s">
        <v>124</v>
      </c>
      <c r="C43" s="54" t="s">
        <v>125</v>
      </c>
      <c r="D43" s="55"/>
      <c r="E43" s="55">
        <v>3.0</v>
      </c>
      <c r="F43" s="66">
        <v>11440.0</v>
      </c>
      <c r="G43" s="55">
        <v>1.1440001E7</v>
      </c>
      <c r="H43" s="55">
        <v>1.1440499E7</v>
      </c>
      <c r="I43" s="57">
        <f t="shared" si="2"/>
        <v>499</v>
      </c>
      <c r="J43" s="58">
        <f t="shared" si="5"/>
        <v>502</v>
      </c>
      <c r="L43" s="25" t="str">
        <f t="shared" si="9"/>
        <v/>
      </c>
    </row>
    <row r="44">
      <c r="A44" s="59"/>
      <c r="B44" s="53" t="s">
        <v>126</v>
      </c>
      <c r="C44" s="54"/>
      <c r="D44" s="55"/>
      <c r="E44" s="55">
        <v>3.0</v>
      </c>
      <c r="F44" s="66">
        <v>11441.0</v>
      </c>
      <c r="G44" s="67">
        <v>1.1441001E7</v>
      </c>
      <c r="H44" s="55">
        <v>1.1441499E7</v>
      </c>
      <c r="I44" s="57">
        <f t="shared" si="2"/>
        <v>499</v>
      </c>
      <c r="J44" s="58">
        <f t="shared" si="5"/>
        <v>8502</v>
      </c>
      <c r="L44" s="25" t="str">
        <f t="shared" si="9"/>
        <v/>
      </c>
    </row>
    <row r="45">
      <c r="A45" s="59"/>
      <c r="B45" s="68" t="s">
        <v>127</v>
      </c>
      <c r="C45" s="54"/>
      <c r="D45" s="55"/>
      <c r="E45" s="55">
        <v>3.0</v>
      </c>
      <c r="F45" s="66">
        <v>11450.0</v>
      </c>
      <c r="G45" s="67">
        <v>1.1450001E7</v>
      </c>
      <c r="H45" s="55">
        <v>1.1450499E7</v>
      </c>
      <c r="I45" s="57">
        <f t="shared" si="2"/>
        <v>499</v>
      </c>
      <c r="J45" s="58">
        <f t="shared" si="5"/>
        <v>502</v>
      </c>
      <c r="L45" s="25" t="str">
        <f t="shared" si="9"/>
        <v/>
      </c>
    </row>
    <row r="46">
      <c r="A46" s="59"/>
      <c r="B46" s="68" t="s">
        <v>128</v>
      </c>
      <c r="C46" s="54"/>
      <c r="D46" s="55"/>
      <c r="E46" s="55">
        <v>3.0</v>
      </c>
      <c r="F46" s="66">
        <v>11451.0</v>
      </c>
      <c r="G46" s="67">
        <v>1.1451001E7</v>
      </c>
      <c r="H46" s="55">
        <v>1.1451499E7</v>
      </c>
      <c r="I46" s="57">
        <f t="shared" si="2"/>
        <v>499</v>
      </c>
      <c r="J46" s="58">
        <f t="shared" si="5"/>
        <v>502</v>
      </c>
      <c r="L46" s="25" t="str">
        <f t="shared" si="9"/>
        <v/>
      </c>
    </row>
    <row r="47">
      <c r="A47" s="59"/>
      <c r="B47" s="69" t="s">
        <v>129</v>
      </c>
      <c r="C47" s="54"/>
      <c r="D47" s="55"/>
      <c r="E47" s="55">
        <v>3.0</v>
      </c>
      <c r="F47" s="66">
        <v>11452.0</v>
      </c>
      <c r="G47" s="67">
        <v>1.1452001E7</v>
      </c>
      <c r="H47" s="55">
        <v>1.1452499E7</v>
      </c>
      <c r="I47" s="57">
        <f t="shared" si="2"/>
        <v>499</v>
      </c>
      <c r="J47" s="58">
        <f t="shared" si="5"/>
        <v>502</v>
      </c>
      <c r="L47" s="25" t="str">
        <f t="shared" si="9"/>
        <v/>
      </c>
    </row>
    <row r="48">
      <c r="A48" s="59"/>
      <c r="B48" s="69" t="s">
        <v>130</v>
      </c>
      <c r="C48" s="54"/>
      <c r="D48" s="55"/>
      <c r="E48" s="55">
        <v>3.0</v>
      </c>
      <c r="F48" s="66">
        <v>11453.0</v>
      </c>
      <c r="G48" s="67">
        <v>1.1453001E7</v>
      </c>
      <c r="H48" s="55">
        <v>1.1453499E7</v>
      </c>
      <c r="I48" s="57">
        <f t="shared" si="2"/>
        <v>499</v>
      </c>
      <c r="J48" s="58">
        <f t="shared" si="5"/>
        <v>502</v>
      </c>
      <c r="L48" s="25" t="str">
        <f t="shared" si="9"/>
        <v/>
      </c>
    </row>
    <row r="49">
      <c r="A49" s="59"/>
      <c r="B49" s="70" t="s">
        <v>131</v>
      </c>
      <c r="C49" s="54"/>
      <c r="D49" s="55"/>
      <c r="E49" s="55">
        <v>3.0</v>
      </c>
      <c r="F49" s="66">
        <v>11454.0</v>
      </c>
      <c r="G49" s="67">
        <v>1.1454001E7</v>
      </c>
      <c r="H49" s="55">
        <v>1.1454499E7</v>
      </c>
      <c r="I49" s="57">
        <f t="shared" si="2"/>
        <v>499</v>
      </c>
      <c r="J49" s="58">
        <f t="shared" si="5"/>
        <v>502</v>
      </c>
      <c r="L49" s="25" t="str">
        <f t="shared" si="9"/>
        <v/>
      </c>
    </row>
    <row r="50">
      <c r="A50" s="59"/>
      <c r="B50" s="70" t="s">
        <v>132</v>
      </c>
      <c r="C50" s="54"/>
      <c r="D50" s="55"/>
      <c r="E50" s="55">
        <v>3.0</v>
      </c>
      <c r="F50" s="66">
        <v>11455.0</v>
      </c>
      <c r="G50" s="67">
        <v>1.1455001E7</v>
      </c>
      <c r="H50" s="55">
        <v>1.1455499E7</v>
      </c>
      <c r="I50" s="57">
        <f t="shared" si="2"/>
        <v>499</v>
      </c>
      <c r="J50" s="58">
        <f t="shared" si="5"/>
        <v>44502</v>
      </c>
      <c r="L50" s="25" t="str">
        <f t="shared" si="9"/>
        <v/>
      </c>
    </row>
    <row r="51">
      <c r="A51" s="59"/>
      <c r="B51" s="71" t="s">
        <v>133</v>
      </c>
      <c r="C51" s="62"/>
      <c r="D51" s="64"/>
      <c r="E51" s="72">
        <v>5.0</v>
      </c>
      <c r="F51" s="72">
        <v>11500.0</v>
      </c>
      <c r="G51" s="65">
        <f t="shared" ref="G51:G55" si="10">F51*1000+1</f>
        <v>11500001</v>
      </c>
      <c r="H51" s="55">
        <f t="shared" ref="H51:H55" si="11">F51*1000+499</f>
        <v>11500499</v>
      </c>
      <c r="I51" s="57">
        <f t="shared" si="2"/>
        <v>499</v>
      </c>
      <c r="J51" s="58">
        <f t="shared" si="5"/>
        <v>502</v>
      </c>
      <c r="L51" s="25" t="str">
        <f t="shared" si="9"/>
        <v/>
      </c>
    </row>
    <row r="52">
      <c r="A52" s="59"/>
      <c r="B52" s="71" t="s">
        <v>134</v>
      </c>
      <c r="C52" s="62"/>
      <c r="D52" s="64"/>
      <c r="E52" s="72">
        <v>5.0</v>
      </c>
      <c r="F52" s="72">
        <v>11501.0</v>
      </c>
      <c r="G52" s="65">
        <f t="shared" si="10"/>
        <v>11501001</v>
      </c>
      <c r="H52" s="55">
        <f t="shared" si="11"/>
        <v>11501499</v>
      </c>
      <c r="I52" s="57">
        <f t="shared" si="2"/>
        <v>499</v>
      </c>
      <c r="J52" s="58">
        <f t="shared" si="5"/>
        <v>502</v>
      </c>
      <c r="L52" s="25" t="str">
        <f t="shared" si="9"/>
        <v/>
      </c>
    </row>
    <row r="53">
      <c r="A53" s="59"/>
      <c r="B53" s="71" t="s">
        <v>135</v>
      </c>
      <c r="C53" s="62"/>
      <c r="D53" s="64"/>
      <c r="E53" s="72">
        <v>5.0</v>
      </c>
      <c r="F53" s="72">
        <v>11502.0</v>
      </c>
      <c r="G53" s="65">
        <f t="shared" si="10"/>
        <v>11502001</v>
      </c>
      <c r="H53" s="55">
        <f t="shared" si="11"/>
        <v>11502499</v>
      </c>
      <c r="I53" s="57">
        <f t="shared" si="2"/>
        <v>499</v>
      </c>
      <c r="J53" s="58">
        <f t="shared" si="5"/>
        <v>502</v>
      </c>
      <c r="L53" s="25" t="str">
        <f t="shared" si="9"/>
        <v/>
      </c>
    </row>
    <row r="54">
      <c r="A54" s="59"/>
      <c r="B54" s="71" t="s">
        <v>136</v>
      </c>
      <c r="C54" s="62"/>
      <c r="D54" s="64"/>
      <c r="E54" s="72">
        <v>5.0</v>
      </c>
      <c r="F54" s="72">
        <v>11503.0</v>
      </c>
      <c r="G54" s="65">
        <f t="shared" si="10"/>
        <v>11503001</v>
      </c>
      <c r="H54" s="55">
        <f t="shared" si="11"/>
        <v>11503499</v>
      </c>
      <c r="I54" s="57">
        <f t="shared" si="2"/>
        <v>499</v>
      </c>
      <c r="J54" s="58">
        <f t="shared" si="5"/>
        <v>502</v>
      </c>
      <c r="L54" s="25" t="str">
        <f t="shared" si="9"/>
        <v/>
      </c>
    </row>
    <row r="55">
      <c r="A55" s="59"/>
      <c r="B55" s="71" t="s">
        <v>137</v>
      </c>
      <c r="C55" s="62"/>
      <c r="D55" s="64"/>
      <c r="E55" s="72">
        <v>5.0</v>
      </c>
      <c r="F55" s="72">
        <v>11504.0</v>
      </c>
      <c r="G55" s="65">
        <f t="shared" si="10"/>
        <v>11504001</v>
      </c>
      <c r="H55" s="55">
        <f t="shared" si="11"/>
        <v>11504499</v>
      </c>
      <c r="I55" s="57">
        <f t="shared" si="2"/>
        <v>499</v>
      </c>
      <c r="J55" s="58">
        <f>G57-H55</f>
        <v>105502</v>
      </c>
      <c r="L55" s="25" t="str">
        <f t="shared" si="9"/>
        <v/>
      </c>
    </row>
    <row r="56">
      <c r="A56" s="59"/>
      <c r="B56" s="71" t="s">
        <v>138</v>
      </c>
      <c r="C56" s="62"/>
      <c r="D56" s="64"/>
      <c r="E56" s="65">
        <v>5.0</v>
      </c>
      <c r="F56" s="65">
        <v>11610.0</v>
      </c>
      <c r="G56" s="65">
        <v>1.1610001E7</v>
      </c>
      <c r="H56" s="55">
        <v>1.1610499E7</v>
      </c>
      <c r="I56" s="57">
        <f t="shared" si="2"/>
        <v>499</v>
      </c>
      <c r="J56" s="58">
        <f t="shared" ref="J56:J105" si="12">G57-H56</f>
        <v>-498</v>
      </c>
      <c r="L56" s="25" t="str">
        <f t="shared" ref="L56:L57" si="13">if((F56-F54)&lt;0,"Error","")</f>
        <v/>
      </c>
    </row>
    <row r="57">
      <c r="A57" s="59"/>
      <c r="B57" s="71" t="s">
        <v>139</v>
      </c>
      <c r="C57" s="62"/>
      <c r="D57" s="64"/>
      <c r="E57" s="65">
        <v>5.0</v>
      </c>
      <c r="F57" s="72">
        <v>11620.0</v>
      </c>
      <c r="G57" s="65">
        <v>1.1610001E7</v>
      </c>
      <c r="H57" s="55">
        <v>1.1610499E7</v>
      </c>
      <c r="I57" s="57">
        <f t="shared" si="2"/>
        <v>499</v>
      </c>
      <c r="J57" s="58">
        <f t="shared" si="12"/>
        <v>89502</v>
      </c>
      <c r="L57" s="25" t="str">
        <f t="shared" si="13"/>
        <v/>
      </c>
    </row>
    <row r="58">
      <c r="A58" s="59"/>
      <c r="B58" s="68" t="s">
        <v>140</v>
      </c>
      <c r="C58" s="54"/>
      <c r="D58" s="55" t="s">
        <v>141</v>
      </c>
      <c r="E58" s="55">
        <v>5.0</v>
      </c>
      <c r="F58" s="66">
        <v>11700.0</v>
      </c>
      <c r="G58" s="67">
        <v>1.1700001E7</v>
      </c>
      <c r="H58" s="67">
        <v>1.1700499E7</v>
      </c>
      <c r="I58" s="57">
        <f t="shared" si="2"/>
        <v>499</v>
      </c>
      <c r="J58" s="58">
        <f t="shared" si="12"/>
        <v>502</v>
      </c>
      <c r="L58" s="25" t="str">
        <f t="shared" ref="L58:L139" si="14">if((F58-F57)&lt;0,"Error","")</f>
        <v/>
      </c>
    </row>
    <row r="59">
      <c r="A59" s="59"/>
      <c r="B59" s="69" t="s">
        <v>142</v>
      </c>
      <c r="C59" s="54"/>
      <c r="D59" s="55" t="s">
        <v>141</v>
      </c>
      <c r="E59" s="55">
        <v>5.0</v>
      </c>
      <c r="F59" s="66">
        <v>11701.0</v>
      </c>
      <c r="G59" s="67">
        <v>1.1701001E7</v>
      </c>
      <c r="H59" s="67">
        <v>1.1701499E7</v>
      </c>
      <c r="I59" s="57">
        <f t="shared" si="2"/>
        <v>499</v>
      </c>
      <c r="J59" s="58">
        <f t="shared" si="12"/>
        <v>502</v>
      </c>
      <c r="L59" s="25" t="str">
        <f t="shared" si="14"/>
        <v/>
      </c>
    </row>
    <row r="60">
      <c r="A60" s="59"/>
      <c r="B60" s="70" t="s">
        <v>143</v>
      </c>
      <c r="C60" s="54"/>
      <c r="D60" s="55" t="s">
        <v>141</v>
      </c>
      <c r="E60" s="55">
        <v>5.0</v>
      </c>
      <c r="F60" s="66">
        <v>11702.0</v>
      </c>
      <c r="G60" s="67">
        <v>1.1702001E7</v>
      </c>
      <c r="H60" s="55">
        <v>1.1702499E7</v>
      </c>
      <c r="I60" s="57">
        <f t="shared" si="2"/>
        <v>499</v>
      </c>
      <c r="J60" s="58">
        <f t="shared" si="12"/>
        <v>297501</v>
      </c>
      <c r="L60" s="25" t="str">
        <f t="shared" si="14"/>
        <v/>
      </c>
    </row>
    <row r="61">
      <c r="A61" s="59"/>
      <c r="B61" s="53" t="s">
        <v>144</v>
      </c>
      <c r="C61" s="60"/>
      <c r="D61" s="55"/>
      <c r="E61" s="55">
        <v>8.0</v>
      </c>
      <c r="F61" s="55">
        <v>12000.0</v>
      </c>
      <c r="G61" s="55">
        <v>1.2E7</v>
      </c>
      <c r="H61" s="55">
        <v>1.2000999E7</v>
      </c>
      <c r="I61" s="57">
        <f t="shared" si="2"/>
        <v>1000</v>
      </c>
      <c r="J61" s="58">
        <f t="shared" si="12"/>
        <v>16001</v>
      </c>
      <c r="L61" s="25" t="str">
        <f t="shared" si="14"/>
        <v/>
      </c>
    </row>
    <row r="62">
      <c r="A62" s="59"/>
      <c r="B62" s="68" t="s">
        <v>145</v>
      </c>
      <c r="C62" s="60"/>
      <c r="D62" s="55"/>
      <c r="E62" s="55">
        <v>8.0</v>
      </c>
      <c r="F62" s="55">
        <v>12017.0</v>
      </c>
      <c r="G62" s="55">
        <v>1.2017E7</v>
      </c>
      <c r="H62" s="55">
        <v>1.2017999E7</v>
      </c>
      <c r="I62" s="57">
        <f t="shared" si="2"/>
        <v>1000</v>
      </c>
      <c r="J62" s="58">
        <f t="shared" si="12"/>
        <v>1</v>
      </c>
      <c r="L62" s="25" t="str">
        <f t="shared" si="14"/>
        <v/>
      </c>
    </row>
    <row r="63">
      <c r="A63" s="59"/>
      <c r="B63" s="68" t="s">
        <v>146</v>
      </c>
      <c r="C63" s="60"/>
      <c r="D63" s="55"/>
      <c r="E63" s="55">
        <v>8.0</v>
      </c>
      <c r="F63" s="55">
        <v>12018.0</v>
      </c>
      <c r="G63" s="55">
        <v>1.2018E7</v>
      </c>
      <c r="H63" s="55">
        <v>1.2018499E7</v>
      </c>
      <c r="I63" s="57">
        <f t="shared" si="2"/>
        <v>500</v>
      </c>
      <c r="J63" s="58">
        <f t="shared" si="12"/>
        <v>501</v>
      </c>
      <c r="L63" s="25" t="str">
        <f t="shared" si="14"/>
        <v/>
      </c>
    </row>
    <row r="64">
      <c r="A64" s="59"/>
      <c r="B64" s="68" t="s">
        <v>147</v>
      </c>
      <c r="C64" s="60"/>
      <c r="D64" s="55"/>
      <c r="E64" s="55">
        <v>8.0</v>
      </c>
      <c r="F64" s="55">
        <v>12019.0</v>
      </c>
      <c r="G64" s="55">
        <v>1.2019E7</v>
      </c>
      <c r="H64" s="55">
        <f t="shared" ref="H64:H96" si="15">F64*1000+499</f>
        <v>12019499</v>
      </c>
      <c r="I64" s="57">
        <f t="shared" si="2"/>
        <v>500</v>
      </c>
      <c r="J64" s="58">
        <f t="shared" si="12"/>
        <v>501</v>
      </c>
      <c r="L64" s="25" t="str">
        <f t="shared" si="14"/>
        <v/>
      </c>
    </row>
    <row r="65">
      <c r="A65" s="59"/>
      <c r="B65" s="68" t="s">
        <v>148</v>
      </c>
      <c r="C65" s="54"/>
      <c r="D65" s="55"/>
      <c r="E65" s="55">
        <v>8.0</v>
      </c>
      <c r="F65" s="55">
        <v>12020.0</v>
      </c>
      <c r="G65" s="55">
        <v>1.202E7</v>
      </c>
      <c r="H65" s="55">
        <f t="shared" si="15"/>
        <v>12020499</v>
      </c>
      <c r="I65" s="57">
        <f t="shared" si="2"/>
        <v>500</v>
      </c>
      <c r="J65" s="58">
        <f t="shared" si="12"/>
        <v>501</v>
      </c>
      <c r="L65" s="25" t="str">
        <f t="shared" si="14"/>
        <v/>
      </c>
    </row>
    <row r="66">
      <c r="A66" s="59"/>
      <c r="B66" s="68" t="s">
        <v>149</v>
      </c>
      <c r="C66" s="60"/>
      <c r="D66" s="55"/>
      <c r="E66" s="55">
        <v>8.0</v>
      </c>
      <c r="F66" s="55">
        <v>12021.0</v>
      </c>
      <c r="G66" s="55">
        <v>1.2021E7</v>
      </c>
      <c r="H66" s="55">
        <f t="shared" si="15"/>
        <v>12021499</v>
      </c>
      <c r="I66" s="57">
        <f t="shared" si="2"/>
        <v>500</v>
      </c>
      <c r="J66" s="58">
        <f t="shared" si="12"/>
        <v>501</v>
      </c>
      <c r="L66" s="25" t="str">
        <f t="shared" si="14"/>
        <v/>
      </c>
    </row>
    <row r="67">
      <c r="A67" s="59"/>
      <c r="B67" s="68" t="s">
        <v>150</v>
      </c>
      <c r="C67" s="60"/>
      <c r="D67" s="55"/>
      <c r="E67" s="55">
        <v>8.0</v>
      </c>
      <c r="F67" s="55">
        <v>12022.0</v>
      </c>
      <c r="G67" s="55">
        <v>1.2022E7</v>
      </c>
      <c r="H67" s="55">
        <f t="shared" si="15"/>
        <v>12022499</v>
      </c>
      <c r="I67" s="57">
        <f t="shared" si="2"/>
        <v>500</v>
      </c>
      <c r="J67" s="58">
        <f t="shared" si="12"/>
        <v>501</v>
      </c>
      <c r="L67" s="25" t="str">
        <f t="shared" si="14"/>
        <v/>
      </c>
    </row>
    <row r="68">
      <c r="A68" s="59"/>
      <c r="B68" s="68" t="s">
        <v>151</v>
      </c>
      <c r="C68" s="60"/>
      <c r="D68" s="55"/>
      <c r="E68" s="55">
        <v>8.0</v>
      </c>
      <c r="F68" s="55">
        <v>12023.0</v>
      </c>
      <c r="G68" s="55">
        <v>1.2023E7</v>
      </c>
      <c r="H68" s="55">
        <f t="shared" si="15"/>
        <v>12023499</v>
      </c>
      <c r="I68" s="57">
        <f t="shared" si="2"/>
        <v>500</v>
      </c>
      <c r="J68" s="58">
        <f t="shared" si="12"/>
        <v>501</v>
      </c>
      <c r="L68" s="25" t="str">
        <f t="shared" si="14"/>
        <v/>
      </c>
    </row>
    <row r="69">
      <c r="A69" s="59"/>
      <c r="B69" s="68" t="s">
        <v>152</v>
      </c>
      <c r="C69" s="54"/>
      <c r="D69" s="55"/>
      <c r="E69" s="55">
        <v>8.0</v>
      </c>
      <c r="F69" s="55">
        <v>12024.0</v>
      </c>
      <c r="G69" s="67">
        <v>1.2024E7</v>
      </c>
      <c r="H69" s="55">
        <f t="shared" si="15"/>
        <v>12024499</v>
      </c>
      <c r="I69" s="57">
        <f t="shared" si="2"/>
        <v>500</v>
      </c>
      <c r="J69" s="58">
        <f t="shared" si="12"/>
        <v>501</v>
      </c>
      <c r="L69" s="25" t="str">
        <f t="shared" si="14"/>
        <v/>
      </c>
    </row>
    <row r="70">
      <c r="A70" s="59"/>
      <c r="B70" s="69" t="s">
        <v>153</v>
      </c>
      <c r="C70" s="54"/>
      <c r="D70" s="55"/>
      <c r="E70" s="55">
        <v>8.0</v>
      </c>
      <c r="F70" s="55">
        <v>12025.0</v>
      </c>
      <c r="G70" s="67">
        <v>1.2025E7</v>
      </c>
      <c r="H70" s="55">
        <f t="shared" si="15"/>
        <v>12025499</v>
      </c>
      <c r="I70" s="57">
        <f t="shared" si="2"/>
        <v>500</v>
      </c>
      <c r="J70" s="58">
        <f t="shared" si="12"/>
        <v>501</v>
      </c>
      <c r="L70" s="25" t="str">
        <f t="shared" si="14"/>
        <v/>
      </c>
    </row>
    <row r="71">
      <c r="A71" s="59"/>
      <c r="B71" s="69" t="s">
        <v>154</v>
      </c>
      <c r="C71" s="54"/>
      <c r="D71" s="55"/>
      <c r="E71" s="55">
        <v>8.0</v>
      </c>
      <c r="F71" s="55">
        <v>12026.0</v>
      </c>
      <c r="G71" s="55">
        <v>1.2026E7</v>
      </c>
      <c r="H71" s="55">
        <f t="shared" si="15"/>
        <v>12026499</v>
      </c>
      <c r="I71" s="57">
        <f t="shared" si="2"/>
        <v>500</v>
      </c>
      <c r="J71" s="58">
        <f t="shared" si="12"/>
        <v>501</v>
      </c>
      <c r="L71" s="25" t="str">
        <f t="shared" si="14"/>
        <v/>
      </c>
    </row>
    <row r="72">
      <c r="A72" s="59"/>
      <c r="B72" s="69" t="s">
        <v>155</v>
      </c>
      <c r="C72" s="54"/>
      <c r="D72" s="55"/>
      <c r="E72" s="55">
        <v>8.0</v>
      </c>
      <c r="F72" s="55">
        <v>12027.0</v>
      </c>
      <c r="G72" s="67">
        <v>1.2027E7</v>
      </c>
      <c r="H72" s="55">
        <f t="shared" si="15"/>
        <v>12027499</v>
      </c>
      <c r="I72" s="57">
        <f t="shared" si="2"/>
        <v>500</v>
      </c>
      <c r="J72" s="58">
        <f t="shared" si="12"/>
        <v>501</v>
      </c>
      <c r="L72" s="25" t="str">
        <f t="shared" si="14"/>
        <v/>
      </c>
    </row>
    <row r="73">
      <c r="A73" s="59"/>
      <c r="B73" s="69" t="s">
        <v>156</v>
      </c>
      <c r="C73" s="54"/>
      <c r="D73" s="55"/>
      <c r="E73" s="55">
        <v>8.0</v>
      </c>
      <c r="F73" s="55">
        <v>12028.0</v>
      </c>
      <c r="G73" s="67">
        <v>1.2028E7</v>
      </c>
      <c r="H73" s="55">
        <f t="shared" si="15"/>
        <v>12028499</v>
      </c>
      <c r="I73" s="57">
        <f t="shared" si="2"/>
        <v>500</v>
      </c>
      <c r="J73" s="58">
        <f t="shared" si="12"/>
        <v>501</v>
      </c>
      <c r="L73" s="25" t="str">
        <f t="shared" si="14"/>
        <v/>
      </c>
    </row>
    <row r="74">
      <c r="A74" s="59"/>
      <c r="B74" s="69" t="s">
        <v>157</v>
      </c>
      <c r="C74" s="54"/>
      <c r="D74" s="55"/>
      <c r="E74" s="55">
        <v>8.0</v>
      </c>
      <c r="F74" s="55">
        <v>12029.0</v>
      </c>
      <c r="G74" s="67">
        <v>1.2029E7</v>
      </c>
      <c r="H74" s="55">
        <f t="shared" si="15"/>
        <v>12029499</v>
      </c>
      <c r="I74" s="57">
        <f t="shared" si="2"/>
        <v>500</v>
      </c>
      <c r="J74" s="58">
        <f t="shared" si="12"/>
        <v>501</v>
      </c>
      <c r="L74" s="25" t="str">
        <f t="shared" si="14"/>
        <v/>
      </c>
    </row>
    <row r="75">
      <c r="A75" s="59"/>
      <c r="B75" s="69" t="s">
        <v>158</v>
      </c>
      <c r="C75" s="54"/>
      <c r="D75" s="55"/>
      <c r="E75" s="55">
        <v>8.0</v>
      </c>
      <c r="F75" s="55">
        <v>12030.0</v>
      </c>
      <c r="G75" s="67">
        <v>1.203E7</v>
      </c>
      <c r="H75" s="55">
        <f t="shared" si="15"/>
        <v>12030499</v>
      </c>
      <c r="I75" s="57">
        <f t="shared" si="2"/>
        <v>500</v>
      </c>
      <c r="J75" s="58">
        <f t="shared" si="12"/>
        <v>501</v>
      </c>
      <c r="L75" s="25" t="str">
        <f t="shared" si="14"/>
        <v/>
      </c>
    </row>
    <row r="76">
      <c r="A76" s="59"/>
      <c r="B76" s="69" t="s">
        <v>159</v>
      </c>
      <c r="C76" s="54"/>
      <c r="D76" s="55"/>
      <c r="E76" s="55">
        <v>8.0</v>
      </c>
      <c r="F76" s="55">
        <v>12031.0</v>
      </c>
      <c r="G76" s="67">
        <v>1.2031E7</v>
      </c>
      <c r="H76" s="55">
        <f t="shared" si="15"/>
        <v>12031499</v>
      </c>
      <c r="I76" s="57">
        <f t="shared" si="2"/>
        <v>500</v>
      </c>
      <c r="J76" s="58">
        <f t="shared" si="12"/>
        <v>501</v>
      </c>
      <c r="L76" s="25" t="str">
        <f t="shared" si="14"/>
        <v/>
      </c>
    </row>
    <row r="77">
      <c r="A77" s="59"/>
      <c r="B77" s="69" t="s">
        <v>160</v>
      </c>
      <c r="C77" s="54"/>
      <c r="D77" s="55"/>
      <c r="E77" s="55">
        <v>8.0</v>
      </c>
      <c r="F77" s="55">
        <v>12032.0</v>
      </c>
      <c r="G77" s="67">
        <v>1.2032E7</v>
      </c>
      <c r="H77" s="55">
        <f t="shared" si="15"/>
        <v>12032499</v>
      </c>
      <c r="I77" s="57">
        <f t="shared" si="2"/>
        <v>500</v>
      </c>
      <c r="J77" s="58">
        <f t="shared" si="12"/>
        <v>501</v>
      </c>
      <c r="L77" s="25" t="str">
        <f t="shared" si="14"/>
        <v/>
      </c>
    </row>
    <row r="78">
      <c r="A78" s="59"/>
      <c r="B78" s="70" t="s">
        <v>161</v>
      </c>
      <c r="C78" s="54"/>
      <c r="D78" s="55"/>
      <c r="E78" s="55">
        <v>8.0</v>
      </c>
      <c r="F78" s="55">
        <v>12033.0</v>
      </c>
      <c r="G78" s="67">
        <v>1.2033E7</v>
      </c>
      <c r="H78" s="55">
        <f t="shared" si="15"/>
        <v>12033499</v>
      </c>
      <c r="I78" s="57">
        <f t="shared" si="2"/>
        <v>500</v>
      </c>
      <c r="J78" s="58">
        <f t="shared" si="12"/>
        <v>501</v>
      </c>
      <c r="L78" s="25" t="str">
        <f t="shared" si="14"/>
        <v/>
      </c>
    </row>
    <row r="79">
      <c r="A79" s="59"/>
      <c r="B79" s="70" t="s">
        <v>162</v>
      </c>
      <c r="C79" s="54"/>
      <c r="D79" s="55"/>
      <c r="E79" s="55">
        <v>8.0</v>
      </c>
      <c r="F79" s="55">
        <v>12034.0</v>
      </c>
      <c r="G79" s="55">
        <v>1.2034E7</v>
      </c>
      <c r="H79" s="55">
        <f t="shared" si="15"/>
        <v>12034499</v>
      </c>
      <c r="I79" s="57">
        <f t="shared" si="2"/>
        <v>500</v>
      </c>
      <c r="J79" s="58">
        <f t="shared" si="12"/>
        <v>501</v>
      </c>
      <c r="L79" s="25" t="str">
        <f t="shared" si="14"/>
        <v/>
      </c>
    </row>
    <row r="80">
      <c r="A80" s="59"/>
      <c r="B80" s="70" t="s">
        <v>163</v>
      </c>
      <c r="C80" s="54"/>
      <c r="D80" s="55"/>
      <c r="E80" s="55">
        <v>8.0</v>
      </c>
      <c r="F80" s="55">
        <v>12035.0</v>
      </c>
      <c r="G80" s="67">
        <v>1.2035E7</v>
      </c>
      <c r="H80" s="55">
        <f t="shared" si="15"/>
        <v>12035499</v>
      </c>
      <c r="I80" s="57">
        <f t="shared" si="2"/>
        <v>500</v>
      </c>
      <c r="J80" s="58">
        <f t="shared" si="12"/>
        <v>501</v>
      </c>
      <c r="L80" s="25" t="str">
        <f t="shared" si="14"/>
        <v/>
      </c>
    </row>
    <row r="81">
      <c r="A81" s="59"/>
      <c r="B81" s="70" t="s">
        <v>164</v>
      </c>
      <c r="C81" s="54" t="s">
        <v>165</v>
      </c>
      <c r="D81" s="55"/>
      <c r="E81" s="55">
        <v>8.0</v>
      </c>
      <c r="F81" s="55">
        <v>12036.0</v>
      </c>
      <c r="G81" s="67">
        <v>1.2036E7</v>
      </c>
      <c r="H81" s="55">
        <f t="shared" si="15"/>
        <v>12036499</v>
      </c>
      <c r="I81" s="57">
        <f t="shared" si="2"/>
        <v>500</v>
      </c>
      <c r="J81" s="58">
        <f t="shared" si="12"/>
        <v>501</v>
      </c>
      <c r="L81" s="25" t="str">
        <f t="shared" si="14"/>
        <v/>
      </c>
    </row>
    <row r="82">
      <c r="A82" s="59"/>
      <c r="B82" s="70" t="s">
        <v>166</v>
      </c>
      <c r="C82" s="54"/>
      <c r="D82" s="55"/>
      <c r="E82" s="55">
        <v>8.0</v>
      </c>
      <c r="F82" s="55">
        <v>12037.0</v>
      </c>
      <c r="G82" s="67">
        <v>1.2037E7</v>
      </c>
      <c r="H82" s="55">
        <f t="shared" si="15"/>
        <v>12037499</v>
      </c>
      <c r="I82" s="57">
        <f t="shared" si="2"/>
        <v>500</v>
      </c>
      <c r="J82" s="58">
        <f t="shared" si="12"/>
        <v>501</v>
      </c>
      <c r="L82" s="25" t="str">
        <f t="shared" si="14"/>
        <v/>
      </c>
    </row>
    <row r="83">
      <c r="A83" s="59"/>
      <c r="B83" s="70" t="s">
        <v>167</v>
      </c>
      <c r="C83" s="54"/>
      <c r="D83" s="55"/>
      <c r="E83" s="55">
        <v>8.0</v>
      </c>
      <c r="F83" s="55">
        <v>12038.0</v>
      </c>
      <c r="G83" s="67">
        <v>1.2038E7</v>
      </c>
      <c r="H83" s="55">
        <f t="shared" si="15"/>
        <v>12038499</v>
      </c>
      <c r="I83" s="57">
        <f t="shared" si="2"/>
        <v>500</v>
      </c>
      <c r="J83" s="58">
        <f t="shared" si="12"/>
        <v>501</v>
      </c>
      <c r="L83" s="25" t="str">
        <f t="shared" si="14"/>
        <v/>
      </c>
    </row>
    <row r="84">
      <c r="A84" s="59"/>
      <c r="B84" s="70" t="s">
        <v>168</v>
      </c>
      <c r="C84" s="54"/>
      <c r="D84" s="55"/>
      <c r="E84" s="55">
        <v>8.0</v>
      </c>
      <c r="F84" s="55">
        <v>12039.0</v>
      </c>
      <c r="G84" s="67">
        <v>1.2039E7</v>
      </c>
      <c r="H84" s="55">
        <f t="shared" si="15"/>
        <v>12039499</v>
      </c>
      <c r="I84" s="57">
        <f t="shared" si="2"/>
        <v>500</v>
      </c>
      <c r="J84" s="58">
        <f t="shared" si="12"/>
        <v>501</v>
      </c>
      <c r="L84" s="25" t="str">
        <f t="shared" si="14"/>
        <v/>
      </c>
    </row>
    <row r="85">
      <c r="A85" s="59"/>
      <c r="B85" s="70" t="s">
        <v>169</v>
      </c>
      <c r="C85" s="54"/>
      <c r="D85" s="55"/>
      <c r="E85" s="55">
        <v>8.0</v>
      </c>
      <c r="F85" s="55">
        <v>12040.0</v>
      </c>
      <c r="G85" s="67">
        <v>1.204E7</v>
      </c>
      <c r="H85" s="55">
        <f t="shared" si="15"/>
        <v>12040499</v>
      </c>
      <c r="I85" s="57">
        <f t="shared" si="2"/>
        <v>500</v>
      </c>
      <c r="J85" s="58">
        <f t="shared" si="12"/>
        <v>501</v>
      </c>
      <c r="L85" s="25" t="str">
        <f t="shared" si="14"/>
        <v/>
      </c>
    </row>
    <row r="86">
      <c r="A86" s="59"/>
      <c r="B86" s="68" t="s">
        <v>170</v>
      </c>
      <c r="C86" s="54"/>
      <c r="D86" s="55" t="s">
        <v>171</v>
      </c>
      <c r="E86" s="55">
        <v>8.0</v>
      </c>
      <c r="F86" s="55">
        <v>12041.0</v>
      </c>
      <c r="G86" s="67">
        <v>1.2041E7</v>
      </c>
      <c r="H86" s="55">
        <f t="shared" si="15"/>
        <v>12041499</v>
      </c>
      <c r="I86" s="57">
        <f t="shared" si="2"/>
        <v>500</v>
      </c>
      <c r="J86" s="58">
        <f t="shared" si="12"/>
        <v>501</v>
      </c>
      <c r="L86" s="25" t="str">
        <f t="shared" si="14"/>
        <v/>
      </c>
    </row>
    <row r="87">
      <c r="A87" s="59"/>
      <c r="B87" s="69" t="s">
        <v>172</v>
      </c>
      <c r="C87" s="54"/>
      <c r="D87" s="55" t="s">
        <v>171</v>
      </c>
      <c r="E87" s="55">
        <v>8.0</v>
      </c>
      <c r="F87" s="55">
        <v>12042.0</v>
      </c>
      <c r="G87" s="67">
        <v>1.2042E7</v>
      </c>
      <c r="H87" s="55">
        <f t="shared" si="15"/>
        <v>12042499</v>
      </c>
      <c r="I87" s="57">
        <f t="shared" si="2"/>
        <v>500</v>
      </c>
      <c r="J87" s="58">
        <f t="shared" si="12"/>
        <v>501</v>
      </c>
      <c r="L87" s="25" t="str">
        <f t="shared" si="14"/>
        <v/>
      </c>
    </row>
    <row r="88">
      <c r="A88" s="59"/>
      <c r="B88" s="70" t="s">
        <v>173</v>
      </c>
      <c r="C88" s="54"/>
      <c r="D88" s="55" t="s">
        <v>171</v>
      </c>
      <c r="E88" s="55">
        <v>8.0</v>
      </c>
      <c r="F88" s="55">
        <v>12043.0</v>
      </c>
      <c r="G88" s="67">
        <v>1.2043E7</v>
      </c>
      <c r="H88" s="55">
        <f t="shared" si="15"/>
        <v>12043499</v>
      </c>
      <c r="I88" s="57">
        <f t="shared" si="2"/>
        <v>500</v>
      </c>
      <c r="J88" s="58">
        <f t="shared" si="12"/>
        <v>502</v>
      </c>
      <c r="L88" s="25" t="str">
        <f t="shared" si="14"/>
        <v/>
      </c>
    </row>
    <row r="89">
      <c r="A89" s="59"/>
      <c r="B89" s="68" t="s">
        <v>174</v>
      </c>
      <c r="C89" s="54"/>
      <c r="D89" s="55" t="s">
        <v>171</v>
      </c>
      <c r="E89" s="55">
        <v>8.0</v>
      </c>
      <c r="F89" s="55">
        <v>12044.0</v>
      </c>
      <c r="G89" s="55">
        <v>1.2044001E7</v>
      </c>
      <c r="H89" s="55">
        <f t="shared" si="15"/>
        <v>12044499</v>
      </c>
      <c r="I89" s="57">
        <f t="shared" si="2"/>
        <v>499</v>
      </c>
      <c r="J89" s="58">
        <f t="shared" si="12"/>
        <v>502</v>
      </c>
      <c r="L89" s="25" t="str">
        <f t="shared" si="14"/>
        <v/>
      </c>
    </row>
    <row r="90">
      <c r="A90" s="59"/>
      <c r="B90" s="69" t="s">
        <v>175</v>
      </c>
      <c r="C90" s="54"/>
      <c r="D90" s="55" t="s">
        <v>171</v>
      </c>
      <c r="E90" s="55">
        <v>8.0</v>
      </c>
      <c r="F90" s="55">
        <v>12045.0</v>
      </c>
      <c r="G90" s="67">
        <v>1.2045001E7</v>
      </c>
      <c r="H90" s="55">
        <f t="shared" si="15"/>
        <v>12045499</v>
      </c>
      <c r="I90" s="57">
        <f t="shared" si="2"/>
        <v>499</v>
      </c>
      <c r="J90" s="58">
        <f t="shared" si="12"/>
        <v>502</v>
      </c>
      <c r="L90" s="25" t="str">
        <f t="shared" si="14"/>
        <v/>
      </c>
    </row>
    <row r="91">
      <c r="A91" s="59"/>
      <c r="B91" s="70" t="s">
        <v>176</v>
      </c>
      <c r="C91" s="54"/>
      <c r="D91" s="55" t="s">
        <v>171</v>
      </c>
      <c r="E91" s="55">
        <v>8.0</v>
      </c>
      <c r="F91" s="55">
        <v>12046.0</v>
      </c>
      <c r="G91" s="67">
        <v>1.2046001E7</v>
      </c>
      <c r="H91" s="55">
        <f t="shared" si="15"/>
        <v>12046499</v>
      </c>
      <c r="I91" s="57">
        <f t="shared" si="2"/>
        <v>499</v>
      </c>
      <c r="J91" s="58">
        <f t="shared" si="12"/>
        <v>3502</v>
      </c>
      <c r="L91" s="25" t="str">
        <f t="shared" si="14"/>
        <v/>
      </c>
    </row>
    <row r="92">
      <c r="A92" s="59"/>
      <c r="B92" s="53" t="s">
        <v>177</v>
      </c>
      <c r="C92" s="54"/>
      <c r="D92" s="55"/>
      <c r="E92" s="55">
        <v>8.0</v>
      </c>
      <c r="F92" s="55">
        <v>12050.0</v>
      </c>
      <c r="G92" s="67">
        <v>1.2050001E7</v>
      </c>
      <c r="H92" s="55">
        <f t="shared" si="15"/>
        <v>12050499</v>
      </c>
      <c r="I92" s="57">
        <f t="shared" si="2"/>
        <v>499</v>
      </c>
      <c r="J92" s="58">
        <f t="shared" si="12"/>
        <v>502</v>
      </c>
      <c r="L92" s="25" t="str">
        <f t="shared" si="14"/>
        <v/>
      </c>
    </row>
    <row r="93">
      <c r="A93" s="59"/>
      <c r="B93" s="68" t="s">
        <v>178</v>
      </c>
      <c r="C93" s="54"/>
      <c r="D93" s="55"/>
      <c r="E93" s="55">
        <v>8.0</v>
      </c>
      <c r="F93" s="55">
        <v>12051.0</v>
      </c>
      <c r="G93" s="67">
        <v>1.2051001E7</v>
      </c>
      <c r="H93" s="55">
        <f t="shared" si="15"/>
        <v>12051499</v>
      </c>
      <c r="I93" s="57">
        <f t="shared" si="2"/>
        <v>499</v>
      </c>
      <c r="J93" s="58">
        <f t="shared" si="12"/>
        <v>502</v>
      </c>
      <c r="L93" s="25" t="str">
        <f t="shared" si="14"/>
        <v/>
      </c>
    </row>
    <row r="94">
      <c r="A94" s="59"/>
      <c r="B94" s="69" t="s">
        <v>179</v>
      </c>
      <c r="C94" s="54"/>
      <c r="D94" s="55"/>
      <c r="E94" s="55">
        <v>8.0</v>
      </c>
      <c r="F94" s="55">
        <v>12052.0</v>
      </c>
      <c r="G94" s="67">
        <v>1.2052001E7</v>
      </c>
      <c r="H94" s="55">
        <f t="shared" si="15"/>
        <v>12052499</v>
      </c>
      <c r="I94" s="57">
        <f t="shared" si="2"/>
        <v>499</v>
      </c>
      <c r="J94" s="58">
        <f t="shared" si="12"/>
        <v>504</v>
      </c>
      <c r="L94" s="25" t="str">
        <f t="shared" si="14"/>
        <v/>
      </c>
    </row>
    <row r="95">
      <c r="A95" s="59"/>
      <c r="B95" s="70" t="s">
        <v>180</v>
      </c>
      <c r="C95" s="54"/>
      <c r="D95" s="55"/>
      <c r="E95" s="55">
        <v>8.0</v>
      </c>
      <c r="F95" s="55">
        <v>12053.0</v>
      </c>
      <c r="G95" s="67">
        <v>1.2053003E7</v>
      </c>
      <c r="H95" s="55">
        <f t="shared" si="15"/>
        <v>12053499</v>
      </c>
      <c r="I95" s="57">
        <f t="shared" si="2"/>
        <v>497</v>
      </c>
      <c r="J95" s="58">
        <f t="shared" si="12"/>
        <v>43502</v>
      </c>
      <c r="L95" s="25" t="str">
        <f t="shared" si="14"/>
        <v/>
      </c>
    </row>
    <row r="96">
      <c r="A96" s="59"/>
      <c r="B96" s="53" t="s">
        <v>181</v>
      </c>
      <c r="C96" s="54"/>
      <c r="D96" s="55" t="s">
        <v>171</v>
      </c>
      <c r="E96" s="55">
        <v>8.0</v>
      </c>
      <c r="F96" s="55">
        <v>12097.0</v>
      </c>
      <c r="G96" s="67">
        <v>1.2097001E7</v>
      </c>
      <c r="H96" s="55">
        <f t="shared" si="15"/>
        <v>12097499</v>
      </c>
      <c r="I96" s="57">
        <f t="shared" si="2"/>
        <v>499</v>
      </c>
      <c r="J96" s="58">
        <f t="shared" si="12"/>
        <v>501</v>
      </c>
      <c r="L96" s="25" t="str">
        <f t="shared" si="14"/>
        <v/>
      </c>
    </row>
    <row r="97">
      <c r="A97" s="59"/>
      <c r="B97" s="53" t="s">
        <v>182</v>
      </c>
      <c r="C97" s="54"/>
      <c r="D97" s="55"/>
      <c r="E97" s="55">
        <v>8.0</v>
      </c>
      <c r="F97" s="55" t="str">
        <f t="shared" ref="F97:F98" si="16">left(G97,5)</f>
        <v>12098</v>
      </c>
      <c r="G97" s="67">
        <v>1.2098E7</v>
      </c>
      <c r="H97" s="55">
        <v>1.2098099E7</v>
      </c>
      <c r="I97" s="57">
        <f t="shared" si="2"/>
        <v>100</v>
      </c>
      <c r="J97" s="58">
        <f t="shared" si="12"/>
        <v>901</v>
      </c>
      <c r="L97" s="25" t="str">
        <f t="shared" si="14"/>
        <v/>
      </c>
    </row>
    <row r="98">
      <c r="A98" s="59"/>
      <c r="B98" s="53" t="s">
        <v>183</v>
      </c>
      <c r="C98" s="54"/>
      <c r="D98" s="55"/>
      <c r="E98" s="55">
        <v>8.0</v>
      </c>
      <c r="F98" s="55" t="str">
        <f t="shared" si="16"/>
        <v>12099</v>
      </c>
      <c r="G98" s="67">
        <v>1.2099E7</v>
      </c>
      <c r="H98" s="55">
        <v>1.2099099E7</v>
      </c>
      <c r="I98" s="57">
        <f t="shared" si="2"/>
        <v>100</v>
      </c>
      <c r="J98" s="58">
        <f t="shared" si="12"/>
        <v>902</v>
      </c>
      <c r="L98" s="25" t="str">
        <f t="shared" si="14"/>
        <v/>
      </c>
    </row>
    <row r="99">
      <c r="A99" s="73"/>
      <c r="B99" s="53" t="s">
        <v>184</v>
      </c>
      <c r="C99" s="54"/>
      <c r="D99" s="55"/>
      <c r="E99" s="55">
        <v>8.0</v>
      </c>
      <c r="F99" s="55">
        <v>12100.0</v>
      </c>
      <c r="G99" s="67">
        <v>1.2100001E7</v>
      </c>
      <c r="H99" s="55">
        <v>1.2100999E7</v>
      </c>
      <c r="I99" s="57">
        <f t="shared" si="2"/>
        <v>999</v>
      </c>
      <c r="J99" s="58">
        <f t="shared" si="12"/>
        <v>7909001</v>
      </c>
      <c r="L99" s="25" t="str">
        <f t="shared" si="14"/>
        <v/>
      </c>
    </row>
    <row r="100">
      <c r="A100" s="74" t="s">
        <v>185</v>
      </c>
      <c r="B100" s="75" t="s">
        <v>186</v>
      </c>
      <c r="C100" s="76"/>
      <c r="D100" s="77"/>
      <c r="E100" s="77"/>
      <c r="F100" s="77" t="str">
        <f t="shared" ref="F100:F130" si="17">left(G100,5)</f>
        <v>20010</v>
      </c>
      <c r="G100" s="78">
        <v>2.001E7</v>
      </c>
      <c r="H100" s="77">
        <v>2.0010999E7</v>
      </c>
      <c r="I100" s="79">
        <f t="shared" si="2"/>
        <v>1000</v>
      </c>
      <c r="J100" s="79">
        <f t="shared" si="12"/>
        <v>4001</v>
      </c>
      <c r="L100" s="25" t="str">
        <f t="shared" si="14"/>
        <v/>
      </c>
    </row>
    <row r="101">
      <c r="A101" s="59"/>
      <c r="B101" s="75" t="s">
        <v>187</v>
      </c>
      <c r="C101" s="76"/>
      <c r="D101" s="77"/>
      <c r="E101" s="77"/>
      <c r="F101" s="77" t="str">
        <f t="shared" si="17"/>
        <v>20015</v>
      </c>
      <c r="G101" s="78">
        <v>2.0015E7</v>
      </c>
      <c r="H101" s="77">
        <v>2.0015999E7</v>
      </c>
      <c r="I101" s="79">
        <f t="shared" si="2"/>
        <v>1000</v>
      </c>
      <c r="J101" s="79">
        <f t="shared" si="12"/>
        <v>4001</v>
      </c>
      <c r="L101" s="25" t="str">
        <f t="shared" si="14"/>
        <v/>
      </c>
    </row>
    <row r="102">
      <c r="A102" s="59"/>
      <c r="B102" s="75" t="s">
        <v>188</v>
      </c>
      <c r="C102" s="76"/>
      <c r="D102" s="77"/>
      <c r="E102" s="77"/>
      <c r="F102" s="77" t="str">
        <f t="shared" si="17"/>
        <v>20020</v>
      </c>
      <c r="G102" s="78">
        <v>2.002E7</v>
      </c>
      <c r="H102" s="77">
        <v>2.0020999E7</v>
      </c>
      <c r="I102" s="79">
        <f t="shared" si="2"/>
        <v>1000</v>
      </c>
      <c r="J102" s="79">
        <f t="shared" si="12"/>
        <v>4001</v>
      </c>
      <c r="L102" s="25" t="str">
        <f t="shared" si="14"/>
        <v/>
      </c>
    </row>
    <row r="103">
      <c r="A103" s="59"/>
      <c r="B103" s="75" t="s">
        <v>189</v>
      </c>
      <c r="C103" s="76"/>
      <c r="D103" s="77"/>
      <c r="E103" s="77"/>
      <c r="F103" s="77" t="str">
        <f t="shared" si="17"/>
        <v>20025</v>
      </c>
      <c r="G103" s="78">
        <v>2.0025E7</v>
      </c>
      <c r="H103" s="77">
        <v>2.0025999E7</v>
      </c>
      <c r="I103" s="79">
        <f t="shared" si="2"/>
        <v>1000</v>
      </c>
      <c r="J103" s="79">
        <f t="shared" si="12"/>
        <v>4001</v>
      </c>
      <c r="L103" s="25" t="str">
        <f t="shared" si="14"/>
        <v/>
      </c>
    </row>
    <row r="104">
      <c r="A104" s="59"/>
      <c r="B104" s="75" t="s">
        <v>190</v>
      </c>
      <c r="C104" s="76"/>
      <c r="D104" s="77"/>
      <c r="E104" s="77"/>
      <c r="F104" s="77" t="str">
        <f t="shared" si="17"/>
        <v>20030</v>
      </c>
      <c r="G104" s="78">
        <v>2.003E7</v>
      </c>
      <c r="H104" s="77">
        <v>2.0030999E7</v>
      </c>
      <c r="I104" s="79">
        <f t="shared" si="2"/>
        <v>1000</v>
      </c>
      <c r="J104" s="79">
        <f t="shared" si="12"/>
        <v>4001</v>
      </c>
      <c r="L104" s="25" t="str">
        <f t="shared" si="14"/>
        <v/>
      </c>
    </row>
    <row r="105">
      <c r="A105" s="59"/>
      <c r="B105" s="75" t="s">
        <v>191</v>
      </c>
      <c r="C105" s="76"/>
      <c r="D105" s="77"/>
      <c r="E105" s="77"/>
      <c r="F105" s="77" t="str">
        <f t="shared" si="17"/>
        <v>20035</v>
      </c>
      <c r="G105" s="78">
        <v>2.0035E7</v>
      </c>
      <c r="H105" s="77">
        <v>2.0035999E7</v>
      </c>
      <c r="I105" s="79">
        <f t="shared" si="2"/>
        <v>1000</v>
      </c>
      <c r="J105" s="79">
        <f t="shared" si="12"/>
        <v>4001</v>
      </c>
      <c r="L105" s="25" t="str">
        <f t="shared" si="14"/>
        <v/>
      </c>
    </row>
    <row r="106">
      <c r="A106" s="59"/>
      <c r="B106" s="75" t="s">
        <v>192</v>
      </c>
      <c r="C106" s="76"/>
      <c r="D106" s="77"/>
      <c r="E106" s="77"/>
      <c r="F106" s="77" t="str">
        <f t="shared" si="17"/>
        <v>20040</v>
      </c>
      <c r="G106" s="78">
        <v>2.004E7</v>
      </c>
      <c r="H106" s="77">
        <v>2.0040999E7</v>
      </c>
      <c r="I106" s="79">
        <f t="shared" si="2"/>
        <v>1000</v>
      </c>
      <c r="J106" s="79">
        <f>G131-H106</f>
        <v>9959001</v>
      </c>
      <c r="L106" s="25" t="str">
        <f t="shared" si="14"/>
        <v/>
      </c>
    </row>
    <row r="107">
      <c r="A107" s="59"/>
      <c r="B107" s="75" t="s">
        <v>193</v>
      </c>
      <c r="C107" s="76"/>
      <c r="D107" s="77"/>
      <c r="E107" s="77"/>
      <c r="F107" s="77" t="str">
        <f t="shared" si="17"/>
        <v>20060</v>
      </c>
      <c r="G107" s="78">
        <v>2.006E7</v>
      </c>
      <c r="H107" s="77">
        <f t="shared" ref="H107:H130" si="18">G107+999</f>
        <v>20060999</v>
      </c>
      <c r="I107" s="79">
        <f t="shared" si="2"/>
        <v>1000</v>
      </c>
      <c r="J107" s="79">
        <f t="shared" ref="J107:J139" si="19">G108-H107</f>
        <v>9001</v>
      </c>
      <c r="L107" s="25" t="str">
        <f t="shared" si="14"/>
        <v/>
      </c>
    </row>
    <row r="108">
      <c r="A108" s="59"/>
      <c r="B108" s="75" t="s">
        <v>194</v>
      </c>
      <c r="C108" s="76"/>
      <c r="D108" s="77"/>
      <c r="E108" s="77"/>
      <c r="F108" s="77" t="str">
        <f t="shared" si="17"/>
        <v>20070</v>
      </c>
      <c r="G108" s="78">
        <f t="shared" ref="G108:G130" si="20">G107+10000</f>
        <v>20070000</v>
      </c>
      <c r="H108" s="77">
        <f t="shared" si="18"/>
        <v>20070999</v>
      </c>
      <c r="I108" s="79">
        <f t="shared" si="2"/>
        <v>1000</v>
      </c>
      <c r="J108" s="79">
        <f t="shared" si="19"/>
        <v>9001</v>
      </c>
      <c r="L108" s="25" t="str">
        <f t="shared" si="14"/>
        <v/>
      </c>
    </row>
    <row r="109">
      <c r="A109" s="59"/>
      <c r="B109" s="75" t="s">
        <v>195</v>
      </c>
      <c r="C109" s="76"/>
      <c r="D109" s="77"/>
      <c r="E109" s="77"/>
      <c r="F109" s="77" t="str">
        <f t="shared" si="17"/>
        <v>20080</v>
      </c>
      <c r="G109" s="78">
        <f t="shared" si="20"/>
        <v>20080000</v>
      </c>
      <c r="H109" s="77">
        <f t="shared" si="18"/>
        <v>20080999</v>
      </c>
      <c r="I109" s="79">
        <f t="shared" si="2"/>
        <v>1000</v>
      </c>
      <c r="J109" s="79">
        <f t="shared" si="19"/>
        <v>9001</v>
      </c>
      <c r="L109" s="25" t="str">
        <f t="shared" si="14"/>
        <v/>
      </c>
    </row>
    <row r="110">
      <c r="A110" s="59"/>
      <c r="B110" s="75" t="s">
        <v>196</v>
      </c>
      <c r="C110" s="76"/>
      <c r="D110" s="77"/>
      <c r="E110" s="77"/>
      <c r="F110" s="77" t="str">
        <f t="shared" si="17"/>
        <v>20090</v>
      </c>
      <c r="G110" s="78">
        <f t="shared" si="20"/>
        <v>20090000</v>
      </c>
      <c r="H110" s="77">
        <f t="shared" si="18"/>
        <v>20090999</v>
      </c>
      <c r="I110" s="79">
        <f t="shared" si="2"/>
        <v>1000</v>
      </c>
      <c r="J110" s="79">
        <f t="shared" si="19"/>
        <v>9001</v>
      </c>
      <c r="L110" s="25" t="str">
        <f t="shared" si="14"/>
        <v/>
      </c>
    </row>
    <row r="111">
      <c r="A111" s="59"/>
      <c r="B111" s="75" t="s">
        <v>197</v>
      </c>
      <c r="C111" s="76"/>
      <c r="D111" s="77"/>
      <c r="E111" s="77"/>
      <c r="F111" s="77" t="str">
        <f t="shared" si="17"/>
        <v>20100</v>
      </c>
      <c r="G111" s="78">
        <f t="shared" si="20"/>
        <v>20100000</v>
      </c>
      <c r="H111" s="77">
        <f t="shared" si="18"/>
        <v>20100999</v>
      </c>
      <c r="I111" s="79">
        <f t="shared" si="2"/>
        <v>1000</v>
      </c>
      <c r="J111" s="79">
        <f t="shared" si="19"/>
        <v>9001</v>
      </c>
      <c r="L111" s="25" t="str">
        <f t="shared" si="14"/>
        <v/>
      </c>
    </row>
    <row r="112">
      <c r="A112" s="59"/>
      <c r="B112" s="75" t="s">
        <v>197</v>
      </c>
      <c r="C112" s="76"/>
      <c r="D112" s="77"/>
      <c r="E112" s="77"/>
      <c r="F112" s="77" t="str">
        <f t="shared" si="17"/>
        <v>20110</v>
      </c>
      <c r="G112" s="78">
        <f t="shared" si="20"/>
        <v>20110000</v>
      </c>
      <c r="H112" s="77">
        <f t="shared" si="18"/>
        <v>20110999</v>
      </c>
      <c r="I112" s="79">
        <f t="shared" si="2"/>
        <v>1000</v>
      </c>
      <c r="J112" s="79">
        <f t="shared" si="19"/>
        <v>9001</v>
      </c>
      <c r="L112" s="25" t="str">
        <f t="shared" si="14"/>
        <v/>
      </c>
    </row>
    <row r="113">
      <c r="A113" s="59"/>
      <c r="B113" s="75" t="s">
        <v>198</v>
      </c>
      <c r="C113" s="76"/>
      <c r="D113" s="77"/>
      <c r="E113" s="77"/>
      <c r="F113" s="77" t="str">
        <f t="shared" si="17"/>
        <v>20120</v>
      </c>
      <c r="G113" s="78">
        <f t="shared" si="20"/>
        <v>20120000</v>
      </c>
      <c r="H113" s="77">
        <f t="shared" si="18"/>
        <v>20120999</v>
      </c>
      <c r="I113" s="79">
        <f t="shared" si="2"/>
        <v>1000</v>
      </c>
      <c r="J113" s="79">
        <f t="shared" si="19"/>
        <v>9001</v>
      </c>
      <c r="L113" s="25" t="str">
        <f t="shared" si="14"/>
        <v/>
      </c>
    </row>
    <row r="114">
      <c r="A114" s="59"/>
      <c r="B114" s="75" t="s">
        <v>198</v>
      </c>
      <c r="C114" s="76"/>
      <c r="D114" s="77"/>
      <c r="E114" s="77"/>
      <c r="F114" s="77" t="str">
        <f t="shared" si="17"/>
        <v>20130</v>
      </c>
      <c r="G114" s="78">
        <f t="shared" si="20"/>
        <v>20130000</v>
      </c>
      <c r="H114" s="77">
        <f t="shared" si="18"/>
        <v>20130999</v>
      </c>
      <c r="I114" s="79">
        <f t="shared" si="2"/>
        <v>1000</v>
      </c>
      <c r="J114" s="79">
        <f t="shared" si="19"/>
        <v>9001</v>
      </c>
      <c r="L114" s="25" t="str">
        <f t="shared" si="14"/>
        <v/>
      </c>
    </row>
    <row r="115">
      <c r="A115" s="59"/>
      <c r="B115" s="75" t="s">
        <v>199</v>
      </c>
      <c r="C115" s="76"/>
      <c r="D115" s="77"/>
      <c r="E115" s="77"/>
      <c r="F115" s="77" t="str">
        <f t="shared" si="17"/>
        <v>20140</v>
      </c>
      <c r="G115" s="78">
        <f t="shared" si="20"/>
        <v>20140000</v>
      </c>
      <c r="H115" s="77">
        <f t="shared" si="18"/>
        <v>20140999</v>
      </c>
      <c r="I115" s="79">
        <f t="shared" si="2"/>
        <v>1000</v>
      </c>
      <c r="J115" s="79">
        <f t="shared" si="19"/>
        <v>9001</v>
      </c>
      <c r="L115" s="25" t="str">
        <f t="shared" si="14"/>
        <v/>
      </c>
    </row>
    <row r="116">
      <c r="A116" s="59"/>
      <c r="B116" s="75" t="s">
        <v>199</v>
      </c>
      <c r="C116" s="76"/>
      <c r="D116" s="77"/>
      <c r="E116" s="77"/>
      <c r="F116" s="77" t="str">
        <f t="shared" si="17"/>
        <v>20150</v>
      </c>
      <c r="G116" s="78">
        <f t="shared" si="20"/>
        <v>20150000</v>
      </c>
      <c r="H116" s="77">
        <f t="shared" si="18"/>
        <v>20150999</v>
      </c>
      <c r="I116" s="79">
        <f t="shared" si="2"/>
        <v>1000</v>
      </c>
      <c r="J116" s="79">
        <f t="shared" si="19"/>
        <v>9001</v>
      </c>
      <c r="L116" s="25" t="str">
        <f t="shared" si="14"/>
        <v/>
      </c>
    </row>
    <row r="117">
      <c r="A117" s="59"/>
      <c r="B117" s="75" t="s">
        <v>200</v>
      </c>
      <c r="C117" s="76"/>
      <c r="D117" s="77"/>
      <c r="E117" s="77"/>
      <c r="F117" s="77" t="str">
        <f t="shared" si="17"/>
        <v>20160</v>
      </c>
      <c r="G117" s="78">
        <f t="shared" si="20"/>
        <v>20160000</v>
      </c>
      <c r="H117" s="77">
        <f t="shared" si="18"/>
        <v>20160999</v>
      </c>
      <c r="I117" s="79">
        <f t="shared" si="2"/>
        <v>1000</v>
      </c>
      <c r="J117" s="79">
        <f t="shared" si="19"/>
        <v>9001</v>
      </c>
      <c r="L117" s="25" t="str">
        <f t="shared" si="14"/>
        <v/>
      </c>
    </row>
    <row r="118">
      <c r="A118" s="59"/>
      <c r="B118" s="75" t="s">
        <v>200</v>
      </c>
      <c r="C118" s="76"/>
      <c r="D118" s="77"/>
      <c r="E118" s="77"/>
      <c r="F118" s="77" t="str">
        <f t="shared" si="17"/>
        <v>20170</v>
      </c>
      <c r="G118" s="78">
        <f t="shared" si="20"/>
        <v>20170000</v>
      </c>
      <c r="H118" s="77">
        <f t="shared" si="18"/>
        <v>20170999</v>
      </c>
      <c r="I118" s="79">
        <f t="shared" si="2"/>
        <v>1000</v>
      </c>
      <c r="J118" s="79">
        <f t="shared" si="19"/>
        <v>9001</v>
      </c>
      <c r="L118" s="25" t="str">
        <f t="shared" si="14"/>
        <v/>
      </c>
    </row>
    <row r="119">
      <c r="A119" s="59"/>
      <c r="B119" s="75" t="s">
        <v>201</v>
      </c>
      <c r="C119" s="76"/>
      <c r="D119" s="77"/>
      <c r="E119" s="77"/>
      <c r="F119" s="77" t="str">
        <f t="shared" si="17"/>
        <v>20180</v>
      </c>
      <c r="G119" s="78">
        <f t="shared" si="20"/>
        <v>20180000</v>
      </c>
      <c r="H119" s="77">
        <f t="shared" si="18"/>
        <v>20180999</v>
      </c>
      <c r="I119" s="79">
        <f t="shared" si="2"/>
        <v>1000</v>
      </c>
      <c r="J119" s="79">
        <f t="shared" si="19"/>
        <v>9001</v>
      </c>
      <c r="L119" s="25" t="str">
        <f t="shared" si="14"/>
        <v/>
      </c>
    </row>
    <row r="120">
      <c r="A120" s="59"/>
      <c r="B120" s="75" t="s">
        <v>201</v>
      </c>
      <c r="C120" s="76"/>
      <c r="D120" s="77"/>
      <c r="E120" s="77"/>
      <c r="F120" s="77" t="str">
        <f t="shared" si="17"/>
        <v>20190</v>
      </c>
      <c r="G120" s="78">
        <f t="shared" si="20"/>
        <v>20190000</v>
      </c>
      <c r="H120" s="77">
        <f t="shared" si="18"/>
        <v>20190999</v>
      </c>
      <c r="I120" s="79">
        <f t="shared" si="2"/>
        <v>1000</v>
      </c>
      <c r="J120" s="79">
        <f t="shared" si="19"/>
        <v>9001</v>
      </c>
      <c r="L120" s="25" t="str">
        <f t="shared" si="14"/>
        <v/>
      </c>
    </row>
    <row r="121">
      <c r="A121" s="59"/>
      <c r="B121" s="75" t="s">
        <v>202</v>
      </c>
      <c r="C121" s="76"/>
      <c r="D121" s="77"/>
      <c r="E121" s="77"/>
      <c r="F121" s="77" t="str">
        <f t="shared" si="17"/>
        <v>20200</v>
      </c>
      <c r="G121" s="78">
        <f t="shared" si="20"/>
        <v>20200000</v>
      </c>
      <c r="H121" s="77">
        <f t="shared" si="18"/>
        <v>20200999</v>
      </c>
      <c r="I121" s="79">
        <f t="shared" si="2"/>
        <v>1000</v>
      </c>
      <c r="J121" s="79">
        <f t="shared" si="19"/>
        <v>9001</v>
      </c>
      <c r="L121" s="25" t="str">
        <f t="shared" si="14"/>
        <v/>
      </c>
    </row>
    <row r="122">
      <c r="A122" s="59"/>
      <c r="B122" s="75" t="s">
        <v>202</v>
      </c>
      <c r="C122" s="76"/>
      <c r="D122" s="77"/>
      <c r="E122" s="77"/>
      <c r="F122" s="77" t="str">
        <f t="shared" si="17"/>
        <v>20210</v>
      </c>
      <c r="G122" s="78">
        <f t="shared" si="20"/>
        <v>20210000</v>
      </c>
      <c r="H122" s="77">
        <f t="shared" si="18"/>
        <v>20210999</v>
      </c>
      <c r="I122" s="79">
        <f t="shared" si="2"/>
        <v>1000</v>
      </c>
      <c r="J122" s="79">
        <f t="shared" si="19"/>
        <v>9001</v>
      </c>
      <c r="L122" s="25" t="str">
        <f t="shared" si="14"/>
        <v/>
      </c>
    </row>
    <row r="123">
      <c r="A123" s="59"/>
      <c r="B123" s="75" t="s">
        <v>203</v>
      </c>
      <c r="C123" s="76"/>
      <c r="D123" s="77"/>
      <c r="E123" s="77"/>
      <c r="F123" s="77" t="str">
        <f t="shared" si="17"/>
        <v>20220</v>
      </c>
      <c r="G123" s="78">
        <f t="shared" si="20"/>
        <v>20220000</v>
      </c>
      <c r="H123" s="77">
        <f t="shared" si="18"/>
        <v>20220999</v>
      </c>
      <c r="I123" s="79">
        <f t="shared" si="2"/>
        <v>1000</v>
      </c>
      <c r="J123" s="79">
        <f t="shared" si="19"/>
        <v>9001</v>
      </c>
      <c r="L123" s="25" t="str">
        <f t="shared" si="14"/>
        <v/>
      </c>
    </row>
    <row r="124">
      <c r="A124" s="59"/>
      <c r="B124" s="75" t="s">
        <v>203</v>
      </c>
      <c r="C124" s="76"/>
      <c r="D124" s="77"/>
      <c r="E124" s="77"/>
      <c r="F124" s="77" t="str">
        <f t="shared" si="17"/>
        <v>20230</v>
      </c>
      <c r="G124" s="78">
        <f t="shared" si="20"/>
        <v>20230000</v>
      </c>
      <c r="H124" s="77">
        <f t="shared" si="18"/>
        <v>20230999</v>
      </c>
      <c r="I124" s="79">
        <f t="shared" si="2"/>
        <v>1000</v>
      </c>
      <c r="J124" s="79">
        <f t="shared" si="19"/>
        <v>9001</v>
      </c>
      <c r="L124" s="25" t="str">
        <f t="shared" si="14"/>
        <v/>
      </c>
    </row>
    <row r="125">
      <c r="A125" s="59"/>
      <c r="B125" s="75" t="s">
        <v>204</v>
      </c>
      <c r="C125" s="76"/>
      <c r="D125" s="77"/>
      <c r="E125" s="77"/>
      <c r="F125" s="77" t="str">
        <f t="shared" si="17"/>
        <v>20240</v>
      </c>
      <c r="G125" s="78">
        <f t="shared" si="20"/>
        <v>20240000</v>
      </c>
      <c r="H125" s="77">
        <f t="shared" si="18"/>
        <v>20240999</v>
      </c>
      <c r="I125" s="79">
        <f t="shared" si="2"/>
        <v>1000</v>
      </c>
      <c r="J125" s="79">
        <f t="shared" si="19"/>
        <v>9001</v>
      </c>
      <c r="L125" s="25" t="str">
        <f t="shared" si="14"/>
        <v/>
      </c>
    </row>
    <row r="126">
      <c r="A126" s="59"/>
      <c r="B126" s="75" t="s">
        <v>204</v>
      </c>
      <c r="C126" s="76"/>
      <c r="D126" s="77"/>
      <c r="E126" s="77"/>
      <c r="F126" s="77" t="str">
        <f t="shared" si="17"/>
        <v>20250</v>
      </c>
      <c r="G126" s="78">
        <f t="shared" si="20"/>
        <v>20250000</v>
      </c>
      <c r="H126" s="77">
        <f t="shared" si="18"/>
        <v>20250999</v>
      </c>
      <c r="I126" s="79">
        <f t="shared" si="2"/>
        <v>1000</v>
      </c>
      <c r="J126" s="79">
        <f t="shared" si="19"/>
        <v>9001</v>
      </c>
      <c r="L126" s="25" t="str">
        <f t="shared" si="14"/>
        <v/>
      </c>
    </row>
    <row r="127">
      <c r="A127" s="59"/>
      <c r="B127" s="75" t="s">
        <v>205</v>
      </c>
      <c r="C127" s="76"/>
      <c r="D127" s="77"/>
      <c r="E127" s="77"/>
      <c r="F127" s="77" t="str">
        <f t="shared" si="17"/>
        <v>20260</v>
      </c>
      <c r="G127" s="78">
        <f t="shared" si="20"/>
        <v>20260000</v>
      </c>
      <c r="H127" s="77">
        <f t="shared" si="18"/>
        <v>20260999</v>
      </c>
      <c r="I127" s="79">
        <f t="shared" si="2"/>
        <v>1000</v>
      </c>
      <c r="J127" s="79">
        <f t="shared" si="19"/>
        <v>9001</v>
      </c>
      <c r="L127" s="25" t="str">
        <f t="shared" si="14"/>
        <v/>
      </c>
    </row>
    <row r="128">
      <c r="A128" s="59"/>
      <c r="B128" s="75" t="s">
        <v>205</v>
      </c>
      <c r="C128" s="76"/>
      <c r="D128" s="77"/>
      <c r="E128" s="77"/>
      <c r="F128" s="77" t="str">
        <f t="shared" si="17"/>
        <v>20270</v>
      </c>
      <c r="G128" s="78">
        <f t="shared" si="20"/>
        <v>20270000</v>
      </c>
      <c r="H128" s="77">
        <f t="shared" si="18"/>
        <v>20270999</v>
      </c>
      <c r="I128" s="79">
        <f t="shared" si="2"/>
        <v>1000</v>
      </c>
      <c r="J128" s="79">
        <f t="shared" si="19"/>
        <v>9001</v>
      </c>
      <c r="L128" s="25" t="str">
        <f t="shared" si="14"/>
        <v/>
      </c>
    </row>
    <row r="129">
      <c r="A129" s="59"/>
      <c r="B129" s="75" t="s">
        <v>206</v>
      </c>
      <c r="C129" s="76"/>
      <c r="D129" s="77"/>
      <c r="E129" s="77"/>
      <c r="F129" s="77" t="str">
        <f t="shared" si="17"/>
        <v>20280</v>
      </c>
      <c r="G129" s="78">
        <f t="shared" si="20"/>
        <v>20280000</v>
      </c>
      <c r="H129" s="77">
        <f t="shared" si="18"/>
        <v>20280999</v>
      </c>
      <c r="I129" s="79">
        <f t="shared" si="2"/>
        <v>1000</v>
      </c>
      <c r="J129" s="79">
        <f t="shared" si="19"/>
        <v>9001</v>
      </c>
      <c r="L129" s="25" t="str">
        <f t="shared" si="14"/>
        <v/>
      </c>
    </row>
    <row r="130">
      <c r="A130" s="73"/>
      <c r="B130" s="75" t="s">
        <v>206</v>
      </c>
      <c r="C130" s="76"/>
      <c r="D130" s="77"/>
      <c r="E130" s="77"/>
      <c r="F130" s="77" t="str">
        <f t="shared" si="17"/>
        <v>20290</v>
      </c>
      <c r="G130" s="78">
        <f t="shared" si="20"/>
        <v>20290000</v>
      </c>
      <c r="H130" s="77">
        <f t="shared" si="18"/>
        <v>20290999</v>
      </c>
      <c r="I130" s="79">
        <f t="shared" si="2"/>
        <v>1000</v>
      </c>
      <c r="J130" s="79">
        <f t="shared" si="19"/>
        <v>9709001</v>
      </c>
      <c r="L130" s="25" t="str">
        <f t="shared" si="14"/>
        <v/>
      </c>
    </row>
    <row r="131">
      <c r="A131" s="80" t="s">
        <v>207</v>
      </c>
      <c r="B131" s="53" t="s">
        <v>208</v>
      </c>
      <c r="C131" s="54"/>
      <c r="D131" s="55" t="s">
        <v>209</v>
      </c>
      <c r="E131" s="55"/>
      <c r="F131" s="55">
        <v>30000.0</v>
      </c>
      <c r="G131" s="67">
        <v>3.0E7</v>
      </c>
      <c r="H131" s="55">
        <v>3.0000999E7</v>
      </c>
      <c r="I131" s="79">
        <f t="shared" si="2"/>
        <v>1000</v>
      </c>
      <c r="J131" s="79">
        <f t="shared" si="19"/>
        <v>9001</v>
      </c>
      <c r="L131" s="25" t="str">
        <f t="shared" si="14"/>
        <v/>
      </c>
    </row>
    <row r="132">
      <c r="A132" s="59"/>
      <c r="B132" s="53" t="s">
        <v>210</v>
      </c>
      <c r="C132" s="54"/>
      <c r="D132" s="55"/>
      <c r="E132" s="55">
        <v>8.0</v>
      </c>
      <c r="F132" s="55" t="str">
        <f t="shared" ref="F132:F139" si="21">left(G132,5)</f>
        <v>30010</v>
      </c>
      <c r="G132" s="67">
        <v>3.001E7</v>
      </c>
      <c r="H132" s="55">
        <v>3.0010999E7</v>
      </c>
      <c r="I132" s="79">
        <f t="shared" si="2"/>
        <v>1000</v>
      </c>
      <c r="J132" s="79">
        <f t="shared" si="19"/>
        <v>4001</v>
      </c>
      <c r="L132" s="25" t="str">
        <f t="shared" si="14"/>
        <v/>
      </c>
    </row>
    <row r="133">
      <c r="A133" s="59"/>
      <c r="B133" s="53" t="s">
        <v>211</v>
      </c>
      <c r="C133" s="54"/>
      <c r="D133" s="55"/>
      <c r="E133" s="55"/>
      <c r="F133" s="55" t="str">
        <f t="shared" si="21"/>
        <v>30015</v>
      </c>
      <c r="G133" s="67">
        <v>3.0015E7</v>
      </c>
      <c r="H133" s="55">
        <v>3.0015999E7</v>
      </c>
      <c r="I133" s="79">
        <f t="shared" si="2"/>
        <v>1000</v>
      </c>
      <c r="J133" s="79">
        <f t="shared" si="19"/>
        <v>4001</v>
      </c>
      <c r="L133" s="25" t="str">
        <f t="shared" si="14"/>
        <v/>
      </c>
    </row>
    <row r="134">
      <c r="A134" s="59"/>
      <c r="B134" s="53" t="s">
        <v>212</v>
      </c>
      <c r="C134" s="54"/>
      <c r="D134" s="55"/>
      <c r="E134" s="55"/>
      <c r="F134" s="55" t="str">
        <f t="shared" si="21"/>
        <v>30020</v>
      </c>
      <c r="G134" s="67">
        <v>3.002E7</v>
      </c>
      <c r="H134" s="55">
        <v>3.0020999E7</v>
      </c>
      <c r="I134" s="57">
        <f t="shared" si="2"/>
        <v>1000</v>
      </c>
      <c r="J134" s="58">
        <f t="shared" si="19"/>
        <v>4001</v>
      </c>
      <c r="L134" s="25" t="str">
        <f t="shared" si="14"/>
        <v/>
      </c>
    </row>
    <row r="135">
      <c r="A135" s="73"/>
      <c r="B135" s="53" t="s">
        <v>213</v>
      </c>
      <c r="C135" s="54"/>
      <c r="D135" s="55"/>
      <c r="E135" s="55"/>
      <c r="F135" s="55" t="str">
        <f t="shared" si="21"/>
        <v>30025</v>
      </c>
      <c r="G135" s="67">
        <v>3.0025E7</v>
      </c>
      <c r="H135" s="55">
        <v>3.0025999E7</v>
      </c>
      <c r="I135" s="57">
        <f t="shared" si="2"/>
        <v>1000</v>
      </c>
      <c r="J135" s="58">
        <f t="shared" si="19"/>
        <v>9974001</v>
      </c>
      <c r="L135" s="25" t="str">
        <f t="shared" si="14"/>
        <v/>
      </c>
    </row>
    <row r="136">
      <c r="A136" s="81" t="s">
        <v>214</v>
      </c>
      <c r="B136" s="75" t="s">
        <v>215</v>
      </c>
      <c r="C136" s="76"/>
      <c r="D136" s="77"/>
      <c r="E136" s="77"/>
      <c r="F136" s="77" t="str">
        <f t="shared" si="21"/>
        <v>40000</v>
      </c>
      <c r="G136" s="78">
        <v>4.0E7</v>
      </c>
      <c r="H136" s="77">
        <v>4.05E7</v>
      </c>
      <c r="I136" s="79">
        <f t="shared" si="2"/>
        <v>500001</v>
      </c>
      <c r="J136" s="79">
        <f t="shared" si="19"/>
        <v>500000</v>
      </c>
      <c r="L136" s="25" t="str">
        <f t="shared" si="14"/>
        <v/>
      </c>
    </row>
    <row r="137">
      <c r="A137" s="59"/>
      <c r="B137" s="75" t="s">
        <v>216</v>
      </c>
      <c r="C137" s="76"/>
      <c r="D137" s="77"/>
      <c r="E137" s="77"/>
      <c r="F137" s="77" t="str">
        <f t="shared" si="21"/>
        <v>41000</v>
      </c>
      <c r="G137" s="78">
        <v>4.1E7</v>
      </c>
      <c r="H137" s="77">
        <v>4.15E7</v>
      </c>
      <c r="I137" s="79">
        <f t="shared" si="2"/>
        <v>500001</v>
      </c>
      <c r="J137" s="79">
        <f t="shared" si="19"/>
        <v>500000</v>
      </c>
      <c r="L137" s="25" t="str">
        <f t="shared" si="14"/>
        <v/>
      </c>
    </row>
    <row r="138">
      <c r="A138" s="59"/>
      <c r="B138" s="75" t="s">
        <v>217</v>
      </c>
      <c r="C138" s="76"/>
      <c r="D138" s="77"/>
      <c r="E138" s="77"/>
      <c r="F138" s="77" t="str">
        <f t="shared" si="21"/>
        <v>42000</v>
      </c>
      <c r="G138" s="78">
        <v>4.2E7</v>
      </c>
      <c r="H138" s="77">
        <v>4.25E7</v>
      </c>
      <c r="I138" s="79">
        <f t="shared" si="2"/>
        <v>500001</v>
      </c>
      <c r="J138" s="79">
        <f t="shared" si="19"/>
        <v>500000</v>
      </c>
      <c r="L138" s="25" t="str">
        <f t="shared" si="14"/>
        <v/>
      </c>
    </row>
    <row r="139">
      <c r="A139" s="73"/>
      <c r="B139" s="75" t="s">
        <v>218</v>
      </c>
      <c r="C139" s="76"/>
      <c r="D139" s="77"/>
      <c r="E139" s="77"/>
      <c r="F139" s="77" t="str">
        <f t="shared" si="21"/>
        <v>43000</v>
      </c>
      <c r="G139" s="78">
        <v>4.3E7</v>
      </c>
      <c r="H139" s="77">
        <v>4.35E7</v>
      </c>
      <c r="I139" s="79">
        <f t="shared" si="2"/>
        <v>500001</v>
      </c>
      <c r="J139" s="79">
        <f t="shared" si="19"/>
        <v>-43500000</v>
      </c>
      <c r="L139" s="25" t="str">
        <f t="shared" si="14"/>
        <v/>
      </c>
    </row>
  </sheetData>
  <autoFilter ref="$A$19:$J$139"/>
  <mergeCells count="6">
    <mergeCell ref="J14:J15"/>
    <mergeCell ref="J16:J17"/>
    <mergeCell ref="A20:A99"/>
    <mergeCell ref="A100:A130"/>
    <mergeCell ref="A131:A135"/>
    <mergeCell ref="A136:A139"/>
  </mergeCells>
  <conditionalFormatting sqref="J20:J139">
    <cfRule type="cellIs" dxfId="0" priority="1" operator="lessThan">
      <formula>$J$14</formula>
    </cfRule>
  </conditionalFormatting>
  <conditionalFormatting sqref="J20:J139">
    <cfRule type="cellIs" dxfId="1" priority="2" operator="greaterThanOrEqual">
      <formula>$J$16</formula>
    </cfRule>
  </conditionalFormatting>
  <conditionalFormatting sqref="L20:L139">
    <cfRule type="containsText" dxfId="2" priority="3" operator="containsText" text="Error">
      <formula>NOT(ISERROR(SEARCH(("Error"),(L20))))</formula>
    </cfRule>
  </conditionalFormatting>
  <conditionalFormatting sqref="I20:I139">
    <cfRule type="cellIs" dxfId="2" priority="4" operator="lessThan">
      <formula>1</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8.56"/>
    <col customWidth="1" min="2" max="2" width="63.89"/>
    <col customWidth="1" min="3" max="3" width="9.11"/>
    <col customWidth="1" min="4" max="4" width="6.22"/>
    <col customWidth="1" min="5" max="5" width="6.44"/>
    <col customWidth="1" min="6" max="6" width="6.78"/>
    <col customWidth="1" min="7" max="7" width="4.89"/>
    <col customWidth="1" min="8" max="8" width="44.56"/>
    <col customWidth="1" min="9" max="9" width="9.11"/>
    <col customWidth="1" min="11" max="11" width="10.56"/>
    <col customWidth="1" min="12" max="12" width="9.56"/>
    <col customWidth="1" min="13" max="13" width="8.44"/>
    <col customWidth="1" min="14" max="14" width="8.11"/>
    <col customWidth="1" min="15" max="15" width="8.22"/>
    <col customWidth="1" min="16" max="18" width="8.0"/>
  </cols>
  <sheetData>
    <row r="1" ht="15.75" customHeight="1">
      <c r="A1" s="82" t="s">
        <v>219</v>
      </c>
      <c r="B1" s="82" t="s">
        <v>220</v>
      </c>
      <c r="C1" s="82" t="s">
        <v>221</v>
      </c>
      <c r="D1" s="82" t="s">
        <v>222</v>
      </c>
      <c r="E1" s="83" t="s">
        <v>223</v>
      </c>
      <c r="F1" s="83" t="s">
        <v>224</v>
      </c>
      <c r="G1" s="82" t="s">
        <v>225</v>
      </c>
      <c r="H1" s="82" t="s">
        <v>46</v>
      </c>
      <c r="I1" s="84"/>
      <c r="K1" s="84"/>
    </row>
    <row r="2" ht="15.75" customHeight="1">
      <c r="A2" s="85">
        <v>1.002E7</v>
      </c>
      <c r="B2" s="85" t="s">
        <v>226</v>
      </c>
      <c r="C2" s="86" t="s">
        <v>227</v>
      </c>
      <c r="D2" s="85" t="s">
        <v>228</v>
      </c>
      <c r="E2" s="87" t="s">
        <v>229</v>
      </c>
      <c r="F2" s="87" t="s">
        <v>230</v>
      </c>
      <c r="G2" s="85" t="s">
        <v>231</v>
      </c>
      <c r="H2" s="88"/>
      <c r="I2" s="89"/>
      <c r="K2" s="84"/>
    </row>
    <row r="3" ht="15.75" customHeight="1">
      <c r="A3" s="85">
        <v>1.0020001E7</v>
      </c>
      <c r="B3" s="85" t="s">
        <v>232</v>
      </c>
      <c r="C3" s="59"/>
      <c r="D3" s="88"/>
      <c r="E3" s="87" t="s">
        <v>229</v>
      </c>
      <c r="F3" s="87" t="s">
        <v>230</v>
      </c>
      <c r="G3" s="85" t="s">
        <v>231</v>
      </c>
      <c r="H3" s="88"/>
      <c r="I3" s="90"/>
      <c r="K3" s="84"/>
    </row>
    <row r="4" ht="15.75" customHeight="1">
      <c r="A4" s="85">
        <v>1.0020002E7</v>
      </c>
      <c r="B4" s="85" t="s">
        <v>233</v>
      </c>
      <c r="C4" s="59"/>
      <c r="D4" s="88"/>
      <c r="E4" s="87" t="s">
        <v>234</v>
      </c>
      <c r="F4" s="87" t="s">
        <v>235</v>
      </c>
      <c r="G4" s="85" t="s">
        <v>231</v>
      </c>
      <c r="H4" s="88"/>
      <c r="I4" s="90"/>
      <c r="K4" s="84"/>
    </row>
    <row r="5" ht="15.75" customHeight="1">
      <c r="A5" s="85">
        <v>1.0020003E7</v>
      </c>
      <c r="B5" s="85" t="s">
        <v>236</v>
      </c>
      <c r="C5" s="59"/>
      <c r="D5" s="88"/>
      <c r="E5" s="87" t="s">
        <v>229</v>
      </c>
      <c r="F5" s="87" t="s">
        <v>230</v>
      </c>
      <c r="G5" s="85" t="s">
        <v>231</v>
      </c>
      <c r="H5" s="88"/>
      <c r="I5" s="90"/>
      <c r="K5" s="84"/>
    </row>
    <row r="6" ht="15.75" customHeight="1">
      <c r="A6" s="85">
        <v>1.002001E7</v>
      </c>
      <c r="B6" s="85" t="s">
        <v>237</v>
      </c>
      <c r="C6" s="59"/>
      <c r="D6" s="88"/>
      <c r="E6" s="87" t="s">
        <v>229</v>
      </c>
      <c r="F6" s="87" t="s">
        <v>230</v>
      </c>
      <c r="G6" s="85" t="s">
        <v>231</v>
      </c>
      <c r="H6" s="88"/>
      <c r="I6" s="90"/>
    </row>
    <row r="7" ht="15.75" customHeight="1">
      <c r="A7" s="85">
        <v>1.0020011E7</v>
      </c>
      <c r="B7" s="85" t="s">
        <v>238</v>
      </c>
      <c r="C7" s="59"/>
      <c r="D7" s="88"/>
      <c r="E7" s="87" t="s">
        <v>229</v>
      </c>
      <c r="F7" s="87" t="s">
        <v>230</v>
      </c>
      <c r="G7" s="85" t="s">
        <v>231</v>
      </c>
      <c r="H7" s="88"/>
      <c r="I7" s="90"/>
    </row>
    <row r="8" ht="15.75" customHeight="1">
      <c r="A8" s="85">
        <v>1.0020012E7</v>
      </c>
      <c r="B8" s="85" t="s">
        <v>239</v>
      </c>
      <c r="C8" s="59"/>
      <c r="D8" s="88"/>
      <c r="E8" s="87" t="s">
        <v>234</v>
      </c>
      <c r="F8" s="87" t="s">
        <v>235</v>
      </c>
      <c r="G8" s="85" t="s">
        <v>231</v>
      </c>
      <c r="H8" s="88"/>
      <c r="I8" s="90"/>
    </row>
    <row r="9" ht="15.75" customHeight="1">
      <c r="A9" s="85">
        <v>1.0020013E7</v>
      </c>
      <c r="B9" s="85" t="s">
        <v>240</v>
      </c>
      <c r="C9" s="59"/>
      <c r="D9" s="88"/>
      <c r="E9" s="87" t="s">
        <v>229</v>
      </c>
      <c r="F9" s="87" t="s">
        <v>230</v>
      </c>
      <c r="G9" s="85" t="s">
        <v>231</v>
      </c>
      <c r="H9" s="88"/>
      <c r="I9" s="90"/>
    </row>
    <row r="10" ht="15.75" customHeight="1">
      <c r="A10" s="85">
        <v>1.002002E7</v>
      </c>
      <c r="B10" s="85" t="s">
        <v>241</v>
      </c>
      <c r="C10" s="59"/>
      <c r="D10" s="88"/>
      <c r="E10" s="87" t="s">
        <v>229</v>
      </c>
      <c r="F10" s="87" t="s">
        <v>230</v>
      </c>
      <c r="G10" s="85" t="s">
        <v>231</v>
      </c>
      <c r="H10" s="88"/>
      <c r="I10" s="90"/>
    </row>
    <row r="11" ht="15.75" customHeight="1">
      <c r="A11" s="85">
        <v>1.0020021E7</v>
      </c>
      <c r="B11" s="85" t="s">
        <v>242</v>
      </c>
      <c r="C11" s="59"/>
      <c r="D11" s="88"/>
      <c r="E11" s="87" t="s">
        <v>229</v>
      </c>
      <c r="F11" s="87" t="s">
        <v>230</v>
      </c>
      <c r="G11" s="85" t="s">
        <v>231</v>
      </c>
      <c r="H11" s="88"/>
      <c r="I11" s="90"/>
    </row>
    <row r="12" ht="15.75" customHeight="1">
      <c r="A12" s="85">
        <v>1.0020022E7</v>
      </c>
      <c r="B12" s="85" t="s">
        <v>243</v>
      </c>
      <c r="C12" s="59"/>
      <c r="D12" s="88"/>
      <c r="E12" s="87" t="s">
        <v>234</v>
      </c>
      <c r="F12" s="87" t="s">
        <v>235</v>
      </c>
      <c r="G12" s="85" t="s">
        <v>231</v>
      </c>
      <c r="H12" s="88"/>
      <c r="I12" s="90"/>
    </row>
    <row r="13" ht="15.75" customHeight="1">
      <c r="A13" s="85">
        <v>1.0020023E7</v>
      </c>
      <c r="B13" s="85" t="s">
        <v>244</v>
      </c>
      <c r="C13" s="73"/>
      <c r="D13" s="88"/>
      <c r="E13" s="87" t="s">
        <v>229</v>
      </c>
      <c r="F13" s="87" t="s">
        <v>230</v>
      </c>
      <c r="G13" s="85" t="s">
        <v>231</v>
      </c>
      <c r="H13" s="88"/>
      <c r="I13" s="90"/>
    </row>
    <row r="14" ht="15.75" customHeight="1">
      <c r="A14" s="85">
        <v>1.1405001E7</v>
      </c>
      <c r="B14" s="85" t="s">
        <v>245</v>
      </c>
      <c r="C14" s="86" t="s">
        <v>246</v>
      </c>
      <c r="D14" s="85" t="s">
        <v>228</v>
      </c>
      <c r="E14" s="91" t="s">
        <v>247</v>
      </c>
      <c r="F14" s="92" t="s">
        <v>248</v>
      </c>
      <c r="G14" s="85" t="s">
        <v>231</v>
      </c>
      <c r="H14" s="88"/>
      <c r="I14" s="90"/>
      <c r="K14" s="84"/>
    </row>
    <row r="15" ht="15.75" customHeight="1">
      <c r="A15" s="85">
        <v>1.1405002E7</v>
      </c>
      <c r="B15" s="85" t="s">
        <v>249</v>
      </c>
      <c r="C15" s="59"/>
      <c r="D15" s="88"/>
      <c r="E15" s="91" t="s">
        <v>247</v>
      </c>
      <c r="F15" s="92" t="s">
        <v>248</v>
      </c>
      <c r="G15" s="85" t="s">
        <v>231</v>
      </c>
      <c r="H15" s="88"/>
      <c r="I15" s="90"/>
      <c r="K15" s="84"/>
    </row>
    <row r="16" ht="15.75" customHeight="1">
      <c r="A16" s="85">
        <v>1.1405011E7</v>
      </c>
      <c r="B16" s="85" t="s">
        <v>250</v>
      </c>
      <c r="C16" s="59"/>
      <c r="D16" s="88"/>
      <c r="E16" s="91" t="s">
        <v>247</v>
      </c>
      <c r="F16" s="92" t="s">
        <v>248</v>
      </c>
      <c r="G16" s="85" t="s">
        <v>231</v>
      </c>
      <c r="H16" s="88"/>
      <c r="I16" s="90"/>
      <c r="K16" s="84"/>
    </row>
    <row r="17" ht="15.75" customHeight="1">
      <c r="A17" s="85">
        <v>1.1405012E7</v>
      </c>
      <c r="B17" s="85" t="s">
        <v>251</v>
      </c>
      <c r="C17" s="59"/>
      <c r="D17" s="88"/>
      <c r="E17" s="91" t="s">
        <v>247</v>
      </c>
      <c r="F17" s="92" t="s">
        <v>248</v>
      </c>
      <c r="G17" s="85" t="s">
        <v>231</v>
      </c>
      <c r="H17" s="88"/>
      <c r="I17" s="90"/>
      <c r="K17" s="84"/>
    </row>
    <row r="18" ht="15.75" customHeight="1">
      <c r="A18" s="85">
        <v>1.1405021E7</v>
      </c>
      <c r="B18" s="85" t="s">
        <v>252</v>
      </c>
      <c r="C18" s="59"/>
      <c r="D18" s="88"/>
      <c r="E18" s="91" t="s">
        <v>247</v>
      </c>
      <c r="F18" s="92" t="s">
        <v>248</v>
      </c>
      <c r="G18" s="85" t="s">
        <v>231</v>
      </c>
      <c r="H18" s="88"/>
      <c r="I18" s="90"/>
    </row>
    <row r="19" ht="15.75" customHeight="1">
      <c r="A19" s="85">
        <v>1.1405022E7</v>
      </c>
      <c r="B19" s="85" t="s">
        <v>253</v>
      </c>
      <c r="C19" s="73"/>
      <c r="D19" s="88"/>
      <c r="E19" s="91" t="s">
        <v>247</v>
      </c>
      <c r="F19" s="92" t="s">
        <v>248</v>
      </c>
      <c r="G19" s="85" t="s">
        <v>231</v>
      </c>
      <c r="H19" s="88"/>
      <c r="I19" s="90"/>
    </row>
    <row r="20" ht="15.75" customHeight="1">
      <c r="A20" s="85">
        <v>1.0031E7</v>
      </c>
      <c r="B20" s="85" t="s">
        <v>254</v>
      </c>
      <c r="C20" s="86" t="s">
        <v>255</v>
      </c>
      <c r="D20" s="88"/>
      <c r="E20" s="92" t="s">
        <v>256</v>
      </c>
      <c r="F20" s="92" t="s">
        <v>256</v>
      </c>
      <c r="G20" s="93"/>
      <c r="H20" s="88"/>
      <c r="I20" s="90"/>
    </row>
    <row r="21" ht="15.75" customHeight="1">
      <c r="A21" s="85">
        <v>1.0031001E7</v>
      </c>
      <c r="B21" s="85" t="s">
        <v>257</v>
      </c>
      <c r="C21" s="59"/>
      <c r="D21" s="88"/>
      <c r="E21" s="92" t="s">
        <v>256</v>
      </c>
      <c r="F21" s="92" t="s">
        <v>256</v>
      </c>
      <c r="G21" s="93"/>
      <c r="H21" s="88"/>
      <c r="I21" s="90"/>
    </row>
    <row r="22" ht="15.75" customHeight="1">
      <c r="A22" s="85">
        <v>1.0031002E7</v>
      </c>
      <c r="B22" s="85" t="s">
        <v>258</v>
      </c>
      <c r="C22" s="59"/>
      <c r="D22" s="88"/>
      <c r="E22" s="92" t="s">
        <v>259</v>
      </c>
      <c r="F22" s="92" t="s">
        <v>259</v>
      </c>
      <c r="G22" s="93"/>
      <c r="H22" s="88"/>
      <c r="I22" s="90"/>
    </row>
    <row r="23" ht="15.75" customHeight="1">
      <c r="A23" s="85">
        <v>1.0031003E7</v>
      </c>
      <c r="B23" s="85" t="s">
        <v>260</v>
      </c>
      <c r="C23" s="59"/>
      <c r="D23" s="88"/>
      <c r="E23" s="92" t="s">
        <v>259</v>
      </c>
      <c r="F23" s="92" t="s">
        <v>259</v>
      </c>
      <c r="G23" s="93"/>
      <c r="H23" s="88"/>
      <c r="I23" s="90"/>
    </row>
    <row r="24" ht="15.75" customHeight="1">
      <c r="A24" s="85">
        <v>1.0031004E7</v>
      </c>
      <c r="B24" s="85" t="s">
        <v>261</v>
      </c>
      <c r="C24" s="59"/>
      <c r="D24" s="88"/>
      <c r="E24" s="92" t="s">
        <v>262</v>
      </c>
      <c r="F24" s="92" t="s">
        <v>262</v>
      </c>
      <c r="G24" s="93"/>
      <c r="H24" s="88"/>
      <c r="I24" s="90"/>
    </row>
    <row r="25" ht="15.75" customHeight="1">
      <c r="A25" s="85">
        <v>1.0031005E7</v>
      </c>
      <c r="B25" s="85" t="s">
        <v>263</v>
      </c>
      <c r="C25" s="59"/>
      <c r="D25" s="88"/>
      <c r="E25" s="92" t="s">
        <v>262</v>
      </c>
      <c r="F25" s="92" t="s">
        <v>262</v>
      </c>
      <c r="G25" s="93"/>
      <c r="H25" s="88"/>
      <c r="I25" s="90"/>
    </row>
    <row r="26" ht="15.75" customHeight="1">
      <c r="A26" s="85">
        <v>1.0031006E7</v>
      </c>
      <c r="B26" s="85" t="s">
        <v>264</v>
      </c>
      <c r="C26" s="59"/>
      <c r="D26" s="88"/>
      <c r="E26" s="91" t="s">
        <v>265</v>
      </c>
      <c r="F26" s="91" t="s">
        <v>265</v>
      </c>
      <c r="G26" s="88"/>
      <c r="H26" s="88"/>
      <c r="I26" s="90"/>
    </row>
    <row r="27" ht="15.75" customHeight="1">
      <c r="A27" s="85">
        <v>1.0031007E7</v>
      </c>
      <c r="B27" s="85" t="s">
        <v>266</v>
      </c>
      <c r="C27" s="59"/>
      <c r="D27" s="88"/>
      <c r="E27" s="91" t="s">
        <v>265</v>
      </c>
      <c r="F27" s="91" t="s">
        <v>265</v>
      </c>
      <c r="G27" s="88"/>
      <c r="H27" s="88"/>
      <c r="I27" s="90"/>
    </row>
    <row r="28" ht="15.75" customHeight="1">
      <c r="A28" s="85">
        <v>1.003101E7</v>
      </c>
      <c r="B28" s="85" t="s">
        <v>267</v>
      </c>
      <c r="C28" s="59"/>
      <c r="D28" s="88"/>
      <c r="E28" s="92" t="s">
        <v>256</v>
      </c>
      <c r="F28" s="92" t="s">
        <v>256</v>
      </c>
      <c r="G28" s="88"/>
      <c r="H28" s="88"/>
      <c r="I28" s="90"/>
    </row>
    <row r="29" ht="15.75" customHeight="1">
      <c r="A29" s="85">
        <v>1.0031011E7</v>
      </c>
      <c r="B29" s="85" t="s">
        <v>268</v>
      </c>
      <c r="C29" s="59"/>
      <c r="D29" s="88"/>
      <c r="E29" s="92" t="s">
        <v>256</v>
      </c>
      <c r="F29" s="92" t="s">
        <v>256</v>
      </c>
      <c r="G29" s="88"/>
      <c r="H29" s="88"/>
      <c r="I29" s="90"/>
    </row>
    <row r="30" ht="15.75" customHeight="1">
      <c r="A30" s="85">
        <v>1.0031012E7</v>
      </c>
      <c r="B30" s="85" t="s">
        <v>269</v>
      </c>
      <c r="C30" s="59"/>
      <c r="D30" s="88"/>
      <c r="E30" s="92" t="s">
        <v>259</v>
      </c>
      <c r="F30" s="92" t="s">
        <v>259</v>
      </c>
      <c r="G30" s="88"/>
      <c r="H30" s="88"/>
      <c r="I30" s="90"/>
    </row>
    <row r="31" ht="15.75" customHeight="1">
      <c r="A31" s="85">
        <v>1.0031013E7</v>
      </c>
      <c r="B31" s="85" t="s">
        <v>270</v>
      </c>
      <c r="C31" s="59"/>
      <c r="D31" s="88"/>
      <c r="E31" s="92" t="s">
        <v>259</v>
      </c>
      <c r="F31" s="92" t="s">
        <v>259</v>
      </c>
      <c r="G31" s="88"/>
      <c r="H31" s="88"/>
      <c r="I31" s="90"/>
    </row>
    <row r="32" ht="15.75" customHeight="1">
      <c r="A32" s="85">
        <v>1.0031014E7</v>
      </c>
      <c r="B32" s="85" t="s">
        <v>271</v>
      </c>
      <c r="C32" s="59"/>
      <c r="D32" s="88"/>
      <c r="E32" s="92" t="s">
        <v>262</v>
      </c>
      <c r="F32" s="92" t="s">
        <v>262</v>
      </c>
      <c r="G32" s="88"/>
      <c r="H32" s="88"/>
      <c r="I32" s="90"/>
    </row>
    <row r="33" ht="15.75" customHeight="1">
      <c r="A33" s="85">
        <v>1.0031015E7</v>
      </c>
      <c r="B33" s="85" t="s">
        <v>272</v>
      </c>
      <c r="C33" s="59"/>
      <c r="D33" s="88"/>
      <c r="E33" s="92" t="s">
        <v>262</v>
      </c>
      <c r="F33" s="92" t="s">
        <v>262</v>
      </c>
      <c r="G33" s="88"/>
      <c r="H33" s="88"/>
      <c r="I33" s="90"/>
    </row>
    <row r="34" ht="15.75" customHeight="1">
      <c r="A34" s="85">
        <v>1.0031016E7</v>
      </c>
      <c r="B34" s="85" t="s">
        <v>273</v>
      </c>
      <c r="C34" s="59"/>
      <c r="D34" s="88"/>
      <c r="E34" s="91" t="s">
        <v>265</v>
      </c>
      <c r="F34" s="91" t="s">
        <v>265</v>
      </c>
      <c r="G34" s="88"/>
      <c r="H34" s="88"/>
      <c r="I34" s="90"/>
    </row>
    <row r="35" ht="15.75" customHeight="1">
      <c r="A35" s="85">
        <v>1.0031017E7</v>
      </c>
      <c r="B35" s="85" t="s">
        <v>274</v>
      </c>
      <c r="C35" s="59"/>
      <c r="D35" s="88"/>
      <c r="E35" s="91" t="s">
        <v>265</v>
      </c>
      <c r="F35" s="91" t="s">
        <v>265</v>
      </c>
      <c r="G35" s="88"/>
      <c r="H35" s="88"/>
      <c r="I35" s="90"/>
    </row>
    <row r="36" ht="15.75" customHeight="1">
      <c r="A36" s="85">
        <v>1.003102E7</v>
      </c>
      <c r="B36" s="85" t="s">
        <v>275</v>
      </c>
      <c r="C36" s="59"/>
      <c r="D36" s="88"/>
      <c r="E36" s="92" t="s">
        <v>256</v>
      </c>
      <c r="F36" s="92" t="s">
        <v>256</v>
      </c>
      <c r="G36" s="88"/>
      <c r="H36" s="88"/>
      <c r="I36" s="90"/>
    </row>
    <row r="37" ht="15.75" customHeight="1">
      <c r="A37" s="85">
        <v>1.0031021E7</v>
      </c>
      <c r="B37" s="85" t="s">
        <v>276</v>
      </c>
      <c r="C37" s="59"/>
      <c r="D37" s="88"/>
      <c r="E37" s="92" t="s">
        <v>256</v>
      </c>
      <c r="F37" s="92" t="s">
        <v>256</v>
      </c>
      <c r="G37" s="88"/>
      <c r="H37" s="88"/>
      <c r="I37" s="90"/>
    </row>
    <row r="38" ht="15.75" customHeight="1">
      <c r="A38" s="85">
        <v>1.0031022E7</v>
      </c>
      <c r="B38" s="85" t="s">
        <v>277</v>
      </c>
      <c r="C38" s="59"/>
      <c r="D38" s="88"/>
      <c r="E38" s="92" t="s">
        <v>259</v>
      </c>
      <c r="F38" s="92" t="s">
        <v>259</v>
      </c>
      <c r="G38" s="88"/>
      <c r="H38" s="88"/>
      <c r="I38" s="90"/>
    </row>
    <row r="39" ht="15.75" customHeight="1">
      <c r="A39" s="85">
        <v>1.0031023E7</v>
      </c>
      <c r="B39" s="85" t="s">
        <v>278</v>
      </c>
      <c r="C39" s="59"/>
      <c r="D39" s="88"/>
      <c r="E39" s="92" t="s">
        <v>259</v>
      </c>
      <c r="F39" s="92" t="s">
        <v>259</v>
      </c>
      <c r="G39" s="88"/>
      <c r="H39" s="88"/>
      <c r="I39" s="90"/>
    </row>
    <row r="40" ht="15.75" customHeight="1">
      <c r="A40" s="85">
        <v>1.0031024E7</v>
      </c>
      <c r="B40" s="85" t="s">
        <v>279</v>
      </c>
      <c r="C40" s="59"/>
      <c r="D40" s="88"/>
      <c r="E40" s="92" t="s">
        <v>262</v>
      </c>
      <c r="F40" s="92" t="s">
        <v>262</v>
      </c>
      <c r="G40" s="88"/>
      <c r="H40" s="88"/>
      <c r="I40" s="90"/>
    </row>
    <row r="41" ht="15.75" customHeight="1">
      <c r="A41" s="85">
        <v>1.0031025E7</v>
      </c>
      <c r="B41" s="85" t="s">
        <v>280</v>
      </c>
      <c r="C41" s="59"/>
      <c r="D41" s="88"/>
      <c r="E41" s="92" t="s">
        <v>262</v>
      </c>
      <c r="F41" s="92" t="s">
        <v>262</v>
      </c>
      <c r="G41" s="88"/>
      <c r="H41" s="88"/>
      <c r="I41" s="90"/>
    </row>
    <row r="42" ht="15.75" customHeight="1">
      <c r="A42" s="85">
        <v>1.0031026E7</v>
      </c>
      <c r="B42" s="85" t="s">
        <v>281</v>
      </c>
      <c r="C42" s="59"/>
      <c r="D42" s="88"/>
      <c r="E42" s="91" t="s">
        <v>265</v>
      </c>
      <c r="F42" s="91" t="s">
        <v>265</v>
      </c>
      <c r="G42" s="88"/>
      <c r="H42" s="88"/>
      <c r="I42" s="90"/>
    </row>
    <row r="43" ht="15.75" customHeight="1">
      <c r="A43" s="85">
        <v>1.0031027E7</v>
      </c>
      <c r="B43" s="85" t="s">
        <v>282</v>
      </c>
      <c r="C43" s="73"/>
      <c r="D43" s="88"/>
      <c r="E43" s="91" t="s">
        <v>265</v>
      </c>
      <c r="F43" s="91" t="s">
        <v>265</v>
      </c>
      <c r="G43" s="88"/>
      <c r="H43" s="88"/>
      <c r="I43" s="90"/>
    </row>
    <row r="44" ht="15.75" customHeight="1">
      <c r="A44" s="85">
        <v>1.0600001E7</v>
      </c>
      <c r="B44" s="85" t="s">
        <v>283</v>
      </c>
      <c r="C44" s="86" t="s">
        <v>284</v>
      </c>
      <c r="D44" s="88"/>
      <c r="E44" s="94"/>
      <c r="F44" s="94"/>
      <c r="G44" s="88"/>
      <c r="H44" s="88"/>
      <c r="I44" s="90"/>
    </row>
    <row r="45" ht="15.75" customHeight="1">
      <c r="A45" s="85">
        <v>1.0600002E7</v>
      </c>
      <c r="B45" s="85" t="s">
        <v>285</v>
      </c>
      <c r="C45" s="59"/>
      <c r="D45" s="88"/>
      <c r="E45" s="94"/>
      <c r="F45" s="94"/>
      <c r="G45" s="88"/>
      <c r="H45" s="88"/>
      <c r="I45" s="90"/>
    </row>
    <row r="46" ht="15.75" customHeight="1">
      <c r="A46" s="85">
        <v>1.0600003E7</v>
      </c>
      <c r="B46" s="85" t="s">
        <v>286</v>
      </c>
      <c r="C46" s="59"/>
      <c r="D46" s="88"/>
      <c r="E46" s="94"/>
      <c r="F46" s="94"/>
      <c r="G46" s="88"/>
      <c r="H46" s="88"/>
      <c r="I46" s="90"/>
    </row>
    <row r="47" ht="15.75" customHeight="1">
      <c r="A47" s="85">
        <v>1.0600004E7</v>
      </c>
      <c r="B47" s="85" t="s">
        <v>287</v>
      </c>
      <c r="C47" s="59"/>
      <c r="D47" s="88"/>
      <c r="E47" s="94"/>
      <c r="F47" s="94"/>
      <c r="G47" s="88"/>
      <c r="H47" s="88"/>
      <c r="I47" s="90"/>
    </row>
    <row r="48" ht="15.75" customHeight="1">
      <c r="A48" s="85">
        <v>1.0600005E7</v>
      </c>
      <c r="B48" s="85" t="s">
        <v>288</v>
      </c>
      <c r="C48" s="59"/>
      <c r="D48" s="88"/>
      <c r="E48" s="94"/>
      <c r="F48" s="94"/>
      <c r="G48" s="88"/>
      <c r="H48" s="88"/>
      <c r="I48" s="90"/>
    </row>
    <row r="49" ht="15.75" customHeight="1">
      <c r="A49" s="85">
        <v>1.0600006E7</v>
      </c>
      <c r="B49" s="85" t="s">
        <v>289</v>
      </c>
      <c r="C49" s="59"/>
      <c r="D49" s="88"/>
      <c r="E49" s="94"/>
      <c r="F49" s="94"/>
      <c r="G49" s="88"/>
      <c r="H49" s="88"/>
      <c r="I49" s="90"/>
    </row>
    <row r="50" ht="15.75" customHeight="1">
      <c r="A50" s="85">
        <v>1.0600007E7</v>
      </c>
      <c r="B50" s="85" t="s">
        <v>290</v>
      </c>
      <c r="C50" s="59"/>
      <c r="D50" s="88"/>
      <c r="E50" s="94"/>
      <c r="F50" s="94"/>
      <c r="G50" s="88"/>
      <c r="H50" s="88"/>
      <c r="I50" s="90"/>
    </row>
    <row r="51" ht="15.75" customHeight="1">
      <c r="A51" s="85">
        <v>1.0600008E7</v>
      </c>
      <c r="B51" s="85" t="s">
        <v>291</v>
      </c>
      <c r="C51" s="59"/>
      <c r="D51" s="88"/>
      <c r="E51" s="94"/>
      <c r="F51" s="94"/>
      <c r="G51" s="88"/>
      <c r="H51" s="88"/>
      <c r="I51" s="90"/>
    </row>
    <row r="52" ht="15.75" customHeight="1">
      <c r="A52" s="85">
        <v>1.0600009E7</v>
      </c>
      <c r="B52" s="85" t="s">
        <v>292</v>
      </c>
      <c r="C52" s="59"/>
      <c r="D52" s="88"/>
      <c r="E52" s="94"/>
      <c r="F52" s="94"/>
      <c r="G52" s="88"/>
      <c r="H52" s="88"/>
      <c r="I52" s="90"/>
    </row>
    <row r="53" ht="15.75" customHeight="1">
      <c r="A53" s="85">
        <v>1.060001E7</v>
      </c>
      <c r="B53" s="85" t="s">
        <v>293</v>
      </c>
      <c r="C53" s="59"/>
      <c r="D53" s="88"/>
      <c r="E53" s="94"/>
      <c r="F53" s="94"/>
      <c r="G53" s="88"/>
      <c r="H53" s="88"/>
      <c r="I53" s="90"/>
    </row>
    <row r="54" ht="15.75" customHeight="1">
      <c r="A54" s="85">
        <v>1.0600011E7</v>
      </c>
      <c r="B54" s="85" t="s">
        <v>294</v>
      </c>
      <c r="C54" s="59"/>
      <c r="D54" s="88"/>
      <c r="E54" s="94"/>
      <c r="F54" s="94"/>
      <c r="G54" s="88"/>
      <c r="H54" s="88"/>
      <c r="I54" s="90"/>
    </row>
    <row r="55" ht="15.75" customHeight="1">
      <c r="A55" s="85">
        <v>1.0600012E7</v>
      </c>
      <c r="B55" s="85" t="s">
        <v>295</v>
      </c>
      <c r="C55" s="59"/>
      <c r="D55" s="88"/>
      <c r="E55" s="94"/>
      <c r="F55" s="94"/>
      <c r="G55" s="88"/>
      <c r="H55" s="88"/>
      <c r="I55" s="90"/>
    </row>
    <row r="56" ht="15.75" customHeight="1">
      <c r="A56" s="85">
        <v>1.0600013E7</v>
      </c>
      <c r="B56" s="85" t="s">
        <v>296</v>
      </c>
      <c r="C56" s="59"/>
      <c r="D56" s="88"/>
      <c r="E56" s="94"/>
      <c r="F56" s="94"/>
      <c r="G56" s="88"/>
      <c r="H56" s="88"/>
      <c r="I56" s="90"/>
    </row>
    <row r="57" ht="15.75" customHeight="1">
      <c r="A57" s="85">
        <v>1.0600021E7</v>
      </c>
      <c r="B57" s="85" t="s">
        <v>297</v>
      </c>
      <c r="C57" s="59"/>
      <c r="D57" s="88"/>
      <c r="E57" s="94"/>
      <c r="F57" s="94"/>
      <c r="G57" s="88"/>
      <c r="H57" s="88"/>
      <c r="I57" s="90"/>
    </row>
    <row r="58" ht="15.75" customHeight="1">
      <c r="A58" s="85">
        <v>1.0600022E7</v>
      </c>
      <c r="B58" s="85" t="s">
        <v>298</v>
      </c>
      <c r="C58" s="59"/>
      <c r="D58" s="88"/>
      <c r="E58" s="94"/>
      <c r="F58" s="94"/>
      <c r="G58" s="88"/>
      <c r="H58" s="88"/>
      <c r="I58" s="90"/>
    </row>
    <row r="59" ht="15.75" customHeight="1">
      <c r="A59" s="85">
        <v>1.0600023E7</v>
      </c>
      <c r="B59" s="85" t="s">
        <v>299</v>
      </c>
      <c r="C59" s="59"/>
      <c r="D59" s="88"/>
      <c r="E59" s="94"/>
      <c r="F59" s="94"/>
      <c r="G59" s="88"/>
      <c r="H59" s="88"/>
      <c r="I59" s="90"/>
    </row>
    <row r="60" ht="15.75" customHeight="1">
      <c r="A60" s="85">
        <v>1.0600024E7</v>
      </c>
      <c r="B60" s="85" t="s">
        <v>300</v>
      </c>
      <c r="C60" s="59"/>
      <c r="D60" s="88"/>
      <c r="E60" s="94"/>
      <c r="F60" s="94"/>
      <c r="G60" s="88"/>
      <c r="H60" s="88"/>
      <c r="I60" s="90"/>
    </row>
    <row r="61" ht="15.75" customHeight="1">
      <c r="A61" s="85">
        <v>1.0600025E7</v>
      </c>
      <c r="B61" s="85" t="s">
        <v>301</v>
      </c>
      <c r="C61" s="59"/>
      <c r="D61" s="88"/>
      <c r="E61" s="94"/>
      <c r="F61" s="94"/>
      <c r="G61" s="88"/>
      <c r="H61" s="88"/>
      <c r="I61" s="90"/>
    </row>
    <row r="62" ht="15.75" customHeight="1">
      <c r="A62" s="85">
        <v>1.0600026E7</v>
      </c>
      <c r="B62" s="85" t="s">
        <v>302</v>
      </c>
      <c r="C62" s="59"/>
      <c r="D62" s="88"/>
      <c r="E62" s="94"/>
      <c r="F62" s="94"/>
      <c r="G62" s="88"/>
      <c r="H62" s="88"/>
      <c r="I62" s="90"/>
    </row>
    <row r="63" ht="15.75" customHeight="1">
      <c r="A63" s="85">
        <v>1.0600027E7</v>
      </c>
      <c r="B63" s="85" t="s">
        <v>303</v>
      </c>
      <c r="C63" s="59"/>
      <c r="D63" s="88"/>
      <c r="E63" s="94"/>
      <c r="F63" s="94"/>
      <c r="G63" s="88"/>
      <c r="H63" s="88"/>
      <c r="I63" s="90"/>
    </row>
    <row r="64" ht="15.75" customHeight="1">
      <c r="A64" s="85">
        <v>1.0600028E7</v>
      </c>
      <c r="B64" s="85" t="s">
        <v>304</v>
      </c>
      <c r="C64" s="59"/>
      <c r="D64" s="88"/>
      <c r="E64" s="94"/>
      <c r="F64" s="94"/>
      <c r="G64" s="88"/>
      <c r="H64" s="88"/>
      <c r="I64" s="90"/>
    </row>
    <row r="65" ht="15.75" customHeight="1">
      <c r="A65" s="85">
        <v>1.0600029E7</v>
      </c>
      <c r="B65" s="85" t="s">
        <v>305</v>
      </c>
      <c r="C65" s="59"/>
      <c r="D65" s="88"/>
      <c r="E65" s="94"/>
      <c r="F65" s="94"/>
      <c r="G65" s="88"/>
      <c r="H65" s="88"/>
      <c r="I65" s="90"/>
    </row>
    <row r="66" ht="15.75" customHeight="1">
      <c r="A66" s="85">
        <v>1.060003E7</v>
      </c>
      <c r="B66" s="85" t="s">
        <v>306</v>
      </c>
      <c r="C66" s="59"/>
      <c r="D66" s="88"/>
      <c r="E66" s="94"/>
      <c r="F66" s="94"/>
      <c r="G66" s="88"/>
      <c r="H66" s="88"/>
      <c r="I66" s="90"/>
    </row>
    <row r="67" ht="15.75" customHeight="1">
      <c r="A67" s="85">
        <v>1.0600031E7</v>
      </c>
      <c r="B67" s="85" t="s">
        <v>307</v>
      </c>
      <c r="C67" s="59"/>
      <c r="D67" s="88"/>
      <c r="E67" s="94"/>
      <c r="F67" s="94"/>
      <c r="G67" s="88"/>
      <c r="H67" s="88"/>
      <c r="I67" s="90"/>
    </row>
    <row r="68" ht="15.75" customHeight="1">
      <c r="A68" s="85">
        <v>1.0600032E7</v>
      </c>
      <c r="B68" s="85" t="s">
        <v>308</v>
      </c>
      <c r="C68" s="59"/>
      <c r="D68" s="88"/>
      <c r="E68" s="94"/>
      <c r="F68" s="94"/>
      <c r="G68" s="88"/>
      <c r="H68" s="88"/>
      <c r="I68" s="90"/>
    </row>
    <row r="69" ht="15.75" customHeight="1">
      <c r="A69" s="85">
        <v>1.0600033E7</v>
      </c>
      <c r="B69" s="85" t="s">
        <v>309</v>
      </c>
      <c r="C69" s="59"/>
      <c r="D69" s="88"/>
      <c r="E69" s="94"/>
      <c r="F69" s="94"/>
      <c r="G69" s="88"/>
      <c r="H69" s="88"/>
      <c r="I69" s="90"/>
    </row>
    <row r="70" ht="15.75" customHeight="1">
      <c r="A70" s="85">
        <v>1.0600041E7</v>
      </c>
      <c r="B70" s="85" t="s">
        <v>310</v>
      </c>
      <c r="C70" s="59"/>
      <c r="D70" s="88"/>
      <c r="E70" s="94"/>
      <c r="F70" s="94"/>
      <c r="G70" s="88"/>
      <c r="H70" s="88"/>
      <c r="I70" s="90"/>
    </row>
    <row r="71" ht="15.75" customHeight="1">
      <c r="A71" s="85">
        <v>1.0600042E7</v>
      </c>
      <c r="B71" s="85" t="s">
        <v>311</v>
      </c>
      <c r="C71" s="59"/>
      <c r="D71" s="88"/>
      <c r="E71" s="94"/>
      <c r="F71" s="94"/>
      <c r="G71" s="88"/>
      <c r="H71" s="88"/>
      <c r="I71" s="90"/>
    </row>
    <row r="72" ht="15.75" customHeight="1">
      <c r="A72" s="85">
        <v>1.0600043E7</v>
      </c>
      <c r="B72" s="85" t="s">
        <v>312</v>
      </c>
      <c r="C72" s="59"/>
      <c r="D72" s="88"/>
      <c r="E72" s="94"/>
      <c r="F72" s="94"/>
      <c r="G72" s="88"/>
      <c r="H72" s="88"/>
      <c r="I72" s="90"/>
    </row>
    <row r="73" ht="15.75" customHeight="1">
      <c r="A73" s="85">
        <v>1.0600044E7</v>
      </c>
      <c r="B73" s="85" t="s">
        <v>313</v>
      </c>
      <c r="C73" s="59"/>
      <c r="D73" s="88"/>
      <c r="E73" s="94"/>
      <c r="F73" s="94"/>
      <c r="G73" s="88"/>
      <c r="H73" s="88"/>
      <c r="I73" s="90"/>
    </row>
    <row r="74" ht="15.75" customHeight="1">
      <c r="A74" s="85">
        <v>1.0600045E7</v>
      </c>
      <c r="B74" s="85" t="s">
        <v>314</v>
      </c>
      <c r="C74" s="59"/>
      <c r="D74" s="88"/>
      <c r="E74" s="94"/>
      <c r="F74" s="94"/>
      <c r="G74" s="88"/>
      <c r="H74" s="88"/>
      <c r="I74" s="90"/>
    </row>
    <row r="75" ht="15.75" customHeight="1">
      <c r="A75" s="85">
        <v>1.0600046E7</v>
      </c>
      <c r="B75" s="85" t="s">
        <v>315</v>
      </c>
      <c r="C75" s="59"/>
      <c r="D75" s="88"/>
      <c r="E75" s="94"/>
      <c r="F75" s="94"/>
      <c r="G75" s="88"/>
      <c r="H75" s="88"/>
      <c r="I75" s="90"/>
    </row>
    <row r="76" ht="15.75" customHeight="1">
      <c r="A76" s="85">
        <v>1.0600047E7</v>
      </c>
      <c r="B76" s="85" t="s">
        <v>316</v>
      </c>
      <c r="C76" s="59"/>
      <c r="D76" s="88"/>
      <c r="E76" s="94"/>
      <c r="F76" s="94"/>
      <c r="G76" s="88"/>
      <c r="H76" s="88"/>
      <c r="I76" s="90"/>
      <c r="K76" s="84"/>
    </row>
    <row r="77" ht="15.75" customHeight="1">
      <c r="A77" s="85">
        <v>1.0600048E7</v>
      </c>
      <c r="B77" s="85" t="s">
        <v>317</v>
      </c>
      <c r="C77" s="59"/>
      <c r="D77" s="88"/>
      <c r="E77" s="94"/>
      <c r="F77" s="94"/>
      <c r="G77" s="88"/>
      <c r="H77" s="88"/>
      <c r="I77" s="90"/>
      <c r="K77" s="84"/>
    </row>
    <row r="78" ht="15.75" customHeight="1">
      <c r="A78" s="85">
        <v>1.0600049E7</v>
      </c>
      <c r="B78" s="85" t="s">
        <v>318</v>
      </c>
      <c r="C78" s="59"/>
      <c r="D78" s="88"/>
      <c r="E78" s="94"/>
      <c r="F78" s="94"/>
      <c r="G78" s="88"/>
      <c r="H78" s="88"/>
      <c r="I78" s="90"/>
      <c r="K78" s="84"/>
    </row>
    <row r="79" ht="15.75" customHeight="1">
      <c r="A79" s="85">
        <v>1.060005E7</v>
      </c>
      <c r="B79" s="85" t="s">
        <v>319</v>
      </c>
      <c r="C79" s="59"/>
      <c r="D79" s="88"/>
      <c r="E79" s="94"/>
      <c r="F79" s="94"/>
      <c r="G79" s="88"/>
      <c r="H79" s="88"/>
      <c r="I79" s="90"/>
      <c r="K79" s="84"/>
    </row>
    <row r="80" ht="15.75" customHeight="1">
      <c r="A80" s="85">
        <v>1.0600051E7</v>
      </c>
      <c r="B80" s="85" t="s">
        <v>320</v>
      </c>
      <c r="C80" s="59"/>
      <c r="D80" s="88"/>
      <c r="E80" s="94"/>
      <c r="F80" s="94"/>
      <c r="G80" s="88"/>
      <c r="H80" s="88"/>
      <c r="I80" s="90"/>
      <c r="K80" s="84"/>
    </row>
    <row r="81" ht="15.75" customHeight="1">
      <c r="A81" s="85">
        <v>1.0600052E7</v>
      </c>
      <c r="B81" s="85" t="s">
        <v>321</v>
      </c>
      <c r="C81" s="59"/>
      <c r="D81" s="88"/>
      <c r="E81" s="94"/>
      <c r="F81" s="94"/>
      <c r="G81" s="88"/>
      <c r="H81" s="88"/>
      <c r="I81" s="90"/>
      <c r="K81" s="84"/>
    </row>
    <row r="82" ht="15.75" customHeight="1">
      <c r="A82" s="85">
        <v>1.0600053E7</v>
      </c>
      <c r="B82" s="85" t="s">
        <v>309</v>
      </c>
      <c r="C82" s="73"/>
      <c r="D82" s="88"/>
      <c r="E82" s="94"/>
      <c r="F82" s="94"/>
      <c r="G82" s="88"/>
      <c r="H82" s="88"/>
      <c r="I82" s="90"/>
      <c r="K82" s="84"/>
    </row>
    <row r="83" ht="15.75" customHeight="1">
      <c r="A83" s="85">
        <v>1.1440001E7</v>
      </c>
      <c r="B83" s="85" t="s">
        <v>322</v>
      </c>
      <c r="C83" s="86" t="s">
        <v>323</v>
      </c>
      <c r="D83" s="88"/>
      <c r="E83" s="95" t="s">
        <v>247</v>
      </c>
      <c r="F83" s="95" t="s">
        <v>248</v>
      </c>
      <c r="G83" s="85" t="s">
        <v>231</v>
      </c>
      <c r="H83" s="88"/>
      <c r="I83" s="90"/>
      <c r="K83" s="84"/>
    </row>
    <row r="84" ht="15.75" customHeight="1">
      <c r="A84" s="85">
        <v>1.1440002E7</v>
      </c>
      <c r="B84" s="85" t="s">
        <v>324</v>
      </c>
      <c r="C84" s="59"/>
      <c r="D84" s="88"/>
      <c r="E84" s="95" t="s">
        <v>247</v>
      </c>
      <c r="F84" s="95" t="s">
        <v>248</v>
      </c>
      <c r="G84" s="85" t="s">
        <v>231</v>
      </c>
      <c r="H84" s="88"/>
      <c r="I84" s="90"/>
      <c r="K84" s="84"/>
    </row>
    <row r="85" ht="15.75" customHeight="1">
      <c r="A85" s="85">
        <v>1.1440003E7</v>
      </c>
      <c r="B85" s="85" t="s">
        <v>325</v>
      </c>
      <c r="C85" s="59"/>
      <c r="D85" s="88"/>
      <c r="E85" s="96" t="s">
        <v>326</v>
      </c>
      <c r="F85" s="96" t="s">
        <v>247</v>
      </c>
      <c r="G85" s="85" t="s">
        <v>231</v>
      </c>
      <c r="H85" s="88"/>
      <c r="I85" s="90"/>
      <c r="K85" s="84"/>
    </row>
    <row r="86" ht="15.75" customHeight="1">
      <c r="A86" s="85">
        <v>1.1440004E7</v>
      </c>
      <c r="B86" s="85" t="s">
        <v>327</v>
      </c>
      <c r="C86" s="59"/>
      <c r="D86" s="88"/>
      <c r="E86" s="95" t="s">
        <v>247</v>
      </c>
      <c r="F86" s="95" t="s">
        <v>248</v>
      </c>
      <c r="G86" s="85" t="s">
        <v>231</v>
      </c>
      <c r="H86" s="88"/>
      <c r="I86" s="90"/>
      <c r="K86" s="84"/>
    </row>
    <row r="87" ht="15.75" customHeight="1">
      <c r="A87" s="85">
        <v>1.1440011E7</v>
      </c>
      <c r="B87" s="85" t="s">
        <v>328</v>
      </c>
      <c r="C87" s="59"/>
      <c r="D87" s="88"/>
      <c r="E87" s="95" t="s">
        <v>247</v>
      </c>
      <c r="F87" s="95" t="s">
        <v>248</v>
      </c>
      <c r="G87" s="85" t="s">
        <v>231</v>
      </c>
      <c r="H87" s="88"/>
      <c r="I87" s="90"/>
      <c r="K87" s="84"/>
    </row>
    <row r="88" ht="15.75" customHeight="1">
      <c r="A88" s="85">
        <v>1.1440012E7</v>
      </c>
      <c r="B88" s="85" t="s">
        <v>329</v>
      </c>
      <c r="C88" s="59"/>
      <c r="D88" s="88"/>
      <c r="E88" s="95" t="s">
        <v>247</v>
      </c>
      <c r="F88" s="95" t="s">
        <v>248</v>
      </c>
      <c r="G88" s="85" t="s">
        <v>231</v>
      </c>
      <c r="H88" s="88"/>
      <c r="I88" s="90"/>
      <c r="K88" s="84"/>
    </row>
    <row r="89" ht="15.75" customHeight="1">
      <c r="A89" s="85">
        <v>1.1440013E7</v>
      </c>
      <c r="B89" s="85" t="s">
        <v>330</v>
      </c>
      <c r="C89" s="59"/>
      <c r="D89" s="88"/>
      <c r="E89" s="96" t="s">
        <v>326</v>
      </c>
      <c r="F89" s="96" t="s">
        <v>247</v>
      </c>
      <c r="G89" s="85" t="s">
        <v>231</v>
      </c>
      <c r="H89" s="88"/>
      <c r="I89" s="90"/>
      <c r="K89" s="84"/>
    </row>
    <row r="90" ht="15.75" customHeight="1">
      <c r="A90" s="85">
        <v>1.1440014E7</v>
      </c>
      <c r="B90" s="85" t="s">
        <v>331</v>
      </c>
      <c r="C90" s="59"/>
      <c r="D90" s="88"/>
      <c r="E90" s="95" t="s">
        <v>247</v>
      </c>
      <c r="F90" s="95" t="s">
        <v>248</v>
      </c>
      <c r="G90" s="85" t="s">
        <v>231</v>
      </c>
      <c r="H90" s="88"/>
      <c r="I90" s="90"/>
      <c r="K90" s="84"/>
    </row>
    <row r="91" ht="15.75" customHeight="1">
      <c r="A91" s="85">
        <v>1.1440021E7</v>
      </c>
      <c r="B91" s="85" t="s">
        <v>332</v>
      </c>
      <c r="C91" s="59"/>
      <c r="D91" s="88"/>
      <c r="E91" s="95" t="s">
        <v>247</v>
      </c>
      <c r="F91" s="95" t="s">
        <v>248</v>
      </c>
      <c r="G91" s="85" t="s">
        <v>231</v>
      </c>
      <c r="H91" s="88"/>
      <c r="I91" s="90"/>
      <c r="K91" s="84"/>
    </row>
    <row r="92" ht="15.75" customHeight="1">
      <c r="A92" s="85">
        <v>1.1440022E7</v>
      </c>
      <c r="B92" s="85" t="s">
        <v>333</v>
      </c>
      <c r="C92" s="59"/>
      <c r="D92" s="88"/>
      <c r="E92" s="95" t="s">
        <v>247</v>
      </c>
      <c r="F92" s="95" t="s">
        <v>248</v>
      </c>
      <c r="G92" s="85" t="s">
        <v>231</v>
      </c>
      <c r="H92" s="88"/>
      <c r="I92" s="90"/>
      <c r="K92" s="84"/>
    </row>
    <row r="93" ht="15.75" customHeight="1">
      <c r="A93" s="85">
        <v>1.1440023E7</v>
      </c>
      <c r="B93" s="85" t="s">
        <v>334</v>
      </c>
      <c r="C93" s="59"/>
      <c r="D93" s="88"/>
      <c r="E93" s="96" t="s">
        <v>326</v>
      </c>
      <c r="F93" s="96" t="s">
        <v>247</v>
      </c>
      <c r="G93" s="85" t="s">
        <v>231</v>
      </c>
      <c r="H93" s="88"/>
      <c r="I93" s="90"/>
      <c r="K93" s="84"/>
    </row>
    <row r="94" ht="15.75" customHeight="1">
      <c r="A94" s="85">
        <v>1.1440024E7</v>
      </c>
      <c r="B94" s="85" t="s">
        <v>335</v>
      </c>
      <c r="C94" s="73"/>
      <c r="D94" s="88"/>
      <c r="E94" s="95" t="s">
        <v>247</v>
      </c>
      <c r="F94" s="95" t="s">
        <v>248</v>
      </c>
      <c r="G94" s="85" t="s">
        <v>231</v>
      </c>
      <c r="H94" s="88"/>
      <c r="I94" s="90"/>
      <c r="K94" s="84"/>
    </row>
    <row r="95" ht="15.75" customHeight="1">
      <c r="A95" s="85">
        <v>1.1610001E7</v>
      </c>
      <c r="B95" s="85" t="s">
        <v>336</v>
      </c>
      <c r="C95" s="86" t="s">
        <v>337</v>
      </c>
      <c r="D95" s="93"/>
      <c r="E95" s="91" t="s">
        <v>338</v>
      </c>
      <c r="F95" s="91" t="s">
        <v>339</v>
      </c>
      <c r="G95" s="85" t="s">
        <v>340</v>
      </c>
      <c r="H95" s="97" t="s">
        <v>341</v>
      </c>
      <c r="I95" s="90"/>
      <c r="K95" s="84"/>
    </row>
    <row r="96" ht="15.75" customHeight="1">
      <c r="A96" s="85">
        <v>1.1610002E7</v>
      </c>
      <c r="B96" s="85" t="s">
        <v>342</v>
      </c>
      <c r="C96" s="59"/>
      <c r="D96" s="93"/>
      <c r="E96" s="91" t="s">
        <v>338</v>
      </c>
      <c r="F96" s="91" t="s">
        <v>339</v>
      </c>
      <c r="G96" s="85" t="s">
        <v>340</v>
      </c>
      <c r="H96" s="97" t="s">
        <v>341</v>
      </c>
      <c r="I96" s="90"/>
      <c r="K96" s="84"/>
    </row>
    <row r="97" ht="15.75" customHeight="1">
      <c r="A97" s="85">
        <v>1.1610003E7</v>
      </c>
      <c r="B97" s="85" t="s">
        <v>343</v>
      </c>
      <c r="C97" s="59"/>
      <c r="D97" s="93"/>
      <c r="E97" s="91" t="s">
        <v>338</v>
      </c>
      <c r="F97" s="91" t="s">
        <v>339</v>
      </c>
      <c r="G97" s="85" t="s">
        <v>340</v>
      </c>
      <c r="H97" s="97" t="s">
        <v>341</v>
      </c>
      <c r="I97" s="90"/>
      <c r="K97" s="84"/>
    </row>
    <row r="98" ht="15.75" customHeight="1">
      <c r="A98" s="98">
        <v>1.1610011E7</v>
      </c>
      <c r="B98" s="98" t="s">
        <v>344</v>
      </c>
      <c r="C98" s="59"/>
      <c r="D98" s="93"/>
      <c r="E98" s="91" t="s">
        <v>338</v>
      </c>
      <c r="F98" s="91" t="s">
        <v>345</v>
      </c>
      <c r="G98" s="85" t="s">
        <v>340</v>
      </c>
      <c r="H98" s="97" t="s">
        <v>341</v>
      </c>
      <c r="I98" s="90"/>
      <c r="K98" s="84"/>
    </row>
    <row r="99" ht="15.75" customHeight="1">
      <c r="A99" s="98">
        <v>1.1610012E7</v>
      </c>
      <c r="B99" s="98" t="s">
        <v>346</v>
      </c>
      <c r="C99" s="59"/>
      <c r="D99" s="93"/>
      <c r="E99" s="91" t="s">
        <v>338</v>
      </c>
      <c r="F99" s="91" t="s">
        <v>345</v>
      </c>
      <c r="G99" s="85" t="s">
        <v>340</v>
      </c>
      <c r="H99" s="97" t="s">
        <v>341</v>
      </c>
      <c r="I99" s="90"/>
      <c r="K99" s="84"/>
    </row>
    <row r="100" ht="15.75" customHeight="1">
      <c r="A100" s="98">
        <v>1.1610013E7</v>
      </c>
      <c r="B100" s="98" t="s">
        <v>347</v>
      </c>
      <c r="C100" s="59"/>
      <c r="D100" s="93"/>
      <c r="E100" s="91" t="s">
        <v>338</v>
      </c>
      <c r="F100" s="91" t="s">
        <v>345</v>
      </c>
      <c r="G100" s="85" t="s">
        <v>340</v>
      </c>
      <c r="H100" s="97" t="s">
        <v>341</v>
      </c>
      <c r="I100" s="90"/>
      <c r="K100" s="84"/>
    </row>
    <row r="101" ht="15.75" customHeight="1">
      <c r="A101" s="98">
        <v>1.1610014E7</v>
      </c>
      <c r="B101" s="98" t="s">
        <v>348</v>
      </c>
      <c r="C101" s="59"/>
      <c r="D101" s="88"/>
      <c r="E101" s="91" t="s">
        <v>338</v>
      </c>
      <c r="F101" s="91" t="s">
        <v>345</v>
      </c>
      <c r="G101" s="85" t="s">
        <v>340</v>
      </c>
      <c r="H101" s="88"/>
      <c r="I101" s="90"/>
      <c r="K101" s="84"/>
    </row>
    <row r="102" ht="15.75" customHeight="1">
      <c r="A102" s="98">
        <v>1.1610015E7</v>
      </c>
      <c r="B102" s="98" t="s">
        <v>349</v>
      </c>
      <c r="C102" s="59"/>
      <c r="D102" s="88"/>
      <c r="E102" s="91" t="s">
        <v>338</v>
      </c>
      <c r="F102" s="91" t="s">
        <v>345</v>
      </c>
      <c r="G102" s="85" t="s">
        <v>340</v>
      </c>
      <c r="H102" s="88"/>
      <c r="I102" s="90"/>
      <c r="K102" s="84"/>
    </row>
    <row r="103" ht="15.75" customHeight="1">
      <c r="A103" s="98">
        <v>1.1610016E7</v>
      </c>
      <c r="B103" s="98" t="s">
        <v>350</v>
      </c>
      <c r="C103" s="59"/>
      <c r="D103" s="88"/>
      <c r="E103" s="91" t="s">
        <v>338</v>
      </c>
      <c r="F103" s="91" t="s">
        <v>345</v>
      </c>
      <c r="G103" s="85" t="s">
        <v>340</v>
      </c>
      <c r="H103" s="88"/>
      <c r="I103" s="90"/>
      <c r="K103" s="84"/>
    </row>
    <row r="104" ht="15.75" customHeight="1">
      <c r="A104" s="98">
        <v>1.1610021E7</v>
      </c>
      <c r="B104" s="98" t="s">
        <v>351</v>
      </c>
      <c r="C104" s="59"/>
      <c r="D104" s="88"/>
      <c r="E104" s="91" t="s">
        <v>338</v>
      </c>
      <c r="F104" s="91" t="s">
        <v>345</v>
      </c>
      <c r="G104" s="85" t="s">
        <v>340</v>
      </c>
      <c r="H104" s="88"/>
      <c r="I104" s="90"/>
      <c r="K104" s="84"/>
    </row>
    <row r="105" ht="15.75" customHeight="1">
      <c r="A105" s="98">
        <v>1.1610022E7</v>
      </c>
      <c r="B105" s="98" t="s">
        <v>352</v>
      </c>
      <c r="C105" s="59"/>
      <c r="D105" s="88"/>
      <c r="E105" s="91" t="s">
        <v>338</v>
      </c>
      <c r="F105" s="91" t="s">
        <v>345</v>
      </c>
      <c r="G105" s="85" t="s">
        <v>340</v>
      </c>
      <c r="H105" s="88"/>
      <c r="I105" s="90"/>
      <c r="K105" s="84"/>
    </row>
    <row r="106" ht="15.75" customHeight="1">
      <c r="A106" s="98">
        <v>1.1610023E7</v>
      </c>
      <c r="B106" s="98" t="s">
        <v>353</v>
      </c>
      <c r="C106" s="59"/>
      <c r="D106" s="88"/>
      <c r="E106" s="91" t="s">
        <v>338</v>
      </c>
      <c r="F106" s="91" t="s">
        <v>345</v>
      </c>
      <c r="G106" s="85" t="s">
        <v>340</v>
      </c>
      <c r="H106" s="88"/>
      <c r="I106" s="90"/>
      <c r="K106" s="84"/>
    </row>
    <row r="107" ht="15.75" customHeight="1">
      <c r="A107" s="98">
        <v>1.1610024E7</v>
      </c>
      <c r="B107" s="98" t="s">
        <v>354</v>
      </c>
      <c r="C107" s="59"/>
      <c r="D107" s="88"/>
      <c r="E107" s="91" t="s">
        <v>338</v>
      </c>
      <c r="F107" s="91" t="s">
        <v>345</v>
      </c>
      <c r="G107" s="85" t="s">
        <v>340</v>
      </c>
      <c r="H107" s="88"/>
      <c r="I107" s="90"/>
      <c r="K107" s="84"/>
    </row>
    <row r="108" ht="15.75" customHeight="1">
      <c r="A108" s="98">
        <v>1.1610025E7</v>
      </c>
      <c r="B108" s="98" t="s">
        <v>355</v>
      </c>
      <c r="C108" s="59"/>
      <c r="D108" s="88"/>
      <c r="E108" s="91" t="s">
        <v>338</v>
      </c>
      <c r="F108" s="91" t="s">
        <v>345</v>
      </c>
      <c r="G108" s="85" t="s">
        <v>340</v>
      </c>
      <c r="H108" s="88"/>
      <c r="I108" s="90"/>
      <c r="K108" s="84"/>
    </row>
    <row r="109" ht="15.75" customHeight="1">
      <c r="A109" s="98">
        <v>1.1610026E7</v>
      </c>
      <c r="B109" s="98" t="s">
        <v>356</v>
      </c>
      <c r="C109" s="73"/>
      <c r="D109" s="88"/>
      <c r="E109" s="91" t="s">
        <v>338</v>
      </c>
      <c r="F109" s="91" t="s">
        <v>345</v>
      </c>
      <c r="G109" s="85" t="s">
        <v>340</v>
      </c>
      <c r="H109" s="88"/>
      <c r="I109" s="90"/>
      <c r="K109" s="84"/>
    </row>
    <row r="110" ht="15.75" customHeight="1">
      <c r="A110" s="85"/>
      <c r="B110" s="98"/>
      <c r="C110" s="85"/>
      <c r="D110" s="88"/>
      <c r="E110" s="91"/>
      <c r="F110" s="91"/>
      <c r="G110" s="88"/>
      <c r="H110" s="88"/>
      <c r="I110" s="90"/>
      <c r="K110" s="84"/>
    </row>
    <row r="111" ht="15.75" customHeight="1">
      <c r="A111" s="85"/>
      <c r="B111" s="98"/>
      <c r="C111" s="85"/>
      <c r="D111" s="88"/>
      <c r="E111" s="91"/>
      <c r="F111" s="91"/>
      <c r="G111" s="88"/>
      <c r="H111" s="88"/>
      <c r="I111" s="90"/>
      <c r="K111" s="84"/>
    </row>
    <row r="112" ht="15.75" customHeight="1">
      <c r="A112" s="85">
        <v>1.0032001E7</v>
      </c>
      <c r="B112" s="98" t="s">
        <v>357</v>
      </c>
      <c r="C112" s="86" t="s">
        <v>358</v>
      </c>
      <c r="D112" s="88"/>
      <c r="E112" s="91" t="s">
        <v>359</v>
      </c>
      <c r="F112" s="91" t="s">
        <v>359</v>
      </c>
      <c r="G112" s="88"/>
      <c r="H112" s="88"/>
      <c r="I112" s="90"/>
      <c r="K112" s="84"/>
    </row>
    <row r="113" ht="15.75" customHeight="1">
      <c r="A113" s="98">
        <v>1.0032011E7</v>
      </c>
      <c r="B113" s="98" t="s">
        <v>360</v>
      </c>
      <c r="C113" s="59"/>
      <c r="D113" s="88"/>
      <c r="E113" s="91" t="s">
        <v>359</v>
      </c>
      <c r="F113" s="91" t="s">
        <v>359</v>
      </c>
      <c r="G113" s="88"/>
      <c r="H113" s="88"/>
      <c r="I113" s="90"/>
      <c r="K113" s="84"/>
    </row>
    <row r="114" ht="15.75" customHeight="1">
      <c r="A114" s="85">
        <v>1.0032021E7</v>
      </c>
      <c r="B114" s="98" t="s">
        <v>361</v>
      </c>
      <c r="C114" s="73"/>
      <c r="D114" s="88"/>
      <c r="E114" s="91" t="s">
        <v>359</v>
      </c>
      <c r="F114" s="91" t="s">
        <v>359</v>
      </c>
      <c r="G114" s="88"/>
      <c r="H114" s="88"/>
      <c r="I114" s="90"/>
      <c r="K114" s="84"/>
    </row>
    <row r="115" ht="15.75" customHeight="1">
      <c r="A115" s="85">
        <v>3.000001E7</v>
      </c>
      <c r="B115" s="85" t="s">
        <v>362</v>
      </c>
      <c r="C115" s="86" t="s">
        <v>363</v>
      </c>
      <c r="D115" s="88"/>
      <c r="E115" s="92" t="s">
        <v>235</v>
      </c>
      <c r="F115" s="92" t="s">
        <v>235</v>
      </c>
      <c r="G115" s="88"/>
      <c r="H115" s="88"/>
      <c r="I115" s="99"/>
      <c r="K115" s="84"/>
      <c r="L115" s="84"/>
    </row>
    <row r="116" ht="15.75" customHeight="1">
      <c r="A116" s="85">
        <v>3.0000011E7</v>
      </c>
      <c r="B116" s="85" t="s">
        <v>364</v>
      </c>
      <c r="C116" s="59"/>
      <c r="D116" s="88"/>
      <c r="E116" s="92" t="s">
        <v>235</v>
      </c>
      <c r="F116" s="92" t="s">
        <v>235</v>
      </c>
      <c r="G116" s="88"/>
      <c r="H116" s="88"/>
      <c r="I116" s="99"/>
      <c r="K116" s="84"/>
      <c r="L116" s="84"/>
    </row>
    <row r="117" ht="15.75" customHeight="1">
      <c r="A117" s="85">
        <v>1.00321E7</v>
      </c>
      <c r="B117" s="85" t="s">
        <v>365</v>
      </c>
      <c r="C117" s="59"/>
      <c r="D117" s="88"/>
      <c r="E117" s="92" t="s">
        <v>235</v>
      </c>
      <c r="F117" s="92" t="s">
        <v>235</v>
      </c>
      <c r="G117" s="88"/>
      <c r="H117" s="88" t="s">
        <v>366</v>
      </c>
      <c r="I117" s="99"/>
      <c r="K117" s="84"/>
      <c r="L117" s="84"/>
    </row>
    <row r="118" ht="15.75" customHeight="1">
      <c r="A118" s="85">
        <v>1.0032101E7</v>
      </c>
      <c r="B118" s="85" t="s">
        <v>367</v>
      </c>
      <c r="C118" s="59"/>
      <c r="D118" s="88"/>
      <c r="E118" s="92" t="s">
        <v>235</v>
      </c>
      <c r="F118" s="92" t="s">
        <v>235</v>
      </c>
      <c r="G118" s="88"/>
      <c r="H118" s="88" t="s">
        <v>368</v>
      </c>
      <c r="I118" s="99"/>
      <c r="K118" s="84"/>
      <c r="L118" s="84"/>
    </row>
    <row r="119" ht="15.75" customHeight="1">
      <c r="A119" s="85">
        <v>3.0000012E7</v>
      </c>
      <c r="B119" s="85" t="s">
        <v>369</v>
      </c>
      <c r="C119" s="59"/>
      <c r="D119" s="88"/>
      <c r="E119" s="92" t="s">
        <v>235</v>
      </c>
      <c r="F119" s="92" t="s">
        <v>235</v>
      </c>
      <c r="G119" s="88"/>
      <c r="H119" s="88"/>
      <c r="I119" s="99"/>
      <c r="K119" s="84"/>
      <c r="L119" s="84"/>
    </row>
    <row r="120" ht="15.75" customHeight="1">
      <c r="A120" s="85">
        <v>3.0000013E7</v>
      </c>
      <c r="B120" s="85" t="s">
        <v>370</v>
      </c>
      <c r="C120" s="59"/>
      <c r="D120" s="88"/>
      <c r="E120" s="92" t="s">
        <v>235</v>
      </c>
      <c r="F120" s="92" t="s">
        <v>235</v>
      </c>
      <c r="G120" s="88"/>
      <c r="H120" s="88"/>
      <c r="I120" s="99"/>
      <c r="K120" s="84"/>
      <c r="L120" s="84"/>
    </row>
    <row r="121" ht="15.75" customHeight="1">
      <c r="A121" s="85">
        <v>1.0032102E7</v>
      </c>
      <c r="B121" s="85" t="s">
        <v>371</v>
      </c>
      <c r="C121" s="59"/>
      <c r="D121" s="88"/>
      <c r="E121" s="92" t="s">
        <v>235</v>
      </c>
      <c r="F121" s="92" t="s">
        <v>235</v>
      </c>
      <c r="G121" s="88"/>
      <c r="H121" s="88" t="s">
        <v>366</v>
      </c>
      <c r="I121" s="99"/>
      <c r="K121" s="84"/>
      <c r="L121" s="84"/>
    </row>
    <row r="122" ht="15.75" customHeight="1">
      <c r="A122" s="85">
        <v>1.0032103E7</v>
      </c>
      <c r="B122" s="85" t="s">
        <v>372</v>
      </c>
      <c r="C122" s="59"/>
      <c r="D122" s="88"/>
      <c r="E122" s="92" t="s">
        <v>235</v>
      </c>
      <c r="F122" s="92" t="s">
        <v>235</v>
      </c>
      <c r="G122" s="88"/>
      <c r="H122" s="88" t="s">
        <v>368</v>
      </c>
      <c r="I122" s="99"/>
      <c r="K122" s="84"/>
      <c r="L122" s="84"/>
    </row>
    <row r="123" ht="15.75" customHeight="1">
      <c r="A123" s="85">
        <v>3.0000014E7</v>
      </c>
      <c r="B123" s="85" t="s">
        <v>373</v>
      </c>
      <c r="C123" s="59"/>
      <c r="D123" s="88"/>
      <c r="E123" s="92" t="s">
        <v>235</v>
      </c>
      <c r="F123" s="92" t="s">
        <v>235</v>
      </c>
      <c r="G123" s="88"/>
      <c r="H123" s="88"/>
      <c r="I123" s="99"/>
      <c r="K123" s="84"/>
      <c r="L123" s="84"/>
    </row>
    <row r="124" ht="15.75" customHeight="1">
      <c r="A124" s="85">
        <v>3.0000015E7</v>
      </c>
      <c r="B124" s="85" t="s">
        <v>374</v>
      </c>
      <c r="C124" s="59"/>
      <c r="D124" s="88"/>
      <c r="E124" s="92" t="s">
        <v>235</v>
      </c>
      <c r="F124" s="92" t="s">
        <v>235</v>
      </c>
      <c r="G124" s="88"/>
      <c r="H124" s="88"/>
      <c r="I124" s="99"/>
      <c r="K124" s="84"/>
      <c r="L124" s="84"/>
    </row>
    <row r="125" ht="15.75" customHeight="1">
      <c r="A125" s="85">
        <v>1.0032104E7</v>
      </c>
      <c r="B125" s="85" t="s">
        <v>375</v>
      </c>
      <c r="C125" s="59"/>
      <c r="D125" s="88"/>
      <c r="E125" s="92" t="s">
        <v>235</v>
      </c>
      <c r="F125" s="92" t="s">
        <v>235</v>
      </c>
      <c r="G125" s="88"/>
      <c r="H125" s="88" t="s">
        <v>366</v>
      </c>
      <c r="I125" s="99"/>
      <c r="K125" s="84"/>
      <c r="L125" s="84"/>
    </row>
    <row r="126" ht="15.75" customHeight="1">
      <c r="A126" s="85">
        <v>1.0032105E7</v>
      </c>
      <c r="B126" s="85" t="s">
        <v>376</v>
      </c>
      <c r="C126" s="73"/>
      <c r="D126" s="88"/>
      <c r="E126" s="92" t="s">
        <v>235</v>
      </c>
      <c r="F126" s="92" t="s">
        <v>235</v>
      </c>
      <c r="G126" s="88"/>
      <c r="H126" s="88" t="s">
        <v>368</v>
      </c>
      <c r="I126" s="99"/>
      <c r="K126" s="84"/>
      <c r="L126" s="84"/>
    </row>
    <row r="127" ht="15.75" customHeight="1">
      <c r="A127" s="85">
        <v>1.1441001E7</v>
      </c>
      <c r="B127" s="85" t="s">
        <v>377</v>
      </c>
      <c r="C127" s="86" t="s">
        <v>378</v>
      </c>
      <c r="D127" s="88"/>
      <c r="E127" s="91" t="s">
        <v>247</v>
      </c>
      <c r="F127" s="92" t="s">
        <v>230</v>
      </c>
      <c r="G127" s="85" t="s">
        <v>231</v>
      </c>
      <c r="H127" s="88"/>
      <c r="I127" s="99"/>
      <c r="K127" s="84"/>
      <c r="L127" s="84"/>
    </row>
    <row r="128" ht="15.75" customHeight="1">
      <c r="A128" s="85">
        <v>1.1441002E7</v>
      </c>
      <c r="B128" s="85" t="s">
        <v>379</v>
      </c>
      <c r="C128" s="59"/>
      <c r="D128" s="88"/>
      <c r="E128" s="91" t="s">
        <v>247</v>
      </c>
      <c r="F128" s="92" t="s">
        <v>230</v>
      </c>
      <c r="G128" s="85" t="s">
        <v>231</v>
      </c>
      <c r="H128" s="88"/>
      <c r="I128" s="99"/>
      <c r="K128" s="84"/>
      <c r="L128" s="84"/>
    </row>
    <row r="129" ht="15.75" customHeight="1">
      <c r="A129" s="85">
        <v>1.1441003E7</v>
      </c>
      <c r="B129" s="85" t="s">
        <v>380</v>
      </c>
      <c r="C129" s="59"/>
      <c r="D129" s="88"/>
      <c r="E129" s="91" t="s">
        <v>247</v>
      </c>
      <c r="F129" s="92" t="s">
        <v>230</v>
      </c>
      <c r="G129" s="85" t="s">
        <v>231</v>
      </c>
      <c r="H129" s="88"/>
      <c r="I129" s="99"/>
      <c r="K129" s="84"/>
      <c r="L129" s="84"/>
    </row>
    <row r="130" ht="15.75" customHeight="1">
      <c r="A130" s="85">
        <v>1.1441004E7</v>
      </c>
      <c r="B130" s="85" t="s">
        <v>381</v>
      </c>
      <c r="C130" s="59"/>
      <c r="D130" s="88"/>
      <c r="E130" s="91" t="s">
        <v>247</v>
      </c>
      <c r="F130" s="92" t="s">
        <v>230</v>
      </c>
      <c r="G130" s="85" t="s">
        <v>231</v>
      </c>
      <c r="H130" s="88"/>
      <c r="I130" s="99"/>
      <c r="K130" s="84"/>
      <c r="L130" s="84"/>
    </row>
    <row r="131" ht="15.75" customHeight="1">
      <c r="A131" s="85">
        <v>1.1441005E7</v>
      </c>
      <c r="B131" s="85" t="s">
        <v>382</v>
      </c>
      <c r="C131" s="59"/>
      <c r="D131" s="88"/>
      <c r="E131" s="91" t="s">
        <v>247</v>
      </c>
      <c r="F131" s="92" t="s">
        <v>230</v>
      </c>
      <c r="G131" s="85" t="s">
        <v>231</v>
      </c>
      <c r="H131" s="88"/>
      <c r="I131" s="99"/>
      <c r="K131" s="84"/>
      <c r="L131" s="84"/>
    </row>
    <row r="132" ht="15.75" customHeight="1">
      <c r="A132" s="85">
        <v>1.1441006E7</v>
      </c>
      <c r="B132" s="85" t="s">
        <v>383</v>
      </c>
      <c r="C132" s="59"/>
      <c r="D132" s="88"/>
      <c r="E132" s="91" t="s">
        <v>247</v>
      </c>
      <c r="F132" s="92" t="s">
        <v>230</v>
      </c>
      <c r="G132" s="85" t="s">
        <v>231</v>
      </c>
      <c r="H132" s="88"/>
      <c r="I132" s="99"/>
      <c r="K132" s="84"/>
      <c r="L132" s="84"/>
    </row>
    <row r="133" ht="15.75" customHeight="1">
      <c r="A133" s="85">
        <v>1.1441007E7</v>
      </c>
      <c r="B133" s="85" t="s">
        <v>384</v>
      </c>
      <c r="C133" s="59"/>
      <c r="D133" s="88"/>
      <c r="E133" s="91" t="s">
        <v>247</v>
      </c>
      <c r="F133" s="92" t="s">
        <v>230</v>
      </c>
      <c r="G133" s="85" t="s">
        <v>231</v>
      </c>
      <c r="H133" s="88"/>
      <c r="I133" s="99"/>
      <c r="K133" s="84"/>
      <c r="L133" s="84"/>
    </row>
    <row r="134" ht="15.75" customHeight="1">
      <c r="A134" s="85">
        <v>1.1441008E7</v>
      </c>
      <c r="B134" s="85" t="s">
        <v>385</v>
      </c>
      <c r="C134" s="59"/>
      <c r="D134" s="88"/>
      <c r="E134" s="91" t="s">
        <v>247</v>
      </c>
      <c r="F134" s="92" t="s">
        <v>230</v>
      </c>
      <c r="G134" s="85" t="s">
        <v>231</v>
      </c>
      <c r="H134" s="88"/>
      <c r="I134" s="99"/>
      <c r="K134" s="84"/>
      <c r="L134" s="84"/>
    </row>
    <row r="135" ht="15.75" customHeight="1">
      <c r="A135" s="85">
        <v>1.1441009E7</v>
      </c>
      <c r="B135" s="85" t="s">
        <v>386</v>
      </c>
      <c r="C135" s="73"/>
      <c r="D135" s="88"/>
      <c r="E135" s="91" t="s">
        <v>247</v>
      </c>
      <c r="F135" s="92" t="s">
        <v>230</v>
      </c>
      <c r="G135" s="85" t="s">
        <v>231</v>
      </c>
      <c r="H135" s="88"/>
      <c r="I135" s="99"/>
      <c r="K135" s="84"/>
      <c r="L135" s="84"/>
    </row>
    <row r="136" ht="15.75" customHeight="1">
      <c r="A136" s="85">
        <v>1.1450001E7</v>
      </c>
      <c r="B136" s="85" t="s">
        <v>387</v>
      </c>
      <c r="C136" s="86" t="s">
        <v>388</v>
      </c>
      <c r="D136" s="88"/>
      <c r="E136" s="91" t="s">
        <v>247</v>
      </c>
      <c r="F136" s="92" t="s">
        <v>235</v>
      </c>
      <c r="G136" s="85" t="s">
        <v>389</v>
      </c>
      <c r="H136" s="88"/>
      <c r="I136" s="99"/>
      <c r="K136" s="84"/>
      <c r="L136" s="84"/>
    </row>
    <row r="137" ht="15.75" customHeight="1">
      <c r="A137" s="85">
        <v>1.1450002E7</v>
      </c>
      <c r="B137" s="85" t="s">
        <v>390</v>
      </c>
      <c r="C137" s="59"/>
      <c r="D137" s="88"/>
      <c r="E137" s="91" t="s">
        <v>247</v>
      </c>
      <c r="F137" s="92" t="s">
        <v>248</v>
      </c>
      <c r="G137" s="85" t="s">
        <v>231</v>
      </c>
      <c r="H137" s="88"/>
      <c r="I137" s="99"/>
      <c r="K137" s="84"/>
      <c r="L137" s="84"/>
      <c r="M137" s="84"/>
      <c r="N137" s="84"/>
      <c r="O137" s="84"/>
      <c r="P137" s="84"/>
      <c r="Q137" s="84"/>
      <c r="R137" s="84"/>
    </row>
    <row r="138" ht="15.75" customHeight="1">
      <c r="A138" s="85">
        <v>1.1450003E7</v>
      </c>
      <c r="B138" s="85" t="s">
        <v>391</v>
      </c>
      <c r="C138" s="59"/>
      <c r="D138" s="88"/>
      <c r="E138" s="91" t="s">
        <v>392</v>
      </c>
      <c r="F138" s="91"/>
      <c r="G138" s="98" t="s">
        <v>231</v>
      </c>
      <c r="H138" s="88"/>
      <c r="I138" s="99"/>
      <c r="K138" s="84"/>
      <c r="L138" s="84"/>
      <c r="M138" s="84"/>
      <c r="N138" s="84"/>
      <c r="O138" s="84"/>
      <c r="P138" s="84"/>
      <c r="Q138" s="84"/>
      <c r="R138" s="84"/>
    </row>
    <row r="139" ht="15.75" customHeight="1">
      <c r="A139" s="85">
        <v>1.1452001E7</v>
      </c>
      <c r="B139" s="85" t="s">
        <v>393</v>
      </c>
      <c r="C139" s="59"/>
      <c r="D139" s="88"/>
      <c r="E139" s="91" t="s">
        <v>247</v>
      </c>
      <c r="F139" s="92" t="s">
        <v>235</v>
      </c>
      <c r="G139" s="85" t="s">
        <v>389</v>
      </c>
      <c r="H139" s="88"/>
      <c r="I139" s="99"/>
      <c r="K139" s="84"/>
      <c r="L139" s="84"/>
      <c r="M139" s="84"/>
      <c r="N139" s="84"/>
      <c r="O139" s="84"/>
      <c r="P139" s="84"/>
      <c r="Q139" s="84"/>
      <c r="R139" s="84"/>
    </row>
    <row r="140" ht="15.75" customHeight="1">
      <c r="A140" s="85">
        <v>1.1452002E7</v>
      </c>
      <c r="B140" s="85" t="s">
        <v>394</v>
      </c>
      <c r="C140" s="59"/>
      <c r="D140" s="88"/>
      <c r="E140" s="91" t="s">
        <v>247</v>
      </c>
      <c r="F140" s="92" t="s">
        <v>248</v>
      </c>
      <c r="G140" s="85" t="s">
        <v>231</v>
      </c>
      <c r="H140" s="88"/>
      <c r="I140" s="99"/>
      <c r="K140" s="84"/>
      <c r="L140" s="84"/>
      <c r="M140" s="84"/>
      <c r="N140" s="84"/>
      <c r="O140" s="84"/>
      <c r="P140" s="84"/>
      <c r="Q140" s="84"/>
      <c r="R140" s="84"/>
    </row>
    <row r="141" ht="15.75" customHeight="1">
      <c r="A141" s="85">
        <v>1.1452003E7</v>
      </c>
      <c r="B141" s="85" t="s">
        <v>395</v>
      </c>
      <c r="C141" s="59"/>
      <c r="D141" s="88"/>
      <c r="E141" s="91" t="s">
        <v>396</v>
      </c>
      <c r="F141" s="91"/>
      <c r="G141" s="98" t="s">
        <v>231</v>
      </c>
      <c r="H141" s="88"/>
      <c r="I141" s="99"/>
      <c r="K141" s="84"/>
      <c r="L141" s="84"/>
      <c r="M141" s="84"/>
      <c r="N141" s="84"/>
      <c r="O141" s="84"/>
      <c r="P141" s="84"/>
      <c r="Q141" s="84"/>
      <c r="R141" s="84"/>
    </row>
    <row r="142" ht="15.75" customHeight="1">
      <c r="A142" s="85">
        <v>1.1454001E7</v>
      </c>
      <c r="B142" s="85" t="s">
        <v>397</v>
      </c>
      <c r="C142" s="59"/>
      <c r="D142" s="88"/>
      <c r="E142" s="91" t="s">
        <v>247</v>
      </c>
      <c r="F142" s="92" t="s">
        <v>235</v>
      </c>
      <c r="G142" s="85" t="s">
        <v>389</v>
      </c>
      <c r="H142" s="88"/>
      <c r="I142" s="99"/>
      <c r="K142" s="84"/>
      <c r="L142" s="84"/>
      <c r="M142" s="84"/>
      <c r="N142" s="84"/>
      <c r="O142" s="84"/>
      <c r="P142" s="84"/>
      <c r="Q142" s="84"/>
      <c r="R142" s="84"/>
    </row>
    <row r="143" ht="15.75" customHeight="1">
      <c r="A143" s="85">
        <v>1.1454002E7</v>
      </c>
      <c r="B143" s="85" t="s">
        <v>398</v>
      </c>
      <c r="C143" s="59"/>
      <c r="D143" s="88"/>
      <c r="E143" s="91" t="s">
        <v>247</v>
      </c>
      <c r="F143" s="92" t="s">
        <v>248</v>
      </c>
      <c r="G143" s="85" t="s">
        <v>231</v>
      </c>
      <c r="H143" s="88"/>
      <c r="I143" s="99"/>
      <c r="K143" s="84"/>
      <c r="L143" s="84"/>
      <c r="M143" s="84"/>
      <c r="N143" s="84"/>
      <c r="O143" s="84"/>
      <c r="P143" s="84"/>
      <c r="Q143" s="84"/>
      <c r="R143" s="84"/>
    </row>
    <row r="144" ht="15.75" customHeight="1">
      <c r="A144" s="85">
        <v>1.1454003E7</v>
      </c>
      <c r="B144" s="85" t="s">
        <v>399</v>
      </c>
      <c r="C144" s="73"/>
      <c r="D144" s="88"/>
      <c r="E144" s="91" t="s">
        <v>400</v>
      </c>
      <c r="F144" s="91"/>
      <c r="G144" s="98" t="s">
        <v>231</v>
      </c>
      <c r="H144" s="88"/>
      <c r="I144" s="99"/>
      <c r="K144" s="84"/>
      <c r="L144" s="84"/>
      <c r="M144" s="84"/>
      <c r="N144" s="84"/>
      <c r="O144" s="84"/>
      <c r="P144" s="84"/>
      <c r="Q144" s="84"/>
      <c r="R144" s="84"/>
    </row>
    <row r="145" ht="15.75" customHeight="1">
      <c r="A145" s="85">
        <v>1.2E7</v>
      </c>
      <c r="B145" s="85" t="s">
        <v>401</v>
      </c>
      <c r="C145" s="86" t="s">
        <v>402</v>
      </c>
      <c r="D145" s="88"/>
      <c r="E145" s="92" t="s">
        <v>339</v>
      </c>
      <c r="F145" s="92" t="s">
        <v>339</v>
      </c>
      <c r="G145" s="85" t="s">
        <v>403</v>
      </c>
      <c r="H145" s="88"/>
      <c r="I145" s="99"/>
      <c r="K145" s="84"/>
      <c r="L145" s="84"/>
      <c r="M145" s="84"/>
      <c r="N145" s="84"/>
      <c r="O145" s="84"/>
      <c r="P145" s="84"/>
      <c r="Q145" s="84"/>
      <c r="R145" s="84"/>
    </row>
    <row r="146" ht="15.75" customHeight="1">
      <c r="A146" s="85">
        <v>1.2000001E7</v>
      </c>
      <c r="B146" s="85" t="s">
        <v>404</v>
      </c>
      <c r="C146" s="73"/>
      <c r="D146" s="88"/>
      <c r="E146" s="92" t="s">
        <v>405</v>
      </c>
      <c r="F146" s="92" t="s">
        <v>406</v>
      </c>
      <c r="G146" s="93"/>
      <c r="H146" s="88"/>
      <c r="I146" s="99"/>
      <c r="K146" s="84"/>
      <c r="L146" s="84"/>
      <c r="M146" s="84"/>
      <c r="N146" s="84"/>
      <c r="O146" s="84"/>
      <c r="P146" s="84"/>
      <c r="Q146" s="84"/>
      <c r="R146" s="84"/>
    </row>
    <row r="147" ht="15.75" customHeight="1">
      <c r="A147" s="85">
        <v>1.2099001E7</v>
      </c>
      <c r="B147" s="98" t="s">
        <v>407</v>
      </c>
      <c r="C147" s="86" t="s">
        <v>408</v>
      </c>
      <c r="D147" s="88"/>
      <c r="E147" s="100"/>
      <c r="F147" s="100"/>
      <c r="G147" s="88"/>
      <c r="H147" s="88"/>
      <c r="I147" s="99"/>
      <c r="K147" s="84"/>
      <c r="L147" s="84"/>
      <c r="M147" s="84"/>
      <c r="N147" s="84"/>
      <c r="O147" s="84"/>
      <c r="P147" s="84"/>
      <c r="Q147" s="84"/>
      <c r="R147" s="84"/>
    </row>
    <row r="148" ht="15.75" customHeight="1">
      <c r="A148" s="85">
        <v>1.2099002E7</v>
      </c>
      <c r="B148" s="98" t="s">
        <v>409</v>
      </c>
      <c r="C148" s="59"/>
      <c r="D148" s="88"/>
      <c r="E148" s="100"/>
      <c r="F148" s="100"/>
      <c r="G148" s="88"/>
      <c r="H148" s="88"/>
      <c r="I148" s="99"/>
      <c r="K148" s="84"/>
      <c r="L148" s="84"/>
      <c r="M148" s="84"/>
      <c r="N148" s="84"/>
      <c r="O148" s="84"/>
      <c r="P148" s="84"/>
      <c r="Q148" s="84"/>
      <c r="R148" s="84"/>
    </row>
    <row r="149" ht="15.75" customHeight="1">
      <c r="A149" s="85">
        <v>1.2099003E7</v>
      </c>
      <c r="B149" s="98" t="s">
        <v>410</v>
      </c>
      <c r="C149" s="59"/>
      <c r="D149" s="88"/>
      <c r="E149" s="92" t="s">
        <v>235</v>
      </c>
      <c r="F149" s="100"/>
      <c r="G149" s="88"/>
      <c r="H149" s="88"/>
      <c r="I149" s="99"/>
      <c r="K149" s="84"/>
      <c r="L149" s="84"/>
      <c r="M149" s="84"/>
      <c r="N149" s="84"/>
      <c r="O149" s="84"/>
      <c r="P149" s="84"/>
      <c r="Q149" s="84"/>
      <c r="R149" s="84"/>
    </row>
    <row r="150" ht="15.75" customHeight="1">
      <c r="A150" s="85">
        <v>1.2099004E7</v>
      </c>
      <c r="B150" s="98" t="s">
        <v>411</v>
      </c>
      <c r="C150" s="59"/>
      <c r="D150" s="88"/>
      <c r="E150" s="100"/>
      <c r="F150" s="100"/>
      <c r="G150" s="88"/>
      <c r="H150" s="88"/>
      <c r="I150" s="99"/>
      <c r="K150" s="84"/>
      <c r="L150" s="84"/>
      <c r="M150" s="84"/>
      <c r="N150" s="84"/>
      <c r="O150" s="84"/>
      <c r="P150" s="84"/>
      <c r="Q150" s="84"/>
      <c r="R150" s="84"/>
    </row>
    <row r="151" ht="15.75" customHeight="1">
      <c r="A151" s="85">
        <v>1.2099005E7</v>
      </c>
      <c r="B151" s="98" t="s">
        <v>412</v>
      </c>
      <c r="C151" s="59"/>
      <c r="D151" s="88"/>
      <c r="E151" s="100"/>
      <c r="F151" s="100"/>
      <c r="G151" s="88"/>
      <c r="H151" s="88"/>
      <c r="I151" s="99"/>
      <c r="K151" s="84"/>
      <c r="L151" s="84"/>
      <c r="M151" s="84"/>
      <c r="N151" s="84"/>
      <c r="O151" s="84"/>
      <c r="P151" s="84"/>
      <c r="Q151" s="84"/>
      <c r="R151" s="84"/>
    </row>
    <row r="152" ht="15.75" customHeight="1">
      <c r="A152" s="85">
        <v>1.2099006E7</v>
      </c>
      <c r="B152" s="98" t="s">
        <v>413</v>
      </c>
      <c r="C152" s="59"/>
      <c r="D152" s="88"/>
      <c r="E152" s="92" t="s">
        <v>235</v>
      </c>
      <c r="F152" s="100"/>
      <c r="G152" s="88"/>
      <c r="H152" s="88"/>
      <c r="I152" s="99"/>
      <c r="K152" s="84"/>
      <c r="L152" s="84"/>
      <c r="M152" s="84"/>
      <c r="N152" s="84"/>
      <c r="O152" s="84"/>
      <c r="P152" s="84"/>
      <c r="Q152" s="84"/>
      <c r="R152" s="84"/>
    </row>
    <row r="153" ht="15.75" customHeight="1">
      <c r="A153" s="85">
        <v>1.2099007E7</v>
      </c>
      <c r="B153" s="98" t="s">
        <v>414</v>
      </c>
      <c r="C153" s="59"/>
      <c r="D153" s="88"/>
      <c r="E153" s="100"/>
      <c r="F153" s="100"/>
      <c r="G153" s="88"/>
      <c r="H153" s="88"/>
      <c r="I153" s="99"/>
      <c r="K153" s="84"/>
      <c r="L153" s="84"/>
      <c r="M153" s="84"/>
      <c r="N153" s="84"/>
      <c r="O153" s="84"/>
      <c r="P153" s="84"/>
      <c r="Q153" s="84"/>
      <c r="R153" s="84"/>
    </row>
    <row r="154" ht="15.75" customHeight="1">
      <c r="A154" s="85">
        <v>1.2099008E7</v>
      </c>
      <c r="B154" s="98" t="s">
        <v>415</v>
      </c>
      <c r="C154" s="59"/>
      <c r="D154" s="88"/>
      <c r="E154" s="100"/>
      <c r="F154" s="100"/>
      <c r="G154" s="88"/>
      <c r="H154" s="88"/>
      <c r="I154" s="99"/>
      <c r="K154" s="84"/>
      <c r="M154" s="84"/>
      <c r="N154" s="84"/>
      <c r="O154" s="84"/>
      <c r="P154" s="84"/>
      <c r="Q154" s="84"/>
      <c r="R154" s="84"/>
    </row>
    <row r="155" ht="15.75" customHeight="1">
      <c r="A155" s="85">
        <v>1.2099009E7</v>
      </c>
      <c r="B155" s="98" t="s">
        <v>416</v>
      </c>
      <c r="C155" s="73"/>
      <c r="D155" s="88"/>
      <c r="E155" s="92" t="s">
        <v>235</v>
      </c>
      <c r="F155" s="100"/>
      <c r="G155" s="88"/>
      <c r="H155" s="88"/>
      <c r="I155" s="99"/>
      <c r="K155" s="84"/>
      <c r="M155" s="84"/>
      <c r="N155" s="84"/>
      <c r="O155" s="84"/>
      <c r="P155" s="84"/>
      <c r="Q155" s="84"/>
      <c r="R155" s="84"/>
    </row>
    <row r="156" ht="15.75" customHeight="1">
      <c r="A156" s="85">
        <v>1.2017001E7</v>
      </c>
      <c r="B156" s="98" t="s">
        <v>417</v>
      </c>
      <c r="C156" s="86" t="s">
        <v>418</v>
      </c>
      <c r="D156" s="88"/>
      <c r="E156" s="101" t="s">
        <v>419</v>
      </c>
      <c r="F156" s="100"/>
      <c r="G156" s="85" t="s">
        <v>420</v>
      </c>
      <c r="H156" s="88"/>
      <c r="I156" s="99"/>
      <c r="K156" s="84"/>
      <c r="M156" s="84"/>
      <c r="N156" s="84"/>
      <c r="O156" s="84"/>
      <c r="P156" s="84"/>
      <c r="Q156" s="84"/>
      <c r="R156" s="84"/>
    </row>
    <row r="157" ht="15.75" customHeight="1">
      <c r="A157" s="85">
        <v>1.2017002E7</v>
      </c>
      <c r="B157" s="98" t="s">
        <v>421</v>
      </c>
      <c r="C157" s="59"/>
      <c r="D157" s="88"/>
      <c r="E157" s="100"/>
      <c r="F157" s="100"/>
      <c r="G157" s="93"/>
      <c r="H157" s="88"/>
      <c r="I157" s="99"/>
      <c r="K157" s="84"/>
      <c r="M157" s="84"/>
      <c r="N157" s="84"/>
      <c r="O157" s="84"/>
      <c r="P157" s="84"/>
      <c r="Q157" s="84"/>
      <c r="R157" s="84"/>
    </row>
    <row r="158" ht="15.75" customHeight="1">
      <c r="A158" s="85">
        <v>1.2017003E7</v>
      </c>
      <c r="B158" s="98" t="s">
        <v>422</v>
      </c>
      <c r="C158" s="59"/>
      <c r="D158" s="88"/>
      <c r="E158" s="100"/>
      <c r="F158" s="100"/>
      <c r="G158" s="85" t="s">
        <v>423</v>
      </c>
      <c r="H158" s="88"/>
      <c r="I158" s="99"/>
      <c r="K158" s="84"/>
      <c r="M158" s="84"/>
      <c r="N158" s="84"/>
      <c r="O158" s="84"/>
      <c r="P158" s="84"/>
      <c r="Q158" s="84"/>
      <c r="R158" s="84"/>
    </row>
    <row r="159" ht="15.75" customHeight="1">
      <c r="A159" s="85">
        <v>1.2017004E7</v>
      </c>
      <c r="B159" s="98" t="s">
        <v>424</v>
      </c>
      <c r="C159" s="59"/>
      <c r="D159" s="88"/>
      <c r="E159" s="92" t="s">
        <v>235</v>
      </c>
      <c r="F159" s="100"/>
      <c r="G159" s="93"/>
      <c r="H159" s="88"/>
      <c r="I159" s="99"/>
      <c r="K159" s="84"/>
      <c r="M159" s="84"/>
      <c r="N159" s="84"/>
      <c r="O159" s="84"/>
      <c r="P159" s="84"/>
      <c r="Q159" s="84"/>
      <c r="R159" s="84"/>
    </row>
    <row r="160" ht="15.75" customHeight="1">
      <c r="A160" s="98">
        <v>1.2017005E7</v>
      </c>
      <c r="B160" s="98" t="s">
        <v>425</v>
      </c>
      <c r="C160" s="59"/>
      <c r="D160" s="88"/>
      <c r="E160" s="91"/>
      <c r="F160" s="100"/>
      <c r="G160" s="98" t="s">
        <v>426</v>
      </c>
      <c r="H160" s="88"/>
      <c r="I160" s="99"/>
      <c r="K160" s="84"/>
      <c r="M160" s="84"/>
      <c r="N160" s="84"/>
      <c r="O160" s="84"/>
      <c r="P160" s="84"/>
      <c r="Q160" s="84"/>
      <c r="R160" s="84"/>
    </row>
    <row r="161" ht="15.75" customHeight="1">
      <c r="A161" s="85">
        <v>1.2018001E7</v>
      </c>
      <c r="B161" s="98" t="s">
        <v>427</v>
      </c>
      <c r="C161" s="59"/>
      <c r="D161" s="88"/>
      <c r="E161" s="91"/>
      <c r="F161" s="100"/>
      <c r="G161" s="85" t="s">
        <v>428</v>
      </c>
      <c r="H161" s="88"/>
      <c r="I161" s="99"/>
      <c r="K161" s="84"/>
      <c r="M161" s="84"/>
      <c r="N161" s="84"/>
      <c r="O161" s="84"/>
      <c r="P161" s="84"/>
      <c r="Q161" s="84"/>
      <c r="R161" s="84"/>
    </row>
    <row r="162" ht="15.75" customHeight="1">
      <c r="A162" s="85">
        <v>1.2018002E7</v>
      </c>
      <c r="B162" s="98" t="s">
        <v>429</v>
      </c>
      <c r="C162" s="59"/>
      <c r="D162" s="88"/>
      <c r="E162" s="92"/>
      <c r="F162" s="100"/>
      <c r="G162" s="85" t="s">
        <v>428</v>
      </c>
      <c r="H162" s="88"/>
      <c r="I162" s="99"/>
      <c r="K162" s="84"/>
      <c r="M162" s="84"/>
      <c r="N162" s="84"/>
      <c r="O162" s="84"/>
      <c r="P162" s="84"/>
      <c r="Q162" s="84"/>
      <c r="R162" s="84"/>
    </row>
    <row r="163" ht="15.75" customHeight="1">
      <c r="A163" s="85">
        <v>1.2018003E7</v>
      </c>
      <c r="B163" s="98" t="s">
        <v>430</v>
      </c>
      <c r="C163" s="59"/>
      <c r="D163" s="88"/>
      <c r="E163" s="92"/>
      <c r="F163" s="100"/>
      <c r="G163" s="85" t="s">
        <v>428</v>
      </c>
      <c r="H163" s="88"/>
      <c r="I163" s="99"/>
      <c r="K163" s="84"/>
      <c r="M163" s="84"/>
      <c r="N163" s="84"/>
      <c r="O163" s="84"/>
      <c r="P163" s="84"/>
      <c r="Q163" s="84"/>
      <c r="R163" s="84"/>
    </row>
    <row r="164" ht="15.75" customHeight="1">
      <c r="A164" s="85">
        <v>3.0010001E7</v>
      </c>
      <c r="B164" s="98" t="s">
        <v>431</v>
      </c>
      <c r="C164" s="59"/>
      <c r="D164" s="88"/>
      <c r="E164" s="92" t="s">
        <v>247</v>
      </c>
      <c r="F164" s="92" t="s">
        <v>247</v>
      </c>
      <c r="G164" s="93"/>
      <c r="H164" s="88"/>
      <c r="I164" s="99"/>
      <c r="K164" s="84"/>
      <c r="M164" s="84"/>
      <c r="N164" s="84"/>
      <c r="O164" s="84"/>
      <c r="P164" s="84"/>
      <c r="Q164" s="84"/>
      <c r="R164" s="84"/>
    </row>
    <row r="165" ht="15.75" customHeight="1">
      <c r="A165" s="85">
        <v>1.2025001E7</v>
      </c>
      <c r="B165" s="98" t="s">
        <v>432</v>
      </c>
      <c r="C165" s="59"/>
      <c r="D165" s="88"/>
      <c r="E165" s="101" t="s">
        <v>419</v>
      </c>
      <c r="F165" s="100"/>
      <c r="G165" s="85" t="s">
        <v>420</v>
      </c>
      <c r="H165" s="88"/>
      <c r="I165" s="99"/>
      <c r="K165" s="84"/>
      <c r="M165" s="84"/>
      <c r="N165" s="84"/>
      <c r="O165" s="84"/>
      <c r="P165" s="84"/>
      <c r="Q165" s="84"/>
      <c r="R165" s="84"/>
    </row>
    <row r="166" ht="15.75" customHeight="1">
      <c r="A166" s="85">
        <v>1.2025002E7</v>
      </c>
      <c r="B166" s="98" t="s">
        <v>433</v>
      </c>
      <c r="C166" s="59"/>
      <c r="D166" s="88"/>
      <c r="E166" s="100"/>
      <c r="F166" s="100"/>
      <c r="G166" s="85" t="s">
        <v>420</v>
      </c>
      <c r="H166" s="88"/>
      <c r="I166" s="99"/>
      <c r="L166" s="84"/>
    </row>
    <row r="167" ht="15.75" customHeight="1">
      <c r="A167" s="85">
        <v>1.2025003E7</v>
      </c>
      <c r="B167" s="98" t="s">
        <v>434</v>
      </c>
      <c r="C167" s="59"/>
      <c r="D167" s="88"/>
      <c r="E167" s="100"/>
      <c r="F167" s="100"/>
      <c r="G167" s="85" t="s">
        <v>423</v>
      </c>
      <c r="H167" s="88"/>
      <c r="I167" s="99"/>
      <c r="L167" s="84"/>
    </row>
    <row r="168" ht="15.75" customHeight="1">
      <c r="A168" s="85">
        <v>1.2025004E7</v>
      </c>
      <c r="B168" s="98" t="s">
        <v>435</v>
      </c>
      <c r="C168" s="59"/>
      <c r="D168" s="88"/>
      <c r="E168" s="92" t="s">
        <v>235</v>
      </c>
      <c r="F168" s="100"/>
      <c r="G168" s="93"/>
      <c r="H168" s="88"/>
      <c r="I168" s="99"/>
      <c r="L168" s="84"/>
    </row>
    <row r="169" ht="15.75" customHeight="1">
      <c r="A169" s="98">
        <v>1.2025005E7</v>
      </c>
      <c r="B169" s="98" t="s">
        <v>436</v>
      </c>
      <c r="C169" s="59"/>
      <c r="D169" s="88"/>
      <c r="E169" s="92"/>
      <c r="F169" s="100"/>
      <c r="G169" s="98" t="s">
        <v>426</v>
      </c>
      <c r="H169" s="88"/>
      <c r="I169" s="99"/>
      <c r="L169" s="84"/>
    </row>
    <row r="170" ht="15.75" customHeight="1">
      <c r="A170" s="85">
        <v>1.2026001E7</v>
      </c>
      <c r="B170" s="98" t="s">
        <v>437</v>
      </c>
      <c r="C170" s="59"/>
      <c r="D170" s="88"/>
      <c r="E170" s="92"/>
      <c r="F170" s="100"/>
      <c r="G170" s="85" t="s">
        <v>428</v>
      </c>
      <c r="H170" s="88"/>
      <c r="I170" s="99"/>
      <c r="L170" s="84"/>
    </row>
    <row r="171" ht="15.75" customHeight="1">
      <c r="A171" s="85">
        <v>1.2026002E7</v>
      </c>
      <c r="B171" s="98" t="s">
        <v>438</v>
      </c>
      <c r="C171" s="59"/>
      <c r="D171" s="88"/>
      <c r="E171" s="92"/>
      <c r="F171" s="100"/>
      <c r="G171" s="85" t="s">
        <v>428</v>
      </c>
      <c r="H171" s="88"/>
      <c r="I171" s="99"/>
      <c r="L171" s="84"/>
    </row>
    <row r="172" ht="15.75" customHeight="1">
      <c r="A172" s="85">
        <v>1.2026003E7</v>
      </c>
      <c r="B172" s="98" t="s">
        <v>439</v>
      </c>
      <c r="C172" s="59"/>
      <c r="D172" s="88"/>
      <c r="E172" s="92"/>
      <c r="F172" s="100"/>
      <c r="G172" s="85" t="s">
        <v>428</v>
      </c>
      <c r="H172" s="88"/>
      <c r="I172" s="99"/>
      <c r="L172" s="84"/>
    </row>
    <row r="173" ht="15.75" customHeight="1">
      <c r="A173" s="85">
        <v>3.0010002E7</v>
      </c>
      <c r="B173" s="98" t="s">
        <v>440</v>
      </c>
      <c r="C173" s="59"/>
      <c r="D173" s="88"/>
      <c r="E173" s="92" t="s">
        <v>247</v>
      </c>
      <c r="F173" s="92" t="s">
        <v>247</v>
      </c>
      <c r="G173" s="93"/>
      <c r="H173" s="88"/>
      <c r="I173" s="99"/>
      <c r="L173" s="84"/>
    </row>
    <row r="174" ht="15.75" customHeight="1">
      <c r="A174" s="85">
        <v>1.2033001E7</v>
      </c>
      <c r="B174" s="98" t="s">
        <v>441</v>
      </c>
      <c r="C174" s="59"/>
      <c r="D174" s="88"/>
      <c r="E174" s="101" t="s">
        <v>419</v>
      </c>
      <c r="F174" s="100"/>
      <c r="G174" s="85" t="s">
        <v>420</v>
      </c>
      <c r="H174" s="88"/>
      <c r="I174" s="99"/>
      <c r="L174" s="84"/>
    </row>
    <row r="175" ht="15.75" customHeight="1">
      <c r="A175" s="85">
        <v>1.2033002E7</v>
      </c>
      <c r="B175" s="98" t="s">
        <v>442</v>
      </c>
      <c r="C175" s="59"/>
      <c r="D175" s="88"/>
      <c r="E175" s="100"/>
      <c r="F175" s="100"/>
      <c r="G175" s="85" t="s">
        <v>420</v>
      </c>
      <c r="H175" s="88"/>
      <c r="I175" s="99"/>
      <c r="L175" s="84"/>
    </row>
    <row r="176" ht="15.75" customHeight="1">
      <c r="A176" s="85">
        <v>1.2033003E7</v>
      </c>
      <c r="B176" s="98" t="s">
        <v>443</v>
      </c>
      <c r="C176" s="59"/>
      <c r="D176" s="88"/>
      <c r="E176" s="100"/>
      <c r="F176" s="100"/>
      <c r="G176" s="85" t="s">
        <v>423</v>
      </c>
      <c r="H176" s="88"/>
      <c r="I176" s="99"/>
      <c r="L176" s="84"/>
    </row>
    <row r="177" ht="15.75" customHeight="1">
      <c r="A177" s="85">
        <v>1.2033004E7</v>
      </c>
      <c r="B177" s="98" t="s">
        <v>444</v>
      </c>
      <c r="C177" s="59"/>
      <c r="D177" s="88"/>
      <c r="E177" s="92" t="s">
        <v>235</v>
      </c>
      <c r="F177" s="100"/>
      <c r="G177" s="93"/>
      <c r="H177" s="88"/>
      <c r="I177" s="99"/>
      <c r="L177" s="84"/>
    </row>
    <row r="178" ht="15.75" customHeight="1">
      <c r="A178" s="98">
        <v>1.2033005E7</v>
      </c>
      <c r="B178" s="98" t="s">
        <v>445</v>
      </c>
      <c r="C178" s="59"/>
      <c r="D178" s="88"/>
      <c r="E178" s="92"/>
      <c r="F178" s="100"/>
      <c r="G178" s="98" t="s">
        <v>426</v>
      </c>
      <c r="H178" s="88"/>
      <c r="I178" s="99"/>
      <c r="K178" s="84"/>
      <c r="L178" s="84"/>
      <c r="M178" s="84"/>
      <c r="N178" s="84"/>
      <c r="O178" s="84"/>
      <c r="P178" s="84"/>
      <c r="Q178" s="84"/>
      <c r="R178" s="84"/>
    </row>
    <row r="179" ht="15.75" customHeight="1">
      <c r="A179" s="85">
        <v>1.2034001E7</v>
      </c>
      <c r="B179" s="98" t="s">
        <v>446</v>
      </c>
      <c r="C179" s="59"/>
      <c r="D179" s="88"/>
      <c r="E179" s="92"/>
      <c r="F179" s="100"/>
      <c r="G179" s="85" t="s">
        <v>428</v>
      </c>
      <c r="H179" s="88"/>
      <c r="I179" s="99"/>
      <c r="K179" s="84"/>
      <c r="L179" s="84"/>
      <c r="M179" s="84"/>
      <c r="N179" s="84"/>
      <c r="O179" s="84"/>
      <c r="P179" s="84"/>
      <c r="Q179" s="84"/>
      <c r="R179" s="84"/>
    </row>
    <row r="180" ht="15.75" customHeight="1">
      <c r="A180" s="85">
        <v>1.2034002E7</v>
      </c>
      <c r="B180" s="98" t="s">
        <v>447</v>
      </c>
      <c r="C180" s="59"/>
      <c r="D180" s="88"/>
      <c r="E180" s="92"/>
      <c r="F180" s="100"/>
      <c r="G180" s="85" t="s">
        <v>428</v>
      </c>
      <c r="H180" s="88"/>
      <c r="I180" s="99"/>
      <c r="K180" s="84"/>
      <c r="L180" s="84"/>
      <c r="M180" s="84"/>
      <c r="N180" s="84"/>
      <c r="O180" s="84"/>
      <c r="P180" s="84"/>
      <c r="Q180" s="84"/>
      <c r="R180" s="84"/>
    </row>
    <row r="181" ht="15.75" customHeight="1">
      <c r="A181" s="85">
        <v>1.2034003E7</v>
      </c>
      <c r="B181" s="98" t="s">
        <v>448</v>
      </c>
      <c r="C181" s="59"/>
      <c r="D181" s="88"/>
      <c r="E181" s="92"/>
      <c r="F181" s="100"/>
      <c r="G181" s="85" t="s">
        <v>428</v>
      </c>
      <c r="H181" s="88"/>
      <c r="I181" s="99"/>
      <c r="K181" s="84"/>
      <c r="L181" s="84"/>
      <c r="M181" s="84"/>
      <c r="N181" s="84"/>
      <c r="O181" s="84"/>
      <c r="P181" s="84"/>
      <c r="Q181" s="84"/>
      <c r="R181" s="84"/>
    </row>
    <row r="182" ht="15.75" customHeight="1">
      <c r="A182" s="85">
        <v>3.0010003E7</v>
      </c>
      <c r="B182" s="98" t="s">
        <v>449</v>
      </c>
      <c r="C182" s="73"/>
      <c r="D182" s="88"/>
      <c r="E182" s="92" t="s">
        <v>247</v>
      </c>
      <c r="F182" s="92" t="s">
        <v>247</v>
      </c>
      <c r="G182" s="93"/>
      <c r="H182" s="88"/>
      <c r="I182" s="99"/>
      <c r="K182" s="84"/>
      <c r="L182" s="84"/>
      <c r="M182" s="84"/>
      <c r="N182" s="84"/>
      <c r="O182" s="84"/>
      <c r="P182" s="84"/>
      <c r="Q182" s="84"/>
      <c r="R182" s="84"/>
    </row>
    <row r="183" ht="15.75" customHeight="1">
      <c r="A183" s="85">
        <v>1.2017011E7</v>
      </c>
      <c r="B183" s="98" t="s">
        <v>450</v>
      </c>
      <c r="C183" s="86" t="s">
        <v>451</v>
      </c>
      <c r="D183" s="88"/>
      <c r="E183" s="91"/>
      <c r="F183" s="100"/>
      <c r="G183" s="85" t="s">
        <v>420</v>
      </c>
      <c r="H183" s="88"/>
      <c r="I183" s="99"/>
      <c r="K183" s="84"/>
      <c r="L183" s="84"/>
      <c r="M183" s="84"/>
      <c r="N183" s="84"/>
      <c r="O183" s="84"/>
      <c r="P183" s="84"/>
      <c r="Q183" s="84"/>
      <c r="R183" s="84"/>
    </row>
    <row r="184" ht="15.75" customHeight="1">
      <c r="A184" s="85">
        <v>1.2017012E7</v>
      </c>
      <c r="B184" s="98" t="s">
        <v>452</v>
      </c>
      <c r="C184" s="59"/>
      <c r="D184" s="88"/>
      <c r="E184" s="102" t="s">
        <v>453</v>
      </c>
      <c r="F184" s="100"/>
      <c r="G184" s="85" t="s">
        <v>420</v>
      </c>
      <c r="H184" s="88"/>
      <c r="I184" s="99"/>
      <c r="K184" s="84"/>
      <c r="L184" s="84"/>
      <c r="M184" s="84"/>
      <c r="N184" s="84"/>
      <c r="O184" s="84"/>
      <c r="P184" s="84"/>
      <c r="Q184" s="84"/>
      <c r="R184" s="84"/>
    </row>
    <row r="185" ht="15.75" customHeight="1">
      <c r="A185" s="85">
        <v>1.2017013E7</v>
      </c>
      <c r="B185" s="98" t="s">
        <v>454</v>
      </c>
      <c r="C185" s="59"/>
      <c r="D185" s="88"/>
      <c r="E185" s="100"/>
      <c r="F185" s="100"/>
      <c r="G185" s="85" t="s">
        <v>423</v>
      </c>
      <c r="H185" s="88"/>
      <c r="I185" s="99"/>
      <c r="K185" s="84"/>
      <c r="L185" s="84"/>
      <c r="M185" s="84"/>
      <c r="N185" s="84"/>
      <c r="O185" s="84"/>
      <c r="P185" s="84"/>
      <c r="Q185" s="84"/>
      <c r="R185" s="84"/>
    </row>
    <row r="186" ht="15.75" customHeight="1">
      <c r="A186" s="85">
        <v>1.2017014E7</v>
      </c>
      <c r="B186" s="98" t="s">
        <v>455</v>
      </c>
      <c r="C186" s="59"/>
      <c r="D186" s="88"/>
      <c r="E186" s="92" t="s">
        <v>235</v>
      </c>
      <c r="F186" s="100"/>
      <c r="G186" s="93"/>
      <c r="H186" s="88"/>
      <c r="I186" s="99"/>
      <c r="K186" s="84"/>
      <c r="L186" s="84"/>
      <c r="M186" s="84"/>
      <c r="N186" s="84"/>
      <c r="O186" s="84"/>
      <c r="P186" s="84"/>
      <c r="Q186" s="84"/>
      <c r="R186" s="84"/>
    </row>
    <row r="187" ht="15.75" customHeight="1">
      <c r="A187" s="98">
        <v>1.2017015E7</v>
      </c>
      <c r="B187" s="98" t="s">
        <v>456</v>
      </c>
      <c r="C187" s="59"/>
      <c r="D187" s="88"/>
      <c r="E187" s="92"/>
      <c r="F187" s="100"/>
      <c r="G187" s="98" t="s">
        <v>426</v>
      </c>
      <c r="H187" s="88"/>
      <c r="I187" s="99"/>
      <c r="K187" s="84"/>
      <c r="L187" s="84"/>
      <c r="M187" s="84"/>
      <c r="N187" s="84"/>
      <c r="O187" s="84"/>
      <c r="P187" s="84"/>
      <c r="Q187" s="84"/>
      <c r="R187" s="84"/>
    </row>
    <row r="188" ht="15.75" customHeight="1">
      <c r="A188" s="85">
        <v>1.2018011E7</v>
      </c>
      <c r="B188" s="98" t="s">
        <v>457</v>
      </c>
      <c r="C188" s="59"/>
      <c r="D188" s="88"/>
      <c r="E188" s="92"/>
      <c r="F188" s="100"/>
      <c r="G188" s="85" t="s">
        <v>428</v>
      </c>
      <c r="H188" s="88"/>
      <c r="I188" s="99"/>
      <c r="K188" s="84"/>
      <c r="L188" s="84"/>
      <c r="M188" s="84"/>
      <c r="N188" s="84"/>
      <c r="O188" s="84"/>
      <c r="P188" s="84"/>
      <c r="Q188" s="84"/>
      <c r="R188" s="84"/>
    </row>
    <row r="189" ht="15.75" customHeight="1">
      <c r="A189" s="85">
        <v>1.2018012E7</v>
      </c>
      <c r="B189" s="98" t="s">
        <v>458</v>
      </c>
      <c r="C189" s="59"/>
      <c r="D189" s="88"/>
      <c r="E189" s="92"/>
      <c r="F189" s="100"/>
      <c r="G189" s="85" t="s">
        <v>428</v>
      </c>
      <c r="H189" s="88"/>
      <c r="I189" s="99"/>
      <c r="K189" s="84"/>
      <c r="L189" s="84"/>
      <c r="M189" s="84"/>
      <c r="N189" s="84"/>
      <c r="O189" s="84"/>
      <c r="P189" s="84"/>
      <c r="Q189" s="84"/>
      <c r="R189" s="84"/>
    </row>
    <row r="190" ht="15.75" customHeight="1">
      <c r="A190" s="85">
        <v>1.2018013E7</v>
      </c>
      <c r="B190" s="98" t="s">
        <v>459</v>
      </c>
      <c r="C190" s="59"/>
      <c r="D190" s="88"/>
      <c r="E190" s="92"/>
      <c r="F190" s="100"/>
      <c r="G190" s="85" t="s">
        <v>428</v>
      </c>
      <c r="H190" s="88"/>
      <c r="I190" s="99"/>
      <c r="K190" s="84"/>
      <c r="L190" s="84"/>
      <c r="M190" s="84"/>
      <c r="N190" s="84"/>
      <c r="O190" s="84"/>
      <c r="P190" s="84"/>
      <c r="Q190" s="84"/>
      <c r="R190" s="84"/>
    </row>
    <row r="191" ht="15.75" customHeight="1">
      <c r="A191" s="85">
        <v>3.0010004E7</v>
      </c>
      <c r="B191" s="98" t="s">
        <v>460</v>
      </c>
      <c r="C191" s="59"/>
      <c r="D191" s="88"/>
      <c r="E191" s="92" t="s">
        <v>247</v>
      </c>
      <c r="F191" s="92" t="s">
        <v>247</v>
      </c>
      <c r="G191" s="93"/>
      <c r="H191" s="88"/>
      <c r="I191" s="99"/>
      <c r="K191" s="84"/>
      <c r="L191" s="84"/>
      <c r="M191" s="84"/>
      <c r="N191" s="84"/>
      <c r="O191" s="84"/>
      <c r="P191" s="84"/>
      <c r="Q191" s="84"/>
      <c r="R191" s="84"/>
    </row>
    <row r="192" ht="15.75" customHeight="1">
      <c r="A192" s="85">
        <v>1.2025011E7</v>
      </c>
      <c r="B192" s="98" t="s">
        <v>461</v>
      </c>
      <c r="C192" s="59"/>
      <c r="D192" s="88"/>
      <c r="E192" s="92"/>
      <c r="F192" s="100"/>
      <c r="G192" s="85" t="s">
        <v>420</v>
      </c>
      <c r="H192" s="88"/>
      <c r="I192" s="99"/>
      <c r="K192" s="84"/>
      <c r="L192" s="84"/>
      <c r="M192" s="84"/>
      <c r="N192" s="84"/>
      <c r="O192" s="84"/>
      <c r="P192" s="84"/>
      <c r="Q192" s="84"/>
      <c r="R192" s="84"/>
    </row>
    <row r="193" ht="15.75" customHeight="1">
      <c r="A193" s="85">
        <v>1.2025012E7</v>
      </c>
      <c r="B193" s="98" t="s">
        <v>462</v>
      </c>
      <c r="C193" s="59"/>
      <c r="D193" s="88"/>
      <c r="E193" s="103" t="s">
        <v>463</v>
      </c>
      <c r="F193" s="100"/>
      <c r="G193" s="85" t="s">
        <v>420</v>
      </c>
      <c r="H193" s="88"/>
      <c r="I193" s="99"/>
      <c r="K193" s="84"/>
      <c r="L193" s="84"/>
      <c r="M193" s="84"/>
      <c r="N193" s="84"/>
      <c r="O193" s="84"/>
      <c r="P193" s="84"/>
      <c r="Q193" s="84"/>
      <c r="R193" s="84"/>
    </row>
    <row r="194" ht="15.75" customHeight="1">
      <c r="A194" s="85">
        <v>1.2025013E7</v>
      </c>
      <c r="B194" s="98" t="s">
        <v>464</v>
      </c>
      <c r="C194" s="59"/>
      <c r="D194" s="88"/>
      <c r="E194" s="100"/>
      <c r="F194" s="100"/>
      <c r="G194" s="85" t="s">
        <v>423</v>
      </c>
      <c r="H194" s="88"/>
      <c r="I194" s="99"/>
      <c r="K194" s="84"/>
      <c r="L194" s="84"/>
      <c r="M194" s="84"/>
      <c r="N194" s="84"/>
      <c r="O194" s="84"/>
      <c r="P194" s="84"/>
      <c r="Q194" s="84"/>
      <c r="R194" s="84"/>
    </row>
    <row r="195" ht="15.75" customHeight="1">
      <c r="A195" s="85">
        <v>1.2025014E7</v>
      </c>
      <c r="B195" s="98" t="s">
        <v>465</v>
      </c>
      <c r="C195" s="59"/>
      <c r="D195" s="88"/>
      <c r="E195" s="92" t="s">
        <v>235</v>
      </c>
      <c r="F195" s="100"/>
      <c r="G195" s="93"/>
      <c r="H195" s="88"/>
      <c r="I195" s="99"/>
      <c r="K195" s="84"/>
      <c r="L195" s="84"/>
      <c r="M195" s="84"/>
      <c r="N195" s="84"/>
      <c r="O195" s="84"/>
      <c r="P195" s="84"/>
      <c r="Q195" s="84"/>
      <c r="R195" s="84"/>
    </row>
    <row r="196" ht="15.75" customHeight="1">
      <c r="A196" s="98">
        <v>1.2025015E7</v>
      </c>
      <c r="B196" s="98" t="s">
        <v>466</v>
      </c>
      <c r="C196" s="59"/>
      <c r="D196" s="88"/>
      <c r="E196" s="92"/>
      <c r="F196" s="100"/>
      <c r="G196" s="98" t="s">
        <v>426</v>
      </c>
      <c r="H196" s="88"/>
      <c r="I196" s="99"/>
      <c r="K196" s="84"/>
      <c r="L196" s="84"/>
      <c r="M196" s="84"/>
      <c r="N196" s="84"/>
      <c r="O196" s="84"/>
      <c r="P196" s="84"/>
      <c r="Q196" s="84"/>
      <c r="R196" s="84"/>
    </row>
    <row r="197" ht="15.75" customHeight="1">
      <c r="A197" s="85">
        <v>1.2026011E7</v>
      </c>
      <c r="B197" s="98" t="s">
        <v>467</v>
      </c>
      <c r="C197" s="59"/>
      <c r="D197" s="88"/>
      <c r="E197" s="92"/>
      <c r="F197" s="100"/>
      <c r="G197" s="85" t="s">
        <v>428</v>
      </c>
      <c r="H197" s="88"/>
      <c r="I197" s="99"/>
      <c r="K197" s="84"/>
      <c r="L197" s="84"/>
      <c r="M197" s="84"/>
      <c r="N197" s="84"/>
      <c r="O197" s="84"/>
      <c r="P197" s="84"/>
      <c r="Q197" s="84"/>
      <c r="R197" s="84"/>
    </row>
    <row r="198" ht="15.75" customHeight="1">
      <c r="A198" s="85">
        <v>1.2026012E7</v>
      </c>
      <c r="B198" s="98" t="s">
        <v>468</v>
      </c>
      <c r="C198" s="59"/>
      <c r="D198" s="88"/>
      <c r="E198" s="92"/>
      <c r="F198" s="100"/>
      <c r="G198" s="85" t="s">
        <v>428</v>
      </c>
      <c r="H198" s="88"/>
      <c r="I198" s="99"/>
      <c r="K198" s="84"/>
      <c r="L198" s="84"/>
      <c r="M198" s="84"/>
      <c r="N198" s="84"/>
      <c r="O198" s="84"/>
      <c r="P198" s="84"/>
      <c r="Q198" s="84"/>
      <c r="R198" s="84"/>
    </row>
    <row r="199" ht="15.75" customHeight="1">
      <c r="A199" s="85">
        <v>1.2026013E7</v>
      </c>
      <c r="B199" s="98" t="s">
        <v>469</v>
      </c>
      <c r="C199" s="59"/>
      <c r="D199" s="88"/>
      <c r="E199" s="92"/>
      <c r="F199" s="100"/>
      <c r="G199" s="85" t="s">
        <v>428</v>
      </c>
      <c r="H199" s="88"/>
      <c r="I199" s="99"/>
      <c r="K199" s="84"/>
      <c r="L199" s="84"/>
      <c r="M199" s="84"/>
      <c r="N199" s="84"/>
      <c r="O199" s="84"/>
      <c r="P199" s="84"/>
      <c r="Q199" s="84"/>
      <c r="R199" s="84"/>
    </row>
    <row r="200" ht="15.75" customHeight="1">
      <c r="A200" s="85">
        <v>3.0010005E7</v>
      </c>
      <c r="B200" s="98" t="s">
        <v>470</v>
      </c>
      <c r="C200" s="59"/>
      <c r="D200" s="88"/>
      <c r="E200" s="92" t="s">
        <v>247</v>
      </c>
      <c r="F200" s="92" t="s">
        <v>247</v>
      </c>
      <c r="G200" s="93"/>
      <c r="H200" s="88"/>
      <c r="I200" s="99"/>
      <c r="K200" s="84"/>
      <c r="L200" s="84"/>
      <c r="M200" s="84"/>
      <c r="N200" s="84"/>
      <c r="O200" s="84"/>
      <c r="P200" s="84"/>
      <c r="Q200" s="84"/>
      <c r="R200" s="84"/>
    </row>
    <row r="201" ht="15.75" customHeight="1">
      <c r="A201" s="85">
        <v>1.2033011E7</v>
      </c>
      <c r="B201" s="98" t="s">
        <v>471</v>
      </c>
      <c r="C201" s="59"/>
      <c r="D201" s="88"/>
      <c r="E201" s="92"/>
      <c r="F201" s="100"/>
      <c r="G201" s="85" t="s">
        <v>420</v>
      </c>
      <c r="H201" s="88"/>
      <c r="I201" s="99"/>
      <c r="K201" s="84"/>
      <c r="L201" s="84"/>
      <c r="M201" s="84"/>
      <c r="N201" s="84"/>
      <c r="O201" s="84"/>
      <c r="P201" s="84"/>
      <c r="Q201" s="84"/>
      <c r="R201" s="84"/>
    </row>
    <row r="202" ht="15.75" customHeight="1">
      <c r="A202" s="85">
        <v>1.2033012E7</v>
      </c>
      <c r="B202" s="98" t="s">
        <v>472</v>
      </c>
      <c r="C202" s="59"/>
      <c r="D202" s="88"/>
      <c r="E202" s="103" t="s">
        <v>453</v>
      </c>
      <c r="F202" s="100"/>
      <c r="G202" s="85" t="s">
        <v>420</v>
      </c>
      <c r="H202" s="88"/>
      <c r="I202" s="99"/>
      <c r="K202" s="84"/>
      <c r="L202" s="84"/>
      <c r="M202" s="84"/>
      <c r="N202" s="84"/>
      <c r="O202" s="84"/>
      <c r="P202" s="84"/>
      <c r="Q202" s="84"/>
      <c r="R202" s="84"/>
    </row>
    <row r="203" ht="15.75" customHeight="1">
      <c r="A203" s="85">
        <v>1.2033013E7</v>
      </c>
      <c r="B203" s="98" t="s">
        <v>473</v>
      </c>
      <c r="C203" s="59"/>
      <c r="D203" s="88"/>
      <c r="E203" s="100"/>
      <c r="F203" s="100"/>
      <c r="G203" s="85" t="s">
        <v>423</v>
      </c>
      <c r="H203" s="88"/>
      <c r="I203" s="99"/>
      <c r="K203" s="84"/>
      <c r="L203" s="84"/>
      <c r="M203" s="84"/>
      <c r="N203" s="84"/>
      <c r="O203" s="84"/>
      <c r="P203" s="84"/>
      <c r="Q203" s="84"/>
      <c r="R203" s="84"/>
    </row>
    <row r="204" ht="15.75" customHeight="1">
      <c r="A204" s="85">
        <v>1.2033014E7</v>
      </c>
      <c r="B204" s="98" t="s">
        <v>474</v>
      </c>
      <c r="C204" s="59"/>
      <c r="D204" s="88"/>
      <c r="E204" s="92" t="s">
        <v>235</v>
      </c>
      <c r="F204" s="100"/>
      <c r="G204" s="93"/>
      <c r="H204" s="88"/>
      <c r="I204" s="99"/>
      <c r="K204" s="84"/>
      <c r="L204" s="84"/>
      <c r="M204" s="84"/>
      <c r="N204" s="84"/>
      <c r="O204" s="84"/>
      <c r="P204" s="84"/>
      <c r="Q204" s="84"/>
      <c r="R204" s="84"/>
    </row>
    <row r="205" ht="15.75" customHeight="1">
      <c r="A205" s="98">
        <v>1.2033015E7</v>
      </c>
      <c r="B205" s="98" t="s">
        <v>475</v>
      </c>
      <c r="C205" s="59"/>
      <c r="D205" s="88"/>
      <c r="E205" s="92"/>
      <c r="F205" s="100"/>
      <c r="G205" s="98" t="s">
        <v>426</v>
      </c>
      <c r="H205" s="88"/>
      <c r="I205" s="99"/>
      <c r="K205" s="84"/>
      <c r="L205" s="84"/>
      <c r="M205" s="84"/>
      <c r="N205" s="84"/>
      <c r="O205" s="84"/>
      <c r="P205" s="84"/>
      <c r="Q205" s="84"/>
      <c r="R205" s="84"/>
    </row>
    <row r="206" ht="15.75" customHeight="1">
      <c r="A206" s="85">
        <v>1.2034011E7</v>
      </c>
      <c r="B206" s="98" t="s">
        <v>476</v>
      </c>
      <c r="C206" s="59"/>
      <c r="D206" s="88"/>
      <c r="E206" s="92"/>
      <c r="F206" s="100"/>
      <c r="G206" s="85" t="s">
        <v>428</v>
      </c>
      <c r="H206" s="88"/>
      <c r="I206" s="99"/>
      <c r="K206" s="84"/>
      <c r="L206" s="84"/>
      <c r="M206" s="84"/>
      <c r="N206" s="84"/>
      <c r="O206" s="84"/>
      <c r="P206" s="84"/>
      <c r="Q206" s="84"/>
      <c r="R206" s="84"/>
    </row>
    <row r="207" ht="15.75" customHeight="1">
      <c r="A207" s="85">
        <v>1.2034012E7</v>
      </c>
      <c r="B207" s="98" t="s">
        <v>477</v>
      </c>
      <c r="C207" s="59"/>
      <c r="D207" s="88"/>
      <c r="E207" s="92"/>
      <c r="F207" s="100"/>
      <c r="G207" s="85" t="s">
        <v>428</v>
      </c>
      <c r="H207" s="88"/>
      <c r="I207" s="99"/>
      <c r="K207" s="84"/>
      <c r="L207" s="84"/>
      <c r="M207" s="84"/>
      <c r="N207" s="84"/>
      <c r="O207" s="84"/>
      <c r="P207" s="84"/>
      <c r="Q207" s="84"/>
      <c r="R207" s="84"/>
    </row>
    <row r="208" ht="15.75" customHeight="1">
      <c r="A208" s="85">
        <v>1.2034013E7</v>
      </c>
      <c r="B208" s="98" t="s">
        <v>478</v>
      </c>
      <c r="C208" s="59"/>
      <c r="D208" s="88"/>
      <c r="E208" s="92"/>
      <c r="F208" s="100"/>
      <c r="G208" s="85" t="s">
        <v>428</v>
      </c>
      <c r="H208" s="88"/>
      <c r="I208" s="99"/>
      <c r="K208" s="84"/>
      <c r="L208" s="84"/>
      <c r="M208" s="84"/>
      <c r="N208" s="84"/>
      <c r="O208" s="84"/>
      <c r="P208" s="84"/>
      <c r="Q208" s="84"/>
      <c r="R208" s="84"/>
    </row>
    <row r="209" ht="15.75" customHeight="1">
      <c r="A209" s="85">
        <v>3.0010006E7</v>
      </c>
      <c r="B209" s="98" t="s">
        <v>479</v>
      </c>
      <c r="C209" s="73"/>
      <c r="D209" s="88"/>
      <c r="E209" s="92" t="s">
        <v>247</v>
      </c>
      <c r="F209" s="92" t="s">
        <v>247</v>
      </c>
      <c r="G209" s="93"/>
      <c r="H209" s="88"/>
      <c r="I209" s="99"/>
      <c r="K209" s="84"/>
      <c r="L209" s="84"/>
      <c r="M209" s="84"/>
      <c r="N209" s="84"/>
      <c r="O209" s="84"/>
      <c r="P209" s="84"/>
      <c r="Q209" s="84"/>
      <c r="R209" s="84"/>
    </row>
    <row r="210" ht="15.75" customHeight="1">
      <c r="A210" s="85">
        <v>1.2019001E7</v>
      </c>
      <c r="B210" s="98" t="s">
        <v>480</v>
      </c>
      <c r="C210" s="86" t="s">
        <v>481</v>
      </c>
      <c r="D210" s="88"/>
      <c r="E210" s="104"/>
      <c r="F210" s="104"/>
      <c r="G210" s="85" t="s">
        <v>482</v>
      </c>
      <c r="H210" s="88"/>
      <c r="I210" s="99"/>
      <c r="K210" s="84"/>
      <c r="L210" s="84"/>
      <c r="M210" s="84"/>
      <c r="N210" s="84"/>
      <c r="O210" s="84"/>
      <c r="P210" s="84"/>
      <c r="Q210" s="84"/>
      <c r="R210" s="84"/>
    </row>
    <row r="211" ht="15.75" customHeight="1">
      <c r="A211" s="85">
        <v>1.2019002E7</v>
      </c>
      <c r="B211" s="98" t="s">
        <v>483</v>
      </c>
      <c r="C211" s="59"/>
      <c r="D211" s="88"/>
      <c r="G211" s="85" t="s">
        <v>482</v>
      </c>
      <c r="H211" s="88"/>
      <c r="I211" s="99"/>
      <c r="K211" s="84"/>
      <c r="L211" s="84"/>
      <c r="M211" s="84"/>
      <c r="N211" s="84"/>
      <c r="O211" s="84"/>
      <c r="P211" s="84"/>
      <c r="Q211" s="84"/>
      <c r="R211" s="84"/>
    </row>
    <row r="212" ht="15.75" customHeight="1">
      <c r="A212" s="85">
        <v>1.2019003E7</v>
      </c>
      <c r="B212" s="98" t="s">
        <v>484</v>
      </c>
      <c r="C212" s="59"/>
      <c r="D212" s="88"/>
      <c r="E212" s="104"/>
      <c r="F212" s="104"/>
      <c r="G212" s="85" t="s">
        <v>482</v>
      </c>
      <c r="H212" s="88"/>
      <c r="I212" s="99"/>
      <c r="K212" s="84"/>
      <c r="L212" s="84"/>
      <c r="M212" s="84"/>
      <c r="N212" s="84"/>
      <c r="O212" s="84"/>
      <c r="P212" s="84"/>
      <c r="Q212" s="84"/>
      <c r="R212" s="84"/>
    </row>
    <row r="213" ht="15.75" customHeight="1">
      <c r="A213" s="85">
        <v>1.2019004E7</v>
      </c>
      <c r="B213" s="98" t="s">
        <v>485</v>
      </c>
      <c r="C213" s="59"/>
      <c r="D213" s="88"/>
      <c r="E213" s="100"/>
      <c r="F213" s="100"/>
      <c r="G213" s="98"/>
      <c r="H213" s="88"/>
      <c r="I213" s="99"/>
      <c r="K213" s="84"/>
      <c r="L213" s="84"/>
      <c r="M213" s="84"/>
      <c r="N213" s="84"/>
      <c r="O213" s="84"/>
      <c r="P213" s="84"/>
      <c r="Q213" s="84"/>
      <c r="R213" s="84"/>
    </row>
    <row r="214" ht="15.75" customHeight="1">
      <c r="A214" s="85">
        <v>1.2019005E7</v>
      </c>
      <c r="B214" s="98" t="s">
        <v>486</v>
      </c>
      <c r="C214" s="59"/>
      <c r="D214" s="88"/>
      <c r="E214" s="100"/>
      <c r="F214" s="100"/>
      <c r="G214" s="98"/>
      <c r="H214" s="88"/>
      <c r="I214" s="99"/>
      <c r="K214" s="84"/>
      <c r="L214" s="84"/>
      <c r="M214" s="84"/>
      <c r="N214" s="84"/>
      <c r="O214" s="84"/>
      <c r="P214" s="84"/>
      <c r="Q214" s="84"/>
      <c r="R214" s="84"/>
    </row>
    <row r="215" ht="15.75" customHeight="1">
      <c r="A215" s="85">
        <v>1.2019006E7</v>
      </c>
      <c r="B215" s="98" t="s">
        <v>487</v>
      </c>
      <c r="C215" s="59"/>
      <c r="D215" s="88"/>
      <c r="E215" s="92" t="s">
        <v>488</v>
      </c>
      <c r="F215" s="92" t="s">
        <v>489</v>
      </c>
      <c r="G215" s="93"/>
      <c r="H215" s="88"/>
      <c r="I215" s="99"/>
      <c r="K215" s="84"/>
      <c r="L215" s="84"/>
      <c r="M215" s="84"/>
      <c r="N215" s="84"/>
      <c r="O215" s="84"/>
      <c r="P215" s="84"/>
      <c r="Q215" s="84"/>
      <c r="R215" s="84"/>
    </row>
    <row r="216" ht="15.75" customHeight="1">
      <c r="A216" s="85">
        <v>1.2020001E7</v>
      </c>
      <c r="B216" s="98" t="s">
        <v>490</v>
      </c>
      <c r="C216" s="59"/>
      <c r="D216" s="88"/>
      <c r="E216" s="104"/>
      <c r="F216" s="104"/>
      <c r="G216" s="85" t="s">
        <v>482</v>
      </c>
      <c r="H216" s="88"/>
      <c r="I216" s="99"/>
      <c r="K216" s="84"/>
      <c r="L216" s="84"/>
      <c r="M216" s="84"/>
      <c r="N216" s="84"/>
      <c r="O216" s="84"/>
      <c r="P216" s="84"/>
      <c r="Q216" s="84"/>
      <c r="R216" s="84"/>
    </row>
    <row r="217" ht="15.75" customHeight="1">
      <c r="A217" s="85">
        <v>1.2027001E7</v>
      </c>
      <c r="B217" s="98" t="s">
        <v>491</v>
      </c>
      <c r="C217" s="59"/>
      <c r="D217" s="88"/>
      <c r="E217" s="104"/>
      <c r="F217" s="104"/>
      <c r="G217" s="85" t="s">
        <v>482</v>
      </c>
      <c r="H217" s="88"/>
      <c r="I217" s="99"/>
      <c r="K217" s="84"/>
      <c r="L217" s="84"/>
      <c r="M217" s="84"/>
      <c r="N217" s="84"/>
      <c r="O217" s="84"/>
      <c r="P217" s="84"/>
      <c r="Q217" s="84"/>
      <c r="R217" s="84"/>
    </row>
    <row r="218" ht="15.75" customHeight="1">
      <c r="A218" s="85">
        <v>1.2027002E7</v>
      </c>
      <c r="B218" s="98" t="s">
        <v>492</v>
      </c>
      <c r="C218" s="59"/>
      <c r="D218" s="88"/>
      <c r="G218" s="85" t="s">
        <v>482</v>
      </c>
      <c r="H218" s="88"/>
      <c r="I218" s="99"/>
      <c r="K218" s="84"/>
      <c r="L218" s="84"/>
      <c r="M218" s="84"/>
      <c r="N218" s="84"/>
      <c r="O218" s="84"/>
      <c r="P218" s="84"/>
      <c r="Q218" s="84"/>
      <c r="R218" s="84"/>
    </row>
    <row r="219" ht="15.75" customHeight="1">
      <c r="A219" s="85">
        <v>1.2027003E7</v>
      </c>
      <c r="B219" s="98" t="s">
        <v>493</v>
      </c>
      <c r="C219" s="59"/>
      <c r="D219" s="88"/>
      <c r="E219" s="104"/>
      <c r="F219" s="104"/>
      <c r="G219" s="85" t="s">
        <v>482</v>
      </c>
      <c r="H219" s="88"/>
      <c r="I219" s="99"/>
      <c r="K219" s="84"/>
      <c r="L219" s="84"/>
      <c r="M219" s="84"/>
      <c r="N219" s="84"/>
      <c r="O219" s="84"/>
      <c r="P219" s="84"/>
      <c r="Q219" s="84"/>
      <c r="R219" s="84"/>
    </row>
    <row r="220" ht="15.75" customHeight="1">
      <c r="A220" s="85">
        <v>1.2027004E7</v>
      </c>
      <c r="B220" s="98" t="s">
        <v>494</v>
      </c>
      <c r="C220" s="59"/>
      <c r="D220" s="88"/>
      <c r="E220" s="100"/>
      <c r="F220" s="100"/>
      <c r="G220" s="98"/>
      <c r="H220" s="88"/>
      <c r="I220" s="99"/>
      <c r="K220" s="84"/>
      <c r="L220" s="84"/>
      <c r="M220" s="84"/>
      <c r="N220" s="84"/>
      <c r="O220" s="84"/>
      <c r="P220" s="84"/>
      <c r="Q220" s="84"/>
      <c r="R220" s="84"/>
    </row>
    <row r="221" ht="15.75" customHeight="1">
      <c r="A221" s="85">
        <v>1.2027005E7</v>
      </c>
      <c r="B221" s="98" t="s">
        <v>495</v>
      </c>
      <c r="C221" s="59"/>
      <c r="D221" s="88"/>
      <c r="E221" s="100"/>
      <c r="F221" s="100"/>
      <c r="G221" s="98"/>
      <c r="H221" s="88"/>
      <c r="I221" s="99"/>
      <c r="K221" s="84"/>
      <c r="L221" s="84"/>
      <c r="M221" s="84"/>
      <c r="N221" s="84"/>
      <c r="O221" s="84"/>
      <c r="P221" s="84"/>
      <c r="Q221" s="84"/>
      <c r="R221" s="84"/>
    </row>
    <row r="222" ht="15.75" customHeight="1">
      <c r="A222" s="85">
        <v>1.2027006E7</v>
      </c>
      <c r="B222" s="98" t="s">
        <v>496</v>
      </c>
      <c r="C222" s="59"/>
      <c r="D222" s="88"/>
      <c r="E222" s="92" t="s">
        <v>488</v>
      </c>
      <c r="F222" s="92" t="s">
        <v>489</v>
      </c>
      <c r="G222" s="93"/>
      <c r="H222" s="88"/>
      <c r="I222" s="99"/>
      <c r="K222" s="84"/>
      <c r="L222" s="84"/>
      <c r="M222" s="84"/>
      <c r="N222" s="84"/>
      <c r="O222" s="84"/>
      <c r="P222" s="84"/>
      <c r="Q222" s="84"/>
      <c r="R222" s="84"/>
    </row>
    <row r="223" ht="15.75" customHeight="1">
      <c r="A223" s="85">
        <v>1.2028001E7</v>
      </c>
      <c r="B223" s="98" t="s">
        <v>497</v>
      </c>
      <c r="C223" s="59"/>
      <c r="D223" s="88"/>
      <c r="E223" s="104"/>
      <c r="F223" s="104"/>
      <c r="G223" s="85" t="s">
        <v>482</v>
      </c>
      <c r="H223" s="88"/>
      <c r="I223" s="99"/>
      <c r="K223" s="84"/>
      <c r="L223" s="84"/>
      <c r="M223" s="84"/>
      <c r="N223" s="84"/>
      <c r="O223" s="84"/>
      <c r="P223" s="84"/>
      <c r="Q223" s="84"/>
      <c r="R223" s="84"/>
    </row>
    <row r="224" ht="15.75" customHeight="1">
      <c r="A224" s="85">
        <v>1.2035001E7</v>
      </c>
      <c r="B224" s="98" t="s">
        <v>498</v>
      </c>
      <c r="C224" s="59"/>
      <c r="D224" s="88"/>
      <c r="E224" s="104"/>
      <c r="F224" s="104"/>
      <c r="G224" s="85" t="s">
        <v>482</v>
      </c>
      <c r="H224" s="88"/>
      <c r="I224" s="99"/>
      <c r="K224" s="84"/>
      <c r="L224" s="84"/>
      <c r="M224" s="84"/>
      <c r="N224" s="84"/>
      <c r="O224" s="84"/>
      <c r="P224" s="84"/>
      <c r="Q224" s="84"/>
      <c r="R224" s="84"/>
    </row>
    <row r="225" ht="15.75" customHeight="1">
      <c r="A225" s="85">
        <v>1.2035002E7</v>
      </c>
      <c r="B225" s="98" t="s">
        <v>499</v>
      </c>
      <c r="C225" s="59"/>
      <c r="D225" s="88"/>
      <c r="G225" s="85" t="s">
        <v>482</v>
      </c>
      <c r="H225" s="88"/>
      <c r="I225" s="99"/>
      <c r="K225" s="84"/>
      <c r="L225" s="84"/>
      <c r="M225" s="84"/>
      <c r="N225" s="84"/>
      <c r="O225" s="84"/>
      <c r="P225" s="84"/>
      <c r="Q225" s="84"/>
      <c r="R225" s="84"/>
    </row>
    <row r="226" ht="15.75" customHeight="1">
      <c r="A226" s="85">
        <v>1.2035003E7</v>
      </c>
      <c r="B226" s="98" t="s">
        <v>500</v>
      </c>
      <c r="C226" s="59"/>
      <c r="D226" s="88"/>
      <c r="E226" s="104"/>
      <c r="F226" s="104"/>
      <c r="G226" s="85" t="s">
        <v>482</v>
      </c>
      <c r="H226" s="88"/>
      <c r="I226" s="99"/>
      <c r="K226" s="84"/>
      <c r="L226" s="84"/>
      <c r="M226" s="84"/>
      <c r="N226" s="84"/>
      <c r="O226" s="84"/>
      <c r="P226" s="84"/>
      <c r="Q226" s="84"/>
      <c r="R226" s="84"/>
    </row>
    <row r="227" ht="15.75" customHeight="1">
      <c r="A227" s="85">
        <v>1.2035004E7</v>
      </c>
      <c r="B227" s="98" t="s">
        <v>501</v>
      </c>
      <c r="C227" s="59"/>
      <c r="D227" s="88"/>
      <c r="E227" s="100"/>
      <c r="F227" s="100"/>
      <c r="G227" s="98"/>
      <c r="H227" s="88"/>
      <c r="I227" s="99"/>
      <c r="K227" s="84"/>
      <c r="L227" s="84"/>
      <c r="M227" s="84"/>
      <c r="N227" s="84"/>
      <c r="O227" s="84"/>
      <c r="P227" s="84"/>
      <c r="Q227" s="84"/>
      <c r="R227" s="84"/>
    </row>
    <row r="228" ht="15.75" customHeight="1">
      <c r="A228" s="85">
        <v>1.2035005E7</v>
      </c>
      <c r="B228" s="98" t="s">
        <v>502</v>
      </c>
      <c r="C228" s="59"/>
      <c r="D228" s="88"/>
      <c r="E228" s="100"/>
      <c r="F228" s="100"/>
      <c r="G228" s="98"/>
      <c r="H228" s="88"/>
      <c r="I228" s="99"/>
      <c r="K228" s="84"/>
      <c r="L228" s="84"/>
      <c r="M228" s="84"/>
      <c r="N228" s="84"/>
      <c r="O228" s="84"/>
      <c r="P228" s="84"/>
      <c r="Q228" s="84"/>
      <c r="R228" s="84"/>
    </row>
    <row r="229" ht="15.75" customHeight="1">
      <c r="A229" s="85">
        <v>1.2035006E7</v>
      </c>
      <c r="B229" s="98" t="s">
        <v>503</v>
      </c>
      <c r="C229" s="59"/>
      <c r="D229" s="88"/>
      <c r="E229" s="92" t="s">
        <v>488</v>
      </c>
      <c r="F229" s="92" t="s">
        <v>489</v>
      </c>
      <c r="G229" s="93"/>
      <c r="H229" s="88"/>
      <c r="I229" s="99"/>
      <c r="K229" s="84"/>
      <c r="L229" s="84"/>
      <c r="M229" s="84"/>
      <c r="N229" s="84"/>
      <c r="O229" s="84"/>
      <c r="P229" s="84"/>
      <c r="Q229" s="84"/>
      <c r="R229" s="84"/>
    </row>
    <row r="230" ht="15.75" customHeight="1">
      <c r="A230" s="85">
        <v>1.2036001E7</v>
      </c>
      <c r="B230" s="98" t="s">
        <v>504</v>
      </c>
      <c r="C230" s="73"/>
      <c r="D230" s="88"/>
      <c r="E230" s="104"/>
      <c r="F230" s="104"/>
      <c r="G230" s="85" t="s">
        <v>482</v>
      </c>
      <c r="H230" s="88"/>
      <c r="I230" s="99"/>
      <c r="K230" s="84"/>
      <c r="L230" s="84"/>
      <c r="M230" s="84"/>
      <c r="N230" s="84"/>
      <c r="O230" s="84"/>
      <c r="P230" s="84"/>
      <c r="Q230" s="84"/>
      <c r="R230" s="84"/>
    </row>
    <row r="231" ht="15.75" customHeight="1">
      <c r="A231" s="85">
        <v>1.2019011E7</v>
      </c>
      <c r="B231" s="98" t="s">
        <v>505</v>
      </c>
      <c r="C231" s="86" t="s">
        <v>506</v>
      </c>
      <c r="D231" s="88"/>
      <c r="E231" s="104"/>
      <c r="F231" s="104"/>
      <c r="G231" s="85" t="s">
        <v>482</v>
      </c>
      <c r="H231" s="88"/>
      <c r="I231" s="99"/>
      <c r="K231" s="84"/>
      <c r="L231" s="84"/>
      <c r="M231" s="84"/>
      <c r="N231" s="84"/>
      <c r="O231" s="84"/>
      <c r="P231" s="84"/>
      <c r="Q231" s="84"/>
      <c r="R231" s="84"/>
    </row>
    <row r="232" ht="15.75" customHeight="1">
      <c r="A232" s="85">
        <v>1.2019012E7</v>
      </c>
      <c r="B232" s="98" t="s">
        <v>507</v>
      </c>
      <c r="C232" s="59"/>
      <c r="D232" s="88"/>
      <c r="E232" s="104"/>
      <c r="F232" s="104"/>
      <c r="G232" s="85" t="s">
        <v>482</v>
      </c>
      <c r="H232" s="88"/>
      <c r="I232" s="99"/>
      <c r="K232" s="84"/>
      <c r="L232" s="84"/>
      <c r="M232" s="84"/>
      <c r="N232" s="84"/>
      <c r="O232" s="84"/>
      <c r="P232" s="84"/>
      <c r="Q232" s="84"/>
      <c r="R232" s="84"/>
    </row>
    <row r="233" ht="15.75" customHeight="1">
      <c r="A233" s="85">
        <v>1.2019013E7</v>
      </c>
      <c r="B233" s="98" t="s">
        <v>508</v>
      </c>
      <c r="C233" s="59"/>
      <c r="D233" s="88"/>
      <c r="E233" s="104" t="s">
        <v>509</v>
      </c>
      <c r="F233" s="104" t="s">
        <v>510</v>
      </c>
      <c r="G233" s="85" t="s">
        <v>482</v>
      </c>
      <c r="H233" s="88"/>
      <c r="I233" s="99"/>
      <c r="K233" s="84"/>
      <c r="L233" s="84"/>
      <c r="M233" s="84"/>
      <c r="N233" s="84"/>
      <c r="O233" s="84"/>
      <c r="P233" s="84"/>
      <c r="Q233" s="84"/>
      <c r="R233" s="84"/>
    </row>
    <row r="234" ht="15.75" customHeight="1">
      <c r="A234" s="85">
        <v>1.2019014E7</v>
      </c>
      <c r="B234" s="98" t="s">
        <v>511</v>
      </c>
      <c r="C234" s="59"/>
      <c r="D234" s="88"/>
      <c r="E234" s="100"/>
      <c r="F234" s="100"/>
      <c r="G234" s="98"/>
      <c r="H234" s="88"/>
      <c r="I234" s="99"/>
      <c r="K234" s="84"/>
      <c r="L234" s="84"/>
      <c r="M234" s="84"/>
      <c r="N234" s="84"/>
      <c r="O234" s="84"/>
      <c r="P234" s="84"/>
      <c r="Q234" s="84"/>
      <c r="R234" s="84"/>
    </row>
    <row r="235" ht="15.75" customHeight="1">
      <c r="A235" s="85">
        <v>1.2019015E7</v>
      </c>
      <c r="B235" s="98" t="s">
        <v>512</v>
      </c>
      <c r="C235" s="59"/>
      <c r="D235" s="88"/>
      <c r="E235" s="100"/>
      <c r="F235" s="100"/>
      <c r="G235" s="98"/>
      <c r="H235" s="88"/>
      <c r="I235" s="99"/>
      <c r="K235" s="84"/>
      <c r="L235" s="84"/>
      <c r="M235" s="84"/>
      <c r="N235" s="84"/>
      <c r="O235" s="84"/>
      <c r="P235" s="84"/>
      <c r="Q235" s="84"/>
      <c r="R235" s="84"/>
    </row>
    <row r="236" ht="15.75" customHeight="1">
      <c r="A236" s="85">
        <v>1.2019016E7</v>
      </c>
      <c r="B236" s="98" t="s">
        <v>513</v>
      </c>
      <c r="C236" s="59"/>
      <c r="D236" s="88"/>
      <c r="E236" s="92" t="s">
        <v>488</v>
      </c>
      <c r="F236" s="92" t="s">
        <v>489</v>
      </c>
      <c r="G236" s="93"/>
      <c r="H236" s="88"/>
      <c r="I236" s="99"/>
      <c r="K236" s="84"/>
      <c r="L236" s="84"/>
      <c r="M236" s="84"/>
      <c r="N236" s="84"/>
      <c r="O236" s="84"/>
      <c r="P236" s="84"/>
      <c r="Q236" s="84"/>
      <c r="R236" s="84"/>
    </row>
    <row r="237" ht="15.75" customHeight="1">
      <c r="A237" s="85">
        <v>1.2020011E7</v>
      </c>
      <c r="B237" s="98" t="s">
        <v>514</v>
      </c>
      <c r="C237" s="59"/>
      <c r="D237" s="88"/>
      <c r="E237" s="104"/>
      <c r="F237" s="104"/>
      <c r="G237" s="85" t="s">
        <v>482</v>
      </c>
      <c r="H237" s="88"/>
      <c r="I237" s="99"/>
      <c r="K237" s="84"/>
      <c r="L237" s="84"/>
      <c r="M237" s="84"/>
      <c r="N237" s="84"/>
      <c r="O237" s="84"/>
      <c r="P237" s="84"/>
      <c r="Q237" s="84"/>
      <c r="R237" s="84"/>
    </row>
    <row r="238" ht="15.75" customHeight="1">
      <c r="A238" s="85">
        <v>1.2027011E7</v>
      </c>
      <c r="B238" s="98" t="s">
        <v>515</v>
      </c>
      <c r="C238" s="59"/>
      <c r="D238" s="88"/>
      <c r="E238" s="104"/>
      <c r="F238" s="104"/>
      <c r="G238" s="85" t="s">
        <v>482</v>
      </c>
      <c r="H238" s="88"/>
      <c r="I238" s="99"/>
      <c r="K238" s="84"/>
      <c r="L238" s="84"/>
      <c r="M238" s="84"/>
      <c r="N238" s="84"/>
      <c r="O238" s="84"/>
      <c r="P238" s="84"/>
      <c r="Q238" s="84"/>
      <c r="R238" s="84"/>
    </row>
    <row r="239" ht="15.75" customHeight="1">
      <c r="A239" s="85">
        <v>1.2027012E7</v>
      </c>
      <c r="B239" s="98" t="s">
        <v>516</v>
      </c>
      <c r="C239" s="59"/>
      <c r="D239" s="88"/>
      <c r="E239" s="104"/>
      <c r="F239" s="104"/>
      <c r="G239" s="85" t="s">
        <v>482</v>
      </c>
      <c r="H239" s="88"/>
      <c r="I239" s="99"/>
      <c r="K239" s="84"/>
      <c r="L239" s="84"/>
      <c r="M239" s="84"/>
      <c r="N239" s="84"/>
      <c r="O239" s="84"/>
      <c r="P239" s="84"/>
      <c r="Q239" s="84"/>
      <c r="R239" s="84"/>
    </row>
    <row r="240" ht="15.75" customHeight="1">
      <c r="A240" s="85">
        <v>1.2027013E7</v>
      </c>
      <c r="B240" s="98" t="s">
        <v>517</v>
      </c>
      <c r="C240" s="59"/>
      <c r="D240" s="88"/>
      <c r="E240" s="104" t="s">
        <v>518</v>
      </c>
      <c r="F240" s="104" t="s">
        <v>519</v>
      </c>
      <c r="G240" s="85" t="s">
        <v>482</v>
      </c>
      <c r="H240" s="88"/>
      <c r="I240" s="99"/>
      <c r="K240" s="84"/>
      <c r="L240" s="84"/>
      <c r="M240" s="84"/>
      <c r="N240" s="84"/>
      <c r="O240" s="84"/>
      <c r="P240" s="84"/>
      <c r="Q240" s="84"/>
      <c r="R240" s="84"/>
    </row>
    <row r="241" ht="15.75" customHeight="1">
      <c r="A241" s="85">
        <v>1.2027014E7</v>
      </c>
      <c r="B241" s="98" t="s">
        <v>520</v>
      </c>
      <c r="C241" s="59"/>
      <c r="D241" s="88"/>
      <c r="E241" s="100"/>
      <c r="F241" s="100"/>
      <c r="G241" s="98"/>
      <c r="H241" s="88"/>
      <c r="I241" s="99"/>
      <c r="K241" s="84"/>
      <c r="L241" s="84"/>
      <c r="M241" s="84"/>
      <c r="N241" s="84"/>
      <c r="O241" s="84"/>
      <c r="P241" s="84"/>
      <c r="Q241" s="84"/>
      <c r="R241" s="84"/>
    </row>
    <row r="242" ht="15.75" customHeight="1">
      <c r="A242" s="85">
        <v>1.2027015E7</v>
      </c>
      <c r="B242" s="98" t="s">
        <v>521</v>
      </c>
      <c r="C242" s="59"/>
      <c r="D242" s="88"/>
      <c r="E242" s="100"/>
      <c r="F242" s="100"/>
      <c r="G242" s="98"/>
      <c r="H242" s="88"/>
      <c r="I242" s="99"/>
      <c r="K242" s="84"/>
      <c r="L242" s="84"/>
      <c r="M242" s="84"/>
      <c r="N242" s="84"/>
      <c r="O242" s="84"/>
      <c r="P242" s="84"/>
      <c r="Q242" s="84"/>
      <c r="R242" s="84"/>
    </row>
    <row r="243" ht="15.75" customHeight="1">
      <c r="A243" s="85">
        <v>1.2027016E7</v>
      </c>
      <c r="B243" s="98" t="s">
        <v>522</v>
      </c>
      <c r="C243" s="59"/>
      <c r="D243" s="88"/>
      <c r="E243" s="92" t="s">
        <v>488</v>
      </c>
      <c r="F243" s="92" t="s">
        <v>489</v>
      </c>
      <c r="G243" s="93"/>
      <c r="H243" s="88"/>
      <c r="I243" s="99"/>
      <c r="K243" s="84"/>
      <c r="L243" s="84"/>
      <c r="M243" s="84"/>
      <c r="N243" s="84"/>
      <c r="O243" s="84"/>
      <c r="P243" s="84"/>
      <c r="Q243" s="84"/>
      <c r="R243" s="84"/>
    </row>
    <row r="244" ht="15.75" customHeight="1">
      <c r="A244" s="85">
        <v>1.2028011E7</v>
      </c>
      <c r="B244" s="98" t="s">
        <v>523</v>
      </c>
      <c r="C244" s="59"/>
      <c r="D244" s="88"/>
      <c r="E244" s="104"/>
      <c r="F244" s="104"/>
      <c r="G244" s="85" t="s">
        <v>482</v>
      </c>
      <c r="H244" s="88"/>
      <c r="I244" s="99"/>
      <c r="K244" s="84"/>
      <c r="L244" s="84"/>
      <c r="M244" s="84"/>
      <c r="N244" s="84"/>
      <c r="O244" s="84"/>
      <c r="P244" s="84"/>
      <c r="Q244" s="84"/>
      <c r="R244" s="84"/>
    </row>
    <row r="245" ht="15.75" customHeight="1">
      <c r="A245" s="85">
        <v>1.2035011E7</v>
      </c>
      <c r="B245" s="98" t="s">
        <v>524</v>
      </c>
      <c r="C245" s="59"/>
      <c r="D245" s="88"/>
      <c r="E245" s="104"/>
      <c r="F245" s="104"/>
      <c r="G245" s="85" t="s">
        <v>482</v>
      </c>
      <c r="H245" s="88"/>
      <c r="I245" s="99"/>
      <c r="K245" s="84"/>
      <c r="L245" s="84"/>
      <c r="M245" s="84"/>
      <c r="N245" s="84"/>
      <c r="O245" s="84"/>
      <c r="P245" s="84"/>
      <c r="Q245" s="84"/>
      <c r="R245" s="84"/>
    </row>
    <row r="246" ht="15.75" customHeight="1">
      <c r="A246" s="85">
        <v>1.2035012E7</v>
      </c>
      <c r="B246" s="98" t="s">
        <v>525</v>
      </c>
      <c r="C246" s="59"/>
      <c r="D246" s="88"/>
      <c r="E246" s="104"/>
      <c r="F246" s="104"/>
      <c r="G246" s="85" t="s">
        <v>482</v>
      </c>
      <c r="H246" s="88"/>
      <c r="I246" s="99"/>
      <c r="K246" s="84"/>
      <c r="L246" s="84"/>
      <c r="M246" s="84"/>
      <c r="N246" s="84"/>
      <c r="O246" s="84"/>
      <c r="P246" s="84"/>
      <c r="Q246" s="84"/>
      <c r="R246" s="84"/>
    </row>
    <row r="247" ht="15.75" customHeight="1">
      <c r="A247" s="85">
        <v>1.2035013E7</v>
      </c>
      <c r="B247" s="98" t="s">
        <v>526</v>
      </c>
      <c r="C247" s="59"/>
      <c r="D247" s="88"/>
      <c r="E247" s="104" t="s">
        <v>527</v>
      </c>
      <c r="F247" s="104" t="s">
        <v>528</v>
      </c>
      <c r="G247" s="85" t="s">
        <v>482</v>
      </c>
      <c r="H247" s="88"/>
      <c r="I247" s="99"/>
      <c r="K247" s="84"/>
      <c r="L247" s="84"/>
      <c r="M247" s="84"/>
      <c r="N247" s="84"/>
      <c r="O247" s="84"/>
      <c r="P247" s="84"/>
      <c r="Q247" s="84"/>
      <c r="R247" s="84"/>
    </row>
    <row r="248" ht="15.75" customHeight="1">
      <c r="A248" s="85">
        <v>1.2035014E7</v>
      </c>
      <c r="B248" s="98" t="s">
        <v>529</v>
      </c>
      <c r="C248" s="59"/>
      <c r="D248" s="88"/>
      <c r="E248" s="100"/>
      <c r="F248" s="100"/>
      <c r="G248" s="98"/>
      <c r="H248" s="88"/>
      <c r="I248" s="99"/>
      <c r="K248" s="84"/>
      <c r="L248" s="84"/>
      <c r="M248" s="84"/>
      <c r="N248" s="84"/>
      <c r="O248" s="84"/>
      <c r="P248" s="84"/>
      <c r="Q248" s="84"/>
      <c r="R248" s="84"/>
    </row>
    <row r="249" ht="15.75" customHeight="1">
      <c r="A249" s="85">
        <v>1.2035015E7</v>
      </c>
      <c r="B249" s="98" t="s">
        <v>530</v>
      </c>
      <c r="C249" s="59"/>
      <c r="D249" s="88"/>
      <c r="E249" s="100"/>
      <c r="F249" s="100"/>
      <c r="G249" s="98"/>
      <c r="H249" s="88"/>
      <c r="I249" s="99"/>
      <c r="K249" s="84"/>
      <c r="L249" s="84"/>
      <c r="M249" s="84"/>
      <c r="N249" s="84"/>
      <c r="O249" s="84"/>
      <c r="P249" s="84"/>
      <c r="Q249" s="84"/>
      <c r="R249" s="84"/>
    </row>
    <row r="250" ht="15.75" customHeight="1">
      <c r="A250" s="85">
        <v>1.2035016E7</v>
      </c>
      <c r="B250" s="98" t="s">
        <v>531</v>
      </c>
      <c r="C250" s="59"/>
      <c r="D250" s="88"/>
      <c r="E250" s="92" t="s">
        <v>488</v>
      </c>
      <c r="F250" s="92" t="s">
        <v>489</v>
      </c>
      <c r="G250" s="93"/>
      <c r="H250" s="88"/>
      <c r="I250" s="99"/>
      <c r="K250" s="84"/>
      <c r="L250" s="84"/>
      <c r="M250" s="84"/>
      <c r="N250" s="84"/>
      <c r="O250" s="84"/>
      <c r="P250" s="84"/>
      <c r="Q250" s="84"/>
      <c r="R250" s="84"/>
    </row>
    <row r="251" ht="15.75" customHeight="1">
      <c r="A251" s="85">
        <v>1.2036011E7</v>
      </c>
      <c r="B251" s="98" t="s">
        <v>532</v>
      </c>
      <c r="C251" s="73"/>
      <c r="D251" s="88"/>
      <c r="E251" s="104"/>
      <c r="F251" s="104"/>
      <c r="G251" s="85" t="s">
        <v>482</v>
      </c>
      <c r="H251" s="88"/>
      <c r="I251" s="99"/>
      <c r="K251" s="84"/>
      <c r="L251" s="84"/>
      <c r="M251" s="84"/>
      <c r="N251" s="84"/>
      <c r="O251" s="84"/>
      <c r="P251" s="84"/>
      <c r="Q251" s="84"/>
      <c r="R251" s="84"/>
    </row>
    <row r="252" ht="15.75" customHeight="1">
      <c r="A252" s="85">
        <v>1.2023001E7</v>
      </c>
      <c r="B252" s="98" t="s">
        <v>533</v>
      </c>
      <c r="C252" s="86" t="s">
        <v>534</v>
      </c>
      <c r="D252" s="88"/>
      <c r="E252" s="104" t="s">
        <v>234</v>
      </c>
      <c r="F252" s="104" t="s">
        <v>535</v>
      </c>
      <c r="G252" s="105" t="s">
        <v>420</v>
      </c>
      <c r="H252" s="97" t="s">
        <v>536</v>
      </c>
      <c r="I252" s="99"/>
      <c r="K252" s="84"/>
      <c r="L252" s="84"/>
      <c r="M252" s="84"/>
      <c r="N252" s="84"/>
      <c r="O252" s="84"/>
      <c r="P252" s="84"/>
      <c r="Q252" s="84"/>
      <c r="R252" s="84"/>
    </row>
    <row r="253" ht="15.75" customHeight="1">
      <c r="A253" s="85">
        <v>1.2023002E7</v>
      </c>
      <c r="B253" s="98" t="s">
        <v>537</v>
      </c>
      <c r="C253" s="59"/>
      <c r="D253" s="88"/>
      <c r="E253" s="104" t="s">
        <v>234</v>
      </c>
      <c r="F253" s="104" t="s">
        <v>535</v>
      </c>
      <c r="G253" s="105" t="s">
        <v>420</v>
      </c>
      <c r="H253" s="88"/>
      <c r="I253" s="99"/>
      <c r="K253" s="84"/>
      <c r="L253" s="84"/>
      <c r="M253" s="84"/>
      <c r="N253" s="84"/>
      <c r="O253" s="84"/>
      <c r="P253" s="84"/>
      <c r="Q253" s="84"/>
      <c r="R253" s="84"/>
    </row>
    <row r="254" ht="15.75" customHeight="1">
      <c r="A254" s="98">
        <v>1.2023003E7</v>
      </c>
      <c r="B254" s="98" t="s">
        <v>538</v>
      </c>
      <c r="C254" s="59"/>
      <c r="D254" s="88"/>
      <c r="E254" s="104" t="s">
        <v>230</v>
      </c>
      <c r="F254" s="100"/>
      <c r="G254" s="93"/>
      <c r="H254" s="88"/>
      <c r="I254" s="99"/>
      <c r="K254" s="84"/>
      <c r="L254" s="84"/>
      <c r="M254" s="84"/>
      <c r="N254" s="84"/>
      <c r="O254" s="84"/>
      <c r="P254" s="84"/>
      <c r="Q254" s="84"/>
      <c r="R254" s="84"/>
    </row>
    <row r="255" ht="15.75" customHeight="1">
      <c r="A255" s="85">
        <v>1.2031001E7</v>
      </c>
      <c r="B255" s="98" t="s">
        <v>539</v>
      </c>
      <c r="C255" s="59"/>
      <c r="D255" s="88"/>
      <c r="E255" s="104" t="s">
        <v>234</v>
      </c>
      <c r="F255" s="104" t="s">
        <v>535</v>
      </c>
      <c r="G255" s="105" t="s">
        <v>420</v>
      </c>
      <c r="H255" s="88"/>
      <c r="I255" s="99"/>
      <c r="K255" s="84"/>
      <c r="L255" s="84"/>
      <c r="M255" s="84"/>
      <c r="N255" s="84"/>
      <c r="O255" s="84"/>
      <c r="P255" s="84"/>
      <c r="Q255" s="84"/>
      <c r="R255" s="84"/>
    </row>
    <row r="256" ht="15.75" customHeight="1">
      <c r="A256" s="85">
        <v>1.2031002E7</v>
      </c>
      <c r="B256" s="98" t="s">
        <v>540</v>
      </c>
      <c r="C256" s="59"/>
      <c r="D256" s="88"/>
      <c r="E256" s="104" t="s">
        <v>234</v>
      </c>
      <c r="F256" s="104" t="s">
        <v>535</v>
      </c>
      <c r="G256" s="105" t="s">
        <v>420</v>
      </c>
      <c r="H256" s="88"/>
      <c r="I256" s="99"/>
      <c r="K256" s="84"/>
      <c r="L256" s="84"/>
      <c r="M256" s="84"/>
      <c r="N256" s="84"/>
      <c r="O256" s="84"/>
      <c r="P256" s="84"/>
      <c r="Q256" s="84"/>
      <c r="R256" s="84"/>
    </row>
    <row r="257" ht="15.75" customHeight="1">
      <c r="A257" s="98">
        <v>1.2031003E7</v>
      </c>
      <c r="B257" s="98" t="s">
        <v>541</v>
      </c>
      <c r="C257" s="59"/>
      <c r="D257" s="88"/>
      <c r="E257" s="104" t="s">
        <v>230</v>
      </c>
      <c r="F257" s="100"/>
      <c r="G257" s="93"/>
      <c r="H257" s="88"/>
      <c r="I257" s="99"/>
      <c r="K257" s="84"/>
      <c r="L257" s="84"/>
      <c r="M257" s="84"/>
      <c r="N257" s="84"/>
      <c r="O257" s="84"/>
      <c r="P257" s="84"/>
      <c r="Q257" s="84"/>
      <c r="R257" s="84"/>
    </row>
    <row r="258" ht="15.75" customHeight="1">
      <c r="A258" s="85">
        <v>1.2039001E7</v>
      </c>
      <c r="B258" s="98" t="s">
        <v>542</v>
      </c>
      <c r="C258" s="59"/>
      <c r="D258" s="88"/>
      <c r="E258" s="104" t="s">
        <v>234</v>
      </c>
      <c r="F258" s="104" t="s">
        <v>535</v>
      </c>
      <c r="G258" s="105" t="s">
        <v>420</v>
      </c>
      <c r="H258" s="88"/>
      <c r="I258" s="99"/>
      <c r="K258" s="84"/>
      <c r="L258" s="84"/>
      <c r="M258" s="84"/>
      <c r="N258" s="84"/>
      <c r="O258" s="84"/>
      <c r="P258" s="84"/>
      <c r="Q258" s="84"/>
      <c r="R258" s="84"/>
    </row>
    <row r="259" ht="15.75" customHeight="1">
      <c r="A259" s="85">
        <v>1.2039002E7</v>
      </c>
      <c r="B259" s="98" t="s">
        <v>543</v>
      </c>
      <c r="C259" s="59"/>
      <c r="D259" s="88"/>
      <c r="E259" s="104" t="s">
        <v>234</v>
      </c>
      <c r="F259" s="104" t="s">
        <v>535</v>
      </c>
      <c r="G259" s="105" t="s">
        <v>420</v>
      </c>
      <c r="H259" s="88"/>
      <c r="I259" s="99"/>
      <c r="K259" s="84"/>
      <c r="L259" s="84"/>
      <c r="M259" s="84"/>
      <c r="N259" s="84"/>
      <c r="O259" s="84"/>
      <c r="P259" s="84"/>
      <c r="Q259" s="84"/>
      <c r="R259" s="84"/>
    </row>
    <row r="260" ht="15.75" customHeight="1">
      <c r="A260" s="98">
        <v>1.2039003E7</v>
      </c>
      <c r="B260" s="98" t="s">
        <v>544</v>
      </c>
      <c r="C260" s="59"/>
      <c r="D260" s="88"/>
      <c r="E260" s="104" t="s">
        <v>545</v>
      </c>
      <c r="F260" s="104"/>
      <c r="G260" s="105"/>
      <c r="H260" s="88"/>
      <c r="I260" s="99"/>
      <c r="K260" s="84"/>
      <c r="L260" s="84"/>
      <c r="M260" s="84"/>
      <c r="N260" s="84"/>
      <c r="O260" s="84"/>
      <c r="P260" s="84"/>
      <c r="Q260" s="84"/>
      <c r="R260" s="84"/>
    </row>
    <row r="261" ht="15.75" customHeight="1">
      <c r="A261" s="85"/>
      <c r="B261" s="85"/>
      <c r="C261" s="59"/>
      <c r="D261" s="88"/>
      <c r="E261" s="104"/>
      <c r="F261" s="104"/>
      <c r="G261" s="105"/>
      <c r="H261" s="88"/>
      <c r="I261" s="99"/>
      <c r="K261" s="84"/>
      <c r="L261" s="84"/>
      <c r="M261" s="84"/>
      <c r="N261" s="84"/>
      <c r="O261" s="84"/>
      <c r="P261" s="84"/>
      <c r="Q261" s="84"/>
      <c r="R261" s="84"/>
    </row>
    <row r="262" ht="15.75" customHeight="1">
      <c r="A262" s="85">
        <v>1.1451001E7</v>
      </c>
      <c r="B262" s="85" t="s">
        <v>546</v>
      </c>
      <c r="C262" s="59"/>
      <c r="D262" s="88"/>
      <c r="E262" s="104" t="s">
        <v>247</v>
      </c>
      <c r="F262" s="104" t="s">
        <v>547</v>
      </c>
      <c r="G262" s="105" t="s">
        <v>231</v>
      </c>
      <c r="H262" s="88"/>
      <c r="I262" s="99"/>
      <c r="K262" s="84"/>
      <c r="L262" s="84"/>
      <c r="M262" s="84"/>
      <c r="N262" s="84"/>
      <c r="O262" s="84"/>
      <c r="P262" s="84"/>
      <c r="Q262" s="84"/>
      <c r="R262" s="84"/>
    </row>
    <row r="263" ht="15.75" customHeight="1">
      <c r="A263" s="85">
        <v>1.1451002E7</v>
      </c>
      <c r="B263" s="85" t="s">
        <v>548</v>
      </c>
      <c r="C263" s="59"/>
      <c r="D263" s="88"/>
      <c r="E263" s="104" t="s">
        <v>247</v>
      </c>
      <c r="F263" s="104" t="s">
        <v>248</v>
      </c>
      <c r="G263" s="105" t="s">
        <v>231</v>
      </c>
      <c r="H263" s="88"/>
      <c r="I263" s="99"/>
      <c r="K263" s="84"/>
      <c r="L263" s="84"/>
      <c r="M263" s="84"/>
      <c r="N263" s="84"/>
      <c r="O263" s="84"/>
      <c r="P263" s="84"/>
      <c r="Q263" s="84"/>
      <c r="R263" s="84"/>
    </row>
    <row r="264" ht="15.75" customHeight="1">
      <c r="A264" s="85">
        <v>1.1451003E7</v>
      </c>
      <c r="B264" s="85" t="s">
        <v>549</v>
      </c>
      <c r="C264" s="59"/>
      <c r="D264" s="88"/>
      <c r="E264" s="104" t="s">
        <v>550</v>
      </c>
      <c r="F264" s="104" t="s">
        <v>235</v>
      </c>
      <c r="G264" s="105" t="s">
        <v>231</v>
      </c>
      <c r="H264" s="88"/>
      <c r="I264" s="99"/>
      <c r="K264" s="84"/>
      <c r="L264" s="84"/>
      <c r="M264" s="84"/>
      <c r="N264" s="84"/>
      <c r="O264" s="84"/>
      <c r="P264" s="84"/>
      <c r="Q264" s="84"/>
      <c r="R264" s="84"/>
    </row>
    <row r="265" ht="15.75" customHeight="1">
      <c r="A265" s="85">
        <v>1.1453001E7</v>
      </c>
      <c r="B265" s="85" t="s">
        <v>551</v>
      </c>
      <c r="C265" s="59"/>
      <c r="D265" s="88"/>
      <c r="E265" s="104" t="s">
        <v>247</v>
      </c>
      <c r="F265" s="104" t="s">
        <v>547</v>
      </c>
      <c r="G265" s="105" t="s">
        <v>231</v>
      </c>
      <c r="H265" s="88"/>
      <c r="I265" s="99"/>
      <c r="K265" s="84"/>
      <c r="L265" s="84"/>
      <c r="M265" s="84"/>
      <c r="N265" s="84"/>
      <c r="O265" s="84"/>
      <c r="P265" s="84"/>
      <c r="Q265" s="84"/>
      <c r="R265" s="84"/>
    </row>
    <row r="266" ht="15.75" customHeight="1">
      <c r="A266" s="85">
        <v>1.1453002E7</v>
      </c>
      <c r="B266" s="85" t="s">
        <v>552</v>
      </c>
      <c r="C266" s="59"/>
      <c r="D266" s="88"/>
      <c r="E266" s="104" t="s">
        <v>247</v>
      </c>
      <c r="F266" s="104" t="s">
        <v>248</v>
      </c>
      <c r="G266" s="105" t="s">
        <v>231</v>
      </c>
      <c r="H266" s="88"/>
      <c r="I266" s="99"/>
      <c r="K266" s="84"/>
      <c r="L266" s="84"/>
      <c r="M266" s="84"/>
      <c r="N266" s="84"/>
      <c r="O266" s="84"/>
      <c r="P266" s="84"/>
      <c r="Q266" s="84"/>
      <c r="R266" s="84"/>
    </row>
    <row r="267" ht="15.75" customHeight="1">
      <c r="A267" s="85">
        <v>1.1453003E7</v>
      </c>
      <c r="B267" s="85" t="s">
        <v>553</v>
      </c>
      <c r="C267" s="59"/>
      <c r="D267" s="88"/>
      <c r="E267" s="104" t="s">
        <v>550</v>
      </c>
      <c r="F267" s="104" t="s">
        <v>235</v>
      </c>
      <c r="G267" s="105" t="s">
        <v>231</v>
      </c>
      <c r="H267" s="88"/>
      <c r="I267" s="99"/>
      <c r="K267" s="84"/>
      <c r="L267" s="84"/>
      <c r="M267" s="84"/>
      <c r="N267" s="84"/>
      <c r="O267" s="84"/>
      <c r="P267" s="84"/>
      <c r="Q267" s="84"/>
      <c r="R267" s="84"/>
    </row>
    <row r="268" ht="15.75" customHeight="1">
      <c r="A268" s="85">
        <v>1.1455001E7</v>
      </c>
      <c r="B268" s="85" t="s">
        <v>554</v>
      </c>
      <c r="C268" s="59"/>
      <c r="D268" s="88"/>
      <c r="E268" s="104" t="s">
        <v>247</v>
      </c>
      <c r="F268" s="104" t="s">
        <v>547</v>
      </c>
      <c r="G268" s="105" t="s">
        <v>231</v>
      </c>
      <c r="H268" s="88"/>
      <c r="I268" s="99"/>
      <c r="K268" s="84"/>
      <c r="L268" s="84"/>
      <c r="M268" s="84"/>
      <c r="N268" s="84"/>
      <c r="O268" s="84"/>
      <c r="P268" s="84"/>
      <c r="Q268" s="84"/>
      <c r="R268" s="84"/>
    </row>
    <row r="269" ht="15.75" customHeight="1">
      <c r="A269" s="85">
        <v>1.1455002E7</v>
      </c>
      <c r="B269" s="85" t="s">
        <v>555</v>
      </c>
      <c r="C269" s="59"/>
      <c r="D269" s="88"/>
      <c r="E269" s="104" t="s">
        <v>247</v>
      </c>
      <c r="F269" s="104" t="s">
        <v>248</v>
      </c>
      <c r="G269" s="105" t="s">
        <v>231</v>
      </c>
      <c r="H269" s="88"/>
      <c r="I269" s="99"/>
      <c r="K269" s="84"/>
      <c r="L269" s="84"/>
      <c r="M269" s="84"/>
      <c r="N269" s="84"/>
      <c r="O269" s="84"/>
      <c r="P269" s="84"/>
      <c r="Q269" s="84"/>
      <c r="R269" s="84"/>
    </row>
    <row r="270" ht="15.75" customHeight="1">
      <c r="A270" s="85">
        <v>1.1455003E7</v>
      </c>
      <c r="B270" s="85" t="s">
        <v>556</v>
      </c>
      <c r="C270" s="73"/>
      <c r="D270" s="88"/>
      <c r="E270" s="104" t="s">
        <v>550</v>
      </c>
      <c r="F270" s="104" t="s">
        <v>235</v>
      </c>
      <c r="G270" s="105" t="s">
        <v>231</v>
      </c>
      <c r="H270" s="88"/>
      <c r="I270" s="99"/>
      <c r="K270" s="84"/>
      <c r="L270" s="84"/>
      <c r="M270" s="84"/>
      <c r="N270" s="84"/>
      <c r="O270" s="84"/>
      <c r="P270" s="84"/>
      <c r="Q270" s="84"/>
      <c r="R270" s="84"/>
    </row>
    <row r="271" ht="15.75" customHeight="1">
      <c r="A271" s="85">
        <v>1.2099051E7</v>
      </c>
      <c r="B271" s="98" t="s">
        <v>557</v>
      </c>
      <c r="C271" s="86" t="s">
        <v>558</v>
      </c>
      <c r="D271" s="88"/>
      <c r="E271" s="100"/>
      <c r="F271" s="100"/>
      <c r="G271" s="93"/>
      <c r="H271" s="88"/>
      <c r="I271" s="99"/>
      <c r="K271" s="84"/>
      <c r="L271" s="84"/>
      <c r="M271" s="84"/>
      <c r="N271" s="84"/>
      <c r="O271" s="84"/>
      <c r="P271" s="84"/>
      <c r="Q271" s="84"/>
      <c r="R271" s="84"/>
    </row>
    <row r="272" ht="15.75" customHeight="1">
      <c r="A272" s="85">
        <v>1.2099052E7</v>
      </c>
      <c r="B272" s="98" t="s">
        <v>559</v>
      </c>
      <c r="C272" s="59"/>
      <c r="D272" s="88"/>
      <c r="E272" s="100"/>
      <c r="F272" s="100"/>
      <c r="G272" s="93"/>
      <c r="H272" s="88"/>
      <c r="I272" s="99"/>
      <c r="K272" s="84"/>
      <c r="L272" s="84"/>
      <c r="M272" s="84"/>
      <c r="N272" s="84"/>
      <c r="O272" s="84"/>
      <c r="P272" s="84"/>
      <c r="Q272" s="84"/>
      <c r="R272" s="84"/>
    </row>
    <row r="273" ht="15.75" customHeight="1">
      <c r="A273" s="85">
        <v>1.2099053E7</v>
      </c>
      <c r="B273" s="98" t="s">
        <v>560</v>
      </c>
      <c r="C273" s="73"/>
      <c r="D273" s="88"/>
      <c r="E273" s="100"/>
      <c r="F273" s="100"/>
      <c r="G273" s="93"/>
      <c r="H273" s="88"/>
      <c r="I273" s="99"/>
      <c r="K273" s="84"/>
      <c r="L273" s="84"/>
      <c r="M273" s="84"/>
      <c r="N273" s="84"/>
      <c r="O273" s="84"/>
      <c r="P273" s="84"/>
      <c r="Q273" s="84"/>
      <c r="R273" s="84"/>
    </row>
    <row r="274" ht="15.75" customHeight="1">
      <c r="A274" s="105">
        <v>1.2099301E7</v>
      </c>
      <c r="B274" s="105" t="s">
        <v>561</v>
      </c>
      <c r="C274" s="86" t="s">
        <v>562</v>
      </c>
      <c r="D274" s="88"/>
      <c r="E274" s="100"/>
      <c r="F274" s="100"/>
      <c r="G274" s="93"/>
      <c r="H274" s="88"/>
      <c r="I274" s="99"/>
      <c r="K274" s="84"/>
      <c r="L274" s="84"/>
      <c r="M274" s="84"/>
      <c r="N274" s="84"/>
      <c r="O274" s="84"/>
      <c r="P274" s="84"/>
      <c r="Q274" s="84"/>
      <c r="R274" s="84"/>
    </row>
    <row r="275" ht="15.75" customHeight="1">
      <c r="A275" s="105">
        <v>1.2099302E7</v>
      </c>
      <c r="B275" s="105" t="s">
        <v>563</v>
      </c>
      <c r="C275" s="59"/>
      <c r="D275" s="88"/>
      <c r="E275" s="100"/>
      <c r="F275" s="100"/>
      <c r="G275" s="93"/>
      <c r="H275" s="88"/>
      <c r="I275" s="99"/>
      <c r="K275" s="84"/>
      <c r="L275" s="84"/>
      <c r="M275" s="84"/>
      <c r="N275" s="84"/>
      <c r="O275" s="84"/>
      <c r="P275" s="84"/>
      <c r="Q275" s="84"/>
      <c r="R275" s="84"/>
    </row>
    <row r="276" ht="15.75" customHeight="1">
      <c r="A276" s="105">
        <v>1.2099303E7</v>
      </c>
      <c r="B276" s="106" t="s">
        <v>564</v>
      </c>
      <c r="C276" s="73"/>
      <c r="D276" s="88"/>
      <c r="E276" s="100"/>
      <c r="F276" s="100"/>
      <c r="G276" s="93"/>
      <c r="H276" s="88"/>
      <c r="I276" s="99"/>
      <c r="K276" s="84"/>
      <c r="L276" s="84"/>
      <c r="M276" s="84"/>
      <c r="N276" s="84"/>
      <c r="O276" s="84"/>
      <c r="P276" s="84"/>
      <c r="Q276" s="84"/>
      <c r="R276" s="84"/>
    </row>
    <row r="277" ht="15.75" customHeight="1">
      <c r="A277" s="105">
        <v>1.2099304E7</v>
      </c>
      <c r="B277" s="105" t="s">
        <v>565</v>
      </c>
      <c r="C277" s="107" t="s">
        <v>566</v>
      </c>
      <c r="D277" s="88"/>
      <c r="E277" s="100"/>
      <c r="F277" s="100"/>
      <c r="G277" s="93"/>
      <c r="H277" s="88"/>
      <c r="I277" s="99"/>
      <c r="K277" s="84"/>
      <c r="L277" s="84"/>
      <c r="M277" s="84"/>
      <c r="N277" s="84"/>
      <c r="O277" s="84"/>
      <c r="P277" s="84"/>
      <c r="Q277" s="84"/>
      <c r="R277" s="84"/>
    </row>
    <row r="278" ht="15.75" customHeight="1">
      <c r="A278" s="105">
        <v>1.2099305E7</v>
      </c>
      <c r="B278" s="105" t="s">
        <v>567</v>
      </c>
      <c r="C278" s="59"/>
      <c r="D278" s="88"/>
      <c r="E278" s="100"/>
      <c r="F278" s="100"/>
      <c r="G278" s="93"/>
      <c r="H278" s="88"/>
      <c r="I278" s="99"/>
      <c r="K278" s="84"/>
      <c r="L278" s="84"/>
      <c r="M278" s="84"/>
      <c r="N278" s="84"/>
      <c r="O278" s="84"/>
      <c r="P278" s="84"/>
      <c r="Q278" s="84"/>
      <c r="R278" s="84"/>
    </row>
    <row r="279" ht="15.75" customHeight="1">
      <c r="A279" s="105">
        <v>1.2099306E7</v>
      </c>
      <c r="B279" s="106" t="s">
        <v>568</v>
      </c>
      <c r="C279" s="73"/>
      <c r="D279" s="88"/>
      <c r="E279" s="100"/>
      <c r="F279" s="100"/>
      <c r="G279" s="93"/>
      <c r="H279" s="88"/>
      <c r="I279" s="99"/>
      <c r="K279" s="84"/>
      <c r="L279" s="84"/>
      <c r="M279" s="84"/>
      <c r="N279" s="84"/>
      <c r="O279" s="84"/>
      <c r="P279" s="84"/>
      <c r="Q279" s="84"/>
      <c r="R279" s="84"/>
    </row>
    <row r="280" ht="15.75" customHeight="1">
      <c r="C280" s="86" t="s">
        <v>569</v>
      </c>
      <c r="D280" s="88"/>
      <c r="E280" s="100"/>
      <c r="F280" s="100"/>
      <c r="G280" s="93"/>
      <c r="H280" s="88"/>
      <c r="I280" s="99"/>
      <c r="K280" s="84"/>
      <c r="L280" s="84"/>
      <c r="M280" s="84"/>
      <c r="N280" s="84"/>
      <c r="O280" s="84"/>
      <c r="P280" s="84"/>
      <c r="Q280" s="84"/>
      <c r="R280" s="84"/>
    </row>
    <row r="281" ht="15.75" customHeight="1">
      <c r="A281" s="85">
        <v>3.00001E7</v>
      </c>
      <c r="B281" s="108" t="s">
        <v>570</v>
      </c>
      <c r="C281" s="59"/>
      <c r="D281" s="88"/>
      <c r="E281" s="100"/>
      <c r="F281" s="92"/>
      <c r="G281" s="93"/>
      <c r="H281" s="88"/>
      <c r="I281" s="99"/>
      <c r="K281" s="84"/>
      <c r="L281" s="84"/>
      <c r="M281" s="84"/>
      <c r="N281" s="84"/>
      <c r="O281" s="84"/>
      <c r="P281" s="84"/>
      <c r="Q281" s="84"/>
      <c r="R281" s="84"/>
    </row>
    <row r="282" ht="15.75" customHeight="1">
      <c r="A282" s="109"/>
      <c r="B282" s="110"/>
      <c r="C282" s="59"/>
      <c r="D282" s="88"/>
      <c r="G282" s="93"/>
      <c r="H282" s="88"/>
      <c r="I282" s="99"/>
      <c r="K282" s="84"/>
      <c r="L282" s="84"/>
      <c r="M282" s="84"/>
      <c r="N282" s="84"/>
      <c r="O282" s="84"/>
      <c r="P282" s="84"/>
      <c r="Q282" s="84"/>
      <c r="R282" s="84"/>
    </row>
    <row r="283" ht="15.75" customHeight="1">
      <c r="A283" s="109">
        <v>1.2021E7</v>
      </c>
      <c r="B283" s="110" t="s">
        <v>571</v>
      </c>
      <c r="C283" s="59"/>
      <c r="D283" s="88"/>
      <c r="E283" s="111"/>
      <c r="F283" s="92" t="s">
        <v>247</v>
      </c>
      <c r="G283" s="93"/>
      <c r="H283" s="88"/>
      <c r="I283" s="99"/>
      <c r="K283" s="84"/>
      <c r="L283" s="84"/>
      <c r="M283" s="84"/>
      <c r="N283" s="84"/>
      <c r="O283" s="84"/>
      <c r="P283" s="84"/>
      <c r="Q283" s="84"/>
      <c r="R283" s="84"/>
    </row>
    <row r="284" ht="15.75" customHeight="1">
      <c r="A284" s="85">
        <v>1.2021001E7</v>
      </c>
      <c r="B284" s="112" t="s">
        <v>572</v>
      </c>
      <c r="C284" s="59"/>
      <c r="D284" s="88"/>
      <c r="E284" s="92"/>
      <c r="F284" s="92"/>
      <c r="G284" s="93"/>
      <c r="H284" s="88"/>
      <c r="I284" s="99"/>
      <c r="K284" s="84"/>
      <c r="L284" s="84"/>
      <c r="M284" s="84"/>
      <c r="N284" s="84"/>
      <c r="O284" s="84"/>
      <c r="P284" s="84"/>
      <c r="Q284" s="84"/>
      <c r="R284" s="84"/>
    </row>
    <row r="285" ht="15.75" customHeight="1">
      <c r="A285" s="85">
        <v>1.2021002E7</v>
      </c>
      <c r="B285" s="113" t="s">
        <v>573</v>
      </c>
      <c r="C285" s="59"/>
      <c r="D285" s="88"/>
      <c r="E285" s="92" t="s">
        <v>247</v>
      </c>
      <c r="F285" s="92" t="s">
        <v>247</v>
      </c>
      <c r="G285" s="93"/>
      <c r="H285" s="88"/>
      <c r="I285" s="99"/>
      <c r="K285" s="84"/>
      <c r="L285" s="84"/>
      <c r="M285" s="84"/>
      <c r="N285" s="84"/>
      <c r="O285" s="84"/>
      <c r="P285" s="84"/>
      <c r="Q285" s="84"/>
      <c r="R285" s="84"/>
    </row>
    <row r="286" ht="15.75" customHeight="1">
      <c r="A286" s="85">
        <v>1.2021003E7</v>
      </c>
      <c r="B286" s="113" t="s">
        <v>574</v>
      </c>
      <c r="C286" s="59"/>
      <c r="D286" s="88"/>
      <c r="E286" s="100"/>
      <c r="F286" s="100"/>
      <c r="G286" s="93"/>
      <c r="H286" s="88"/>
      <c r="I286" s="99"/>
      <c r="K286" s="84"/>
      <c r="L286" s="84"/>
      <c r="M286" s="84"/>
      <c r="N286" s="84"/>
      <c r="O286" s="84"/>
      <c r="P286" s="84"/>
      <c r="Q286" s="84"/>
      <c r="R286" s="84"/>
    </row>
    <row r="287" ht="15.75" customHeight="1">
      <c r="A287" s="85">
        <v>1.2021004E7</v>
      </c>
      <c r="B287" s="113" t="s">
        <v>575</v>
      </c>
      <c r="C287" s="59"/>
      <c r="D287" s="88"/>
      <c r="E287" s="100"/>
      <c r="F287" s="100"/>
      <c r="G287" s="93"/>
      <c r="H287" s="88"/>
      <c r="I287" s="99"/>
      <c r="K287" s="84"/>
      <c r="L287" s="84"/>
      <c r="M287" s="84"/>
      <c r="N287" s="84"/>
      <c r="O287" s="84"/>
      <c r="P287" s="84"/>
      <c r="Q287" s="84"/>
      <c r="R287" s="84"/>
    </row>
    <row r="288" ht="15.75" customHeight="1">
      <c r="A288" s="85">
        <v>1.2021005E7</v>
      </c>
      <c r="B288" s="113" t="s">
        <v>576</v>
      </c>
      <c r="C288" s="59"/>
      <c r="D288" s="88"/>
      <c r="E288" s="100"/>
      <c r="F288" s="100"/>
      <c r="G288" s="93"/>
      <c r="H288" s="88"/>
      <c r="I288" s="99"/>
      <c r="K288" s="84"/>
      <c r="L288" s="84"/>
      <c r="M288" s="84"/>
      <c r="N288" s="84"/>
      <c r="O288" s="84"/>
      <c r="P288" s="84"/>
      <c r="Q288" s="84"/>
      <c r="R288" s="84"/>
    </row>
    <row r="289" ht="15.75" customHeight="1">
      <c r="A289" s="85">
        <v>1.2021006E7</v>
      </c>
      <c r="B289" s="113" t="s">
        <v>577</v>
      </c>
      <c r="C289" s="59"/>
      <c r="D289" s="88"/>
      <c r="E289" s="100"/>
      <c r="F289" s="100"/>
      <c r="G289" s="93"/>
      <c r="H289" s="88"/>
      <c r="I289" s="99"/>
      <c r="K289" s="84"/>
      <c r="L289" s="84"/>
      <c r="M289" s="84"/>
      <c r="N289" s="84"/>
      <c r="O289" s="84"/>
      <c r="P289" s="84"/>
      <c r="Q289" s="84"/>
      <c r="R289" s="84"/>
    </row>
    <row r="290" ht="15.75" customHeight="1">
      <c r="A290" s="85">
        <v>1.2021007E7</v>
      </c>
      <c r="B290" s="110" t="s">
        <v>578</v>
      </c>
      <c r="C290" s="59"/>
      <c r="D290" s="88"/>
      <c r="E290" s="100"/>
      <c r="F290" s="100"/>
      <c r="G290" s="93"/>
      <c r="H290" s="88"/>
      <c r="I290" s="99"/>
      <c r="K290" s="84"/>
      <c r="L290" s="84"/>
      <c r="M290" s="84"/>
      <c r="N290" s="84"/>
      <c r="O290" s="84"/>
      <c r="P290" s="84"/>
      <c r="Q290" s="84"/>
      <c r="R290" s="84"/>
    </row>
    <row r="291" ht="15.75" customHeight="1">
      <c r="A291" s="85">
        <v>1.2021008E7</v>
      </c>
      <c r="B291" s="113" t="s">
        <v>579</v>
      </c>
      <c r="C291" s="59"/>
      <c r="D291" s="88"/>
      <c r="E291" s="92" t="s">
        <v>235</v>
      </c>
      <c r="F291" s="100"/>
      <c r="G291" s="93"/>
      <c r="H291" s="88"/>
      <c r="I291" s="99"/>
      <c r="K291" s="84"/>
      <c r="L291" s="84"/>
      <c r="M291" s="84"/>
      <c r="N291" s="84"/>
      <c r="O291" s="84"/>
      <c r="P291" s="84"/>
      <c r="Q291" s="84"/>
      <c r="R291" s="84"/>
    </row>
    <row r="292" ht="15.75" customHeight="1">
      <c r="A292" s="85">
        <v>3.0010011E7</v>
      </c>
      <c r="B292" s="113" t="s">
        <v>580</v>
      </c>
      <c r="C292" s="59"/>
      <c r="D292" s="88"/>
      <c r="E292" s="104" t="s">
        <v>247</v>
      </c>
      <c r="F292" s="92" t="s">
        <v>247</v>
      </c>
      <c r="G292" s="93"/>
      <c r="H292" s="88"/>
      <c r="I292" s="99"/>
      <c r="K292" s="84"/>
      <c r="L292" s="84"/>
      <c r="M292" s="84"/>
      <c r="N292" s="84"/>
      <c r="O292" s="84"/>
      <c r="P292" s="84"/>
      <c r="Q292" s="84"/>
      <c r="R292" s="84"/>
    </row>
    <row r="293" ht="15.75" customHeight="1">
      <c r="A293" s="85">
        <v>1.2022001E7</v>
      </c>
      <c r="B293" s="113" t="s">
        <v>581</v>
      </c>
      <c r="C293" s="59"/>
      <c r="D293" s="88"/>
      <c r="E293" s="100"/>
      <c r="F293" s="104"/>
      <c r="G293" s="93"/>
      <c r="H293" s="88"/>
      <c r="I293" s="99"/>
      <c r="K293" s="84"/>
      <c r="L293" s="84"/>
      <c r="M293" s="84"/>
      <c r="N293" s="84"/>
      <c r="O293" s="84"/>
      <c r="P293" s="84"/>
      <c r="Q293" s="84"/>
      <c r="R293" s="84"/>
    </row>
    <row r="294" ht="15.75" customHeight="1">
      <c r="A294" s="85">
        <v>1.2022002E7</v>
      </c>
      <c r="B294" s="113" t="s">
        <v>582</v>
      </c>
      <c r="C294" s="59"/>
      <c r="D294" s="88"/>
      <c r="E294" s="100"/>
      <c r="F294" s="104"/>
      <c r="G294" s="105" t="s">
        <v>428</v>
      </c>
      <c r="H294" s="88"/>
      <c r="I294" s="99"/>
      <c r="K294" s="84"/>
      <c r="L294" s="84"/>
      <c r="M294" s="84"/>
      <c r="N294" s="84"/>
      <c r="O294" s="84"/>
      <c r="P294" s="84"/>
      <c r="Q294" s="84"/>
      <c r="R294" s="84"/>
    </row>
    <row r="295" ht="15.75" customHeight="1">
      <c r="A295" s="85">
        <v>1.2022003E7</v>
      </c>
      <c r="B295" s="113" t="s">
        <v>583</v>
      </c>
      <c r="C295" s="59"/>
      <c r="D295" s="88"/>
      <c r="E295" s="100"/>
      <c r="F295" s="104"/>
      <c r="G295" s="93"/>
      <c r="H295" s="88"/>
      <c r="I295" s="99"/>
      <c r="K295" s="84"/>
      <c r="L295" s="84"/>
      <c r="M295" s="84"/>
      <c r="N295" s="84"/>
      <c r="O295" s="84"/>
      <c r="P295" s="84"/>
      <c r="Q295" s="84"/>
      <c r="R295" s="84"/>
    </row>
    <row r="296" ht="15.75" customHeight="1">
      <c r="A296" s="85">
        <v>1.2022004E7</v>
      </c>
      <c r="B296" s="113" t="s">
        <v>584</v>
      </c>
      <c r="C296" s="59"/>
      <c r="D296" s="88"/>
      <c r="E296" s="100"/>
      <c r="F296" s="100"/>
      <c r="G296" s="93"/>
      <c r="H296" s="88"/>
      <c r="I296" s="99"/>
      <c r="K296" s="84"/>
      <c r="L296" s="84"/>
      <c r="M296" s="84"/>
      <c r="N296" s="84"/>
      <c r="O296" s="84"/>
      <c r="P296" s="84"/>
      <c r="Q296" s="84"/>
      <c r="R296" s="84"/>
    </row>
    <row r="297" ht="15.75" customHeight="1">
      <c r="A297" s="85">
        <v>1.2022005E7</v>
      </c>
      <c r="B297" s="113" t="s">
        <v>585</v>
      </c>
      <c r="C297" s="59"/>
      <c r="D297" s="88"/>
      <c r="E297" s="100"/>
      <c r="F297" s="100"/>
      <c r="G297" s="93"/>
      <c r="H297" s="88"/>
      <c r="I297" s="99"/>
      <c r="K297" s="84"/>
      <c r="L297" s="84"/>
      <c r="M297" s="84"/>
      <c r="N297" s="84"/>
      <c r="O297" s="84"/>
      <c r="P297" s="84"/>
      <c r="Q297" s="84"/>
      <c r="R297" s="84"/>
    </row>
    <row r="298" ht="15.75" customHeight="1">
      <c r="A298" s="85">
        <v>1.2022006E7</v>
      </c>
      <c r="B298" s="113" t="s">
        <v>586</v>
      </c>
      <c r="C298" s="59"/>
      <c r="D298" s="88"/>
      <c r="E298" s="100"/>
      <c r="F298" s="100"/>
      <c r="G298" s="93"/>
      <c r="H298" s="88"/>
      <c r="I298" s="99"/>
      <c r="K298" s="84"/>
      <c r="L298" s="84"/>
      <c r="M298" s="84"/>
      <c r="N298" s="84"/>
      <c r="O298" s="84"/>
      <c r="P298" s="84"/>
      <c r="Q298" s="84"/>
      <c r="R298" s="84"/>
    </row>
    <row r="299" ht="15.75" customHeight="1">
      <c r="A299" s="85">
        <v>1.2022007E7</v>
      </c>
      <c r="B299" s="113" t="s">
        <v>587</v>
      </c>
      <c r="C299" s="59"/>
      <c r="D299" s="88"/>
      <c r="E299" s="100"/>
      <c r="F299" s="100"/>
      <c r="G299" s="93"/>
      <c r="H299" s="88"/>
      <c r="I299" s="99"/>
      <c r="K299" s="84"/>
      <c r="L299" s="84"/>
      <c r="M299" s="84"/>
      <c r="N299" s="84"/>
      <c r="O299" s="84"/>
      <c r="P299" s="84"/>
      <c r="Q299" s="84"/>
      <c r="R299" s="84"/>
    </row>
    <row r="300" ht="15.75" customHeight="1">
      <c r="A300" s="85">
        <v>1.2022008E7</v>
      </c>
      <c r="B300" s="113" t="s">
        <v>588</v>
      </c>
      <c r="C300" s="59"/>
      <c r="D300" s="88"/>
      <c r="E300" s="100"/>
      <c r="F300" s="100"/>
      <c r="G300" s="93"/>
      <c r="H300" s="88"/>
      <c r="I300" s="99"/>
      <c r="K300" s="84"/>
      <c r="L300" s="84"/>
      <c r="M300" s="84"/>
      <c r="N300" s="84"/>
      <c r="O300" s="84"/>
      <c r="P300" s="84"/>
      <c r="Q300" s="84"/>
      <c r="R300" s="84"/>
    </row>
    <row r="301" ht="15.75" customHeight="1">
      <c r="A301" s="98">
        <v>1.2022009E7</v>
      </c>
      <c r="B301" s="113" t="s">
        <v>589</v>
      </c>
      <c r="C301" s="59"/>
      <c r="D301" s="88"/>
      <c r="E301" s="100"/>
      <c r="F301" s="104"/>
      <c r="G301" s="105" t="s">
        <v>428</v>
      </c>
      <c r="H301" s="88"/>
      <c r="I301" s="99"/>
      <c r="K301" s="84"/>
      <c r="L301" s="84"/>
      <c r="M301" s="84"/>
      <c r="N301" s="84"/>
      <c r="O301" s="84"/>
      <c r="P301" s="84"/>
      <c r="Q301" s="84"/>
      <c r="R301" s="84"/>
    </row>
    <row r="302" ht="15.75" customHeight="1">
      <c r="A302" s="85">
        <v>1.202201E7</v>
      </c>
      <c r="B302" s="113" t="s">
        <v>590</v>
      </c>
      <c r="C302" s="59"/>
      <c r="D302" s="88"/>
      <c r="E302" s="100"/>
      <c r="F302" s="100"/>
      <c r="G302" s="105"/>
      <c r="H302" s="88"/>
      <c r="I302" s="99"/>
      <c r="K302" s="84"/>
      <c r="L302" s="84"/>
      <c r="M302" s="84"/>
      <c r="N302" s="84"/>
      <c r="O302" s="84"/>
      <c r="P302" s="84"/>
      <c r="Q302" s="84"/>
      <c r="R302" s="84"/>
    </row>
    <row r="303" ht="15.75" customHeight="1">
      <c r="A303" s="85">
        <v>1.2022011E7</v>
      </c>
      <c r="B303" s="113" t="s">
        <v>591</v>
      </c>
      <c r="C303" s="59"/>
      <c r="D303" s="88"/>
      <c r="E303" s="100"/>
      <c r="F303" s="100"/>
      <c r="G303" s="93"/>
      <c r="H303" s="88"/>
      <c r="I303" s="99"/>
      <c r="K303" s="84"/>
      <c r="L303" s="84"/>
      <c r="M303" s="84"/>
      <c r="N303" s="84"/>
      <c r="O303" s="84"/>
      <c r="P303" s="84"/>
      <c r="Q303" s="84"/>
      <c r="R303" s="84"/>
    </row>
    <row r="304" ht="15.75" customHeight="1">
      <c r="A304" s="98">
        <v>1.2022012E7</v>
      </c>
      <c r="B304" s="113" t="s">
        <v>592</v>
      </c>
      <c r="C304" s="59"/>
      <c r="D304" s="88"/>
      <c r="E304" s="100"/>
      <c r="F304" s="100"/>
      <c r="G304" s="93"/>
      <c r="H304" s="88"/>
      <c r="I304" s="99"/>
      <c r="K304" s="84"/>
      <c r="L304" s="84"/>
      <c r="M304" s="84"/>
      <c r="N304" s="84"/>
      <c r="O304" s="84"/>
      <c r="P304" s="84"/>
      <c r="Q304" s="84"/>
      <c r="R304" s="84"/>
    </row>
    <row r="305" ht="15.75" customHeight="1">
      <c r="A305" s="85">
        <v>1.2024001E7</v>
      </c>
      <c r="B305" s="113" t="s">
        <v>593</v>
      </c>
      <c r="C305" s="59"/>
      <c r="D305" s="88"/>
      <c r="E305" s="100"/>
      <c r="F305" s="100"/>
      <c r="G305" s="93"/>
      <c r="H305" s="88"/>
      <c r="I305" s="99"/>
      <c r="K305" s="84"/>
      <c r="L305" s="84"/>
      <c r="M305" s="84"/>
      <c r="N305" s="84"/>
      <c r="O305" s="84"/>
      <c r="P305" s="84"/>
      <c r="Q305" s="84"/>
      <c r="R305" s="84"/>
    </row>
    <row r="306" ht="15.75" customHeight="1">
      <c r="A306" s="85">
        <v>1.2024002E7</v>
      </c>
      <c r="B306" s="113" t="s">
        <v>594</v>
      </c>
      <c r="C306" s="59"/>
      <c r="D306" s="88"/>
      <c r="E306" s="100"/>
      <c r="F306" s="100"/>
      <c r="G306" s="93"/>
      <c r="H306" s="88"/>
      <c r="I306" s="99"/>
      <c r="K306" s="84"/>
      <c r="L306" s="84"/>
      <c r="M306" s="84"/>
      <c r="N306" s="84"/>
      <c r="O306" s="84"/>
      <c r="P306" s="84"/>
      <c r="Q306" s="84"/>
      <c r="R306" s="84"/>
    </row>
    <row r="307" ht="15.75" customHeight="1">
      <c r="A307" s="105">
        <v>1.2051001E7</v>
      </c>
      <c r="B307" s="113" t="s">
        <v>595</v>
      </c>
      <c r="C307" s="59"/>
      <c r="D307" s="88"/>
      <c r="E307" s="100"/>
      <c r="F307" s="100"/>
      <c r="G307" s="93"/>
      <c r="H307" s="88"/>
      <c r="I307" s="99"/>
      <c r="K307" s="84"/>
      <c r="L307" s="84"/>
      <c r="M307" s="84"/>
      <c r="N307" s="84"/>
      <c r="O307" s="84"/>
      <c r="P307" s="84"/>
      <c r="Q307" s="84"/>
      <c r="R307" s="84"/>
    </row>
    <row r="308" ht="15.75" customHeight="1">
      <c r="A308" s="105">
        <v>1.2051002E7</v>
      </c>
      <c r="B308" s="113" t="s">
        <v>596</v>
      </c>
      <c r="C308" s="59"/>
      <c r="D308" s="88"/>
      <c r="E308" s="100"/>
      <c r="F308" s="104"/>
      <c r="G308" s="105" t="s">
        <v>428</v>
      </c>
      <c r="H308" s="88"/>
      <c r="I308" s="99"/>
      <c r="K308" s="84"/>
      <c r="L308" s="84"/>
      <c r="M308" s="84"/>
      <c r="N308" s="84"/>
      <c r="O308" s="84"/>
      <c r="P308" s="84"/>
      <c r="Q308" s="84"/>
      <c r="R308" s="84"/>
    </row>
    <row r="309" ht="15.75" customHeight="1">
      <c r="A309" s="85"/>
      <c r="B309" s="113"/>
      <c r="C309" s="59"/>
      <c r="D309" s="88"/>
      <c r="E309" s="100"/>
      <c r="F309" s="92"/>
      <c r="G309" s="93"/>
      <c r="H309" s="88"/>
      <c r="I309" s="99"/>
      <c r="K309" s="84"/>
      <c r="L309" s="84"/>
      <c r="M309" s="84"/>
      <c r="N309" s="84"/>
      <c r="O309" s="84"/>
      <c r="P309" s="84"/>
      <c r="Q309" s="84"/>
      <c r="R309" s="84"/>
    </row>
    <row r="310" ht="15.75" customHeight="1">
      <c r="A310" s="109">
        <v>1.2029E7</v>
      </c>
      <c r="B310" s="110" t="s">
        <v>597</v>
      </c>
      <c r="C310" s="59"/>
      <c r="D310" s="88"/>
      <c r="E310" s="111"/>
      <c r="F310" s="92" t="s">
        <v>247</v>
      </c>
      <c r="G310" s="93"/>
      <c r="H310" s="88"/>
      <c r="I310" s="99"/>
      <c r="K310" s="84"/>
      <c r="L310" s="84"/>
      <c r="M310" s="84"/>
      <c r="N310" s="84"/>
      <c r="O310" s="84"/>
      <c r="P310" s="84"/>
      <c r="Q310" s="84"/>
      <c r="R310" s="84"/>
    </row>
    <row r="311" ht="15.75" customHeight="1">
      <c r="A311" s="85">
        <v>1.2029001E7</v>
      </c>
      <c r="B311" s="114" t="s">
        <v>598</v>
      </c>
      <c r="C311" s="59"/>
      <c r="D311" s="88"/>
      <c r="E311" s="92"/>
      <c r="F311" s="92"/>
      <c r="G311" s="93"/>
      <c r="H311" s="88"/>
      <c r="I311" s="99"/>
      <c r="K311" s="84"/>
      <c r="L311" s="84"/>
      <c r="M311" s="84"/>
      <c r="N311" s="84"/>
      <c r="O311" s="84"/>
      <c r="P311" s="84"/>
      <c r="Q311" s="84"/>
      <c r="R311" s="84"/>
    </row>
    <row r="312" ht="15.75" customHeight="1">
      <c r="A312" s="85">
        <v>1.2029002E7</v>
      </c>
      <c r="B312" s="113" t="s">
        <v>599</v>
      </c>
      <c r="C312" s="59"/>
      <c r="D312" s="88"/>
      <c r="E312" s="92" t="s">
        <v>247</v>
      </c>
      <c r="F312" s="92" t="s">
        <v>247</v>
      </c>
      <c r="G312" s="93"/>
      <c r="H312" s="88"/>
      <c r="I312" s="99"/>
      <c r="K312" s="84"/>
      <c r="L312" s="84"/>
      <c r="M312" s="84"/>
      <c r="N312" s="84"/>
      <c r="O312" s="84"/>
      <c r="P312" s="84"/>
      <c r="Q312" s="84"/>
      <c r="R312" s="84"/>
    </row>
    <row r="313" ht="15.75" customHeight="1">
      <c r="A313" s="85">
        <v>1.2029003E7</v>
      </c>
      <c r="B313" s="113" t="s">
        <v>600</v>
      </c>
      <c r="C313" s="59"/>
      <c r="D313" s="88"/>
      <c r="E313" s="100"/>
      <c r="F313" s="100"/>
      <c r="G313" s="93"/>
      <c r="H313" s="88"/>
      <c r="I313" s="99"/>
      <c r="K313" s="84"/>
      <c r="L313" s="84"/>
      <c r="M313" s="84"/>
      <c r="N313" s="84"/>
      <c r="O313" s="84"/>
      <c r="P313" s="84"/>
      <c r="Q313" s="84"/>
      <c r="R313" s="84"/>
    </row>
    <row r="314" ht="15.75" customHeight="1">
      <c r="A314" s="85">
        <v>1.2029004E7</v>
      </c>
      <c r="B314" s="113" t="s">
        <v>601</v>
      </c>
      <c r="C314" s="59"/>
      <c r="D314" s="88"/>
      <c r="E314" s="100"/>
      <c r="F314" s="100"/>
      <c r="G314" s="93"/>
      <c r="H314" s="88"/>
      <c r="I314" s="99"/>
      <c r="K314" s="84"/>
      <c r="L314" s="84"/>
      <c r="M314" s="84"/>
      <c r="N314" s="84"/>
      <c r="O314" s="84"/>
      <c r="P314" s="84"/>
      <c r="Q314" s="84"/>
      <c r="R314" s="84"/>
    </row>
    <row r="315" ht="15.75" customHeight="1">
      <c r="A315" s="85">
        <v>1.2029005E7</v>
      </c>
      <c r="B315" s="113" t="s">
        <v>602</v>
      </c>
      <c r="C315" s="59"/>
      <c r="D315" s="88"/>
      <c r="E315" s="100"/>
      <c r="F315" s="100"/>
      <c r="G315" s="93"/>
      <c r="H315" s="88"/>
      <c r="I315" s="99"/>
      <c r="K315" s="84"/>
      <c r="L315" s="84"/>
      <c r="M315" s="84"/>
      <c r="N315" s="84"/>
      <c r="O315" s="84"/>
      <c r="P315" s="84"/>
      <c r="Q315" s="84"/>
      <c r="R315" s="84"/>
    </row>
    <row r="316" ht="15.75" customHeight="1">
      <c r="A316" s="85">
        <v>1.2029006E7</v>
      </c>
      <c r="B316" s="113" t="s">
        <v>603</v>
      </c>
      <c r="C316" s="59"/>
      <c r="D316" s="88"/>
      <c r="E316" s="100"/>
      <c r="F316" s="100"/>
      <c r="G316" s="93"/>
      <c r="H316" s="88"/>
      <c r="I316" s="99"/>
      <c r="K316" s="84"/>
      <c r="L316" s="84"/>
      <c r="M316" s="84"/>
      <c r="N316" s="84"/>
      <c r="O316" s="84"/>
      <c r="P316" s="84"/>
      <c r="Q316" s="84"/>
      <c r="R316" s="84"/>
    </row>
    <row r="317" ht="15.75" customHeight="1">
      <c r="A317" s="85">
        <v>1.2029007E7</v>
      </c>
      <c r="B317" s="113" t="s">
        <v>604</v>
      </c>
      <c r="C317" s="59"/>
      <c r="D317" s="88"/>
      <c r="E317" s="100"/>
      <c r="F317" s="100"/>
      <c r="G317" s="93"/>
      <c r="H317" s="88"/>
      <c r="I317" s="99"/>
      <c r="K317" s="84"/>
      <c r="L317" s="84"/>
      <c r="M317" s="84"/>
      <c r="N317" s="84"/>
      <c r="O317" s="84"/>
      <c r="P317" s="84"/>
      <c r="Q317" s="84"/>
      <c r="R317" s="84"/>
    </row>
    <row r="318" ht="15.75" customHeight="1">
      <c r="A318" s="85">
        <v>1.2029008E7</v>
      </c>
      <c r="B318" s="113" t="s">
        <v>605</v>
      </c>
      <c r="C318" s="59"/>
      <c r="D318" s="88"/>
      <c r="E318" s="100"/>
      <c r="F318" s="100"/>
      <c r="G318" s="93"/>
      <c r="H318" s="88"/>
      <c r="I318" s="99"/>
      <c r="K318" s="84"/>
      <c r="L318" s="84"/>
      <c r="M318" s="84"/>
      <c r="N318" s="84"/>
      <c r="O318" s="84"/>
      <c r="P318" s="84"/>
      <c r="Q318" s="84"/>
      <c r="R318" s="84"/>
    </row>
    <row r="319" ht="15.75" customHeight="1">
      <c r="A319" s="85">
        <v>3.0010012E7</v>
      </c>
      <c r="B319" s="113" t="s">
        <v>606</v>
      </c>
      <c r="C319" s="59"/>
      <c r="D319" s="88"/>
      <c r="E319" s="104" t="s">
        <v>247</v>
      </c>
      <c r="F319" s="92" t="s">
        <v>247</v>
      </c>
      <c r="G319" s="115"/>
      <c r="H319" s="88"/>
      <c r="I319" s="99"/>
      <c r="K319" s="84"/>
      <c r="L319" s="84"/>
      <c r="M319" s="84"/>
      <c r="N319" s="84"/>
      <c r="O319" s="84"/>
      <c r="P319" s="84"/>
      <c r="Q319" s="84"/>
      <c r="R319" s="84"/>
    </row>
    <row r="320" ht="15.75" customHeight="1">
      <c r="A320" s="85">
        <v>1.2030001E7</v>
      </c>
      <c r="B320" s="113" t="s">
        <v>607</v>
      </c>
      <c r="C320" s="59"/>
      <c r="D320" s="88"/>
      <c r="E320" s="100"/>
      <c r="F320" s="100"/>
      <c r="G320" s="115"/>
      <c r="H320" s="88"/>
      <c r="I320" s="99"/>
      <c r="K320" s="84"/>
      <c r="L320" s="84"/>
      <c r="M320" s="84"/>
      <c r="N320" s="84"/>
      <c r="O320" s="84"/>
      <c r="P320" s="84"/>
      <c r="Q320" s="84"/>
      <c r="R320" s="84"/>
    </row>
    <row r="321" ht="15.75" customHeight="1">
      <c r="A321" s="85">
        <v>1.2030002E7</v>
      </c>
      <c r="B321" s="113" t="s">
        <v>608</v>
      </c>
      <c r="C321" s="59"/>
      <c r="D321" s="88"/>
      <c r="E321" s="100"/>
      <c r="F321" s="100"/>
      <c r="G321" s="93" t="s">
        <v>428</v>
      </c>
      <c r="H321" s="88"/>
      <c r="I321" s="99"/>
      <c r="K321" s="84"/>
      <c r="L321" s="84"/>
      <c r="M321" s="84"/>
      <c r="N321" s="84"/>
      <c r="O321" s="84"/>
      <c r="P321" s="84"/>
      <c r="Q321" s="84"/>
      <c r="R321" s="84"/>
    </row>
    <row r="322" ht="15.75" customHeight="1">
      <c r="A322" s="85">
        <v>1.2030003E7</v>
      </c>
      <c r="B322" s="113" t="s">
        <v>609</v>
      </c>
      <c r="C322" s="59"/>
      <c r="D322" s="88"/>
      <c r="E322" s="100"/>
      <c r="F322" s="100"/>
      <c r="G322" s="115"/>
      <c r="H322" s="88"/>
      <c r="I322" s="99"/>
      <c r="K322" s="84"/>
      <c r="L322" s="84"/>
      <c r="M322" s="84"/>
      <c r="N322" s="84"/>
      <c r="O322" s="84"/>
      <c r="P322" s="84"/>
      <c r="Q322" s="84"/>
      <c r="R322" s="84"/>
    </row>
    <row r="323" ht="15.75" customHeight="1">
      <c r="A323" s="85">
        <v>1.2030004E7</v>
      </c>
      <c r="B323" s="113" t="s">
        <v>610</v>
      </c>
      <c r="C323" s="59"/>
      <c r="D323" s="88"/>
      <c r="E323" s="100"/>
      <c r="F323" s="100"/>
      <c r="G323" s="93"/>
      <c r="H323" s="88"/>
      <c r="I323" s="99"/>
      <c r="K323" s="84"/>
      <c r="L323" s="84"/>
      <c r="M323" s="84"/>
      <c r="N323" s="84"/>
      <c r="O323" s="84"/>
      <c r="P323" s="84"/>
      <c r="Q323" s="84"/>
      <c r="R323" s="84"/>
    </row>
    <row r="324" ht="15.75" customHeight="1">
      <c r="A324" s="85">
        <v>1.2030005E7</v>
      </c>
      <c r="B324" s="113" t="s">
        <v>611</v>
      </c>
      <c r="C324" s="59"/>
      <c r="D324" s="88"/>
      <c r="E324" s="100"/>
      <c r="F324" s="100"/>
      <c r="G324" s="93"/>
      <c r="H324" s="88"/>
      <c r="I324" s="99"/>
      <c r="K324" s="84"/>
      <c r="L324" s="84"/>
      <c r="M324" s="84"/>
      <c r="N324" s="84"/>
      <c r="O324" s="84"/>
      <c r="P324" s="84"/>
      <c r="Q324" s="84"/>
      <c r="R324" s="84"/>
    </row>
    <row r="325" ht="15.75" customHeight="1">
      <c r="A325" s="85">
        <v>1.2030006E7</v>
      </c>
      <c r="B325" s="113" t="s">
        <v>612</v>
      </c>
      <c r="C325" s="59"/>
      <c r="D325" s="88"/>
      <c r="E325" s="100"/>
      <c r="F325" s="100"/>
      <c r="G325" s="93"/>
      <c r="H325" s="88"/>
      <c r="I325" s="99"/>
      <c r="K325" s="84"/>
      <c r="L325" s="84"/>
      <c r="M325" s="84"/>
      <c r="N325" s="84"/>
      <c r="O325" s="84"/>
      <c r="P325" s="84"/>
      <c r="Q325" s="84"/>
      <c r="R325" s="84"/>
    </row>
    <row r="326" ht="15.75" customHeight="1">
      <c r="A326" s="85">
        <v>1.2030007E7</v>
      </c>
      <c r="B326" s="113" t="s">
        <v>613</v>
      </c>
      <c r="C326" s="59"/>
      <c r="D326" s="88"/>
      <c r="E326" s="100"/>
      <c r="F326" s="100"/>
      <c r="G326" s="93"/>
      <c r="H326" s="88"/>
      <c r="I326" s="99"/>
      <c r="K326" s="84"/>
      <c r="L326" s="84"/>
      <c r="M326" s="84"/>
      <c r="N326" s="84"/>
      <c r="O326" s="84"/>
      <c r="P326" s="84"/>
      <c r="Q326" s="84"/>
      <c r="R326" s="84"/>
    </row>
    <row r="327" ht="15.75" customHeight="1">
      <c r="A327" s="85">
        <v>1.2030008E7</v>
      </c>
      <c r="B327" s="113" t="s">
        <v>614</v>
      </c>
      <c r="C327" s="59"/>
      <c r="D327" s="88"/>
      <c r="E327" s="100"/>
      <c r="F327" s="100"/>
      <c r="G327" s="93"/>
      <c r="H327" s="88"/>
      <c r="I327" s="99"/>
      <c r="K327" s="84"/>
      <c r="L327" s="84"/>
      <c r="M327" s="84"/>
      <c r="N327" s="84"/>
      <c r="O327" s="84"/>
      <c r="P327" s="84"/>
      <c r="Q327" s="84"/>
      <c r="R327" s="84"/>
    </row>
    <row r="328" ht="15.75" customHeight="1">
      <c r="A328" s="98">
        <v>1.2030009E7</v>
      </c>
      <c r="B328" s="113" t="s">
        <v>615</v>
      </c>
      <c r="C328" s="59"/>
      <c r="D328" s="88"/>
      <c r="E328" s="100"/>
      <c r="F328" s="100"/>
      <c r="G328" s="93" t="s">
        <v>428</v>
      </c>
      <c r="H328" s="88"/>
      <c r="I328" s="99"/>
      <c r="K328" s="84"/>
      <c r="L328" s="84"/>
      <c r="M328" s="84"/>
      <c r="N328" s="84"/>
      <c r="O328" s="84"/>
      <c r="P328" s="84"/>
      <c r="Q328" s="84"/>
      <c r="R328" s="84"/>
    </row>
    <row r="329" ht="15.75" customHeight="1">
      <c r="A329" s="98">
        <v>1.203001E7</v>
      </c>
      <c r="B329" s="113" t="s">
        <v>616</v>
      </c>
      <c r="C329" s="59"/>
      <c r="D329" s="88"/>
      <c r="E329" s="100"/>
      <c r="F329" s="100"/>
      <c r="G329" s="93"/>
      <c r="H329" s="88"/>
      <c r="I329" s="99"/>
      <c r="K329" s="84"/>
      <c r="L329" s="84"/>
      <c r="M329" s="84"/>
      <c r="N329" s="84"/>
      <c r="O329" s="84"/>
      <c r="P329" s="84"/>
      <c r="Q329" s="84"/>
      <c r="R329" s="84"/>
    </row>
    <row r="330" ht="15.75" customHeight="1">
      <c r="A330" s="98">
        <v>1.2030011E7</v>
      </c>
      <c r="B330" s="113" t="s">
        <v>617</v>
      </c>
      <c r="C330" s="59"/>
      <c r="D330" s="88"/>
      <c r="E330" s="100"/>
      <c r="F330" s="100"/>
      <c r="G330" s="93"/>
      <c r="H330" s="88"/>
      <c r="I330" s="99"/>
      <c r="K330" s="84"/>
      <c r="L330" s="84"/>
      <c r="M330" s="84"/>
      <c r="N330" s="84"/>
      <c r="O330" s="84"/>
      <c r="P330" s="84"/>
      <c r="Q330" s="84"/>
      <c r="R330" s="84"/>
    </row>
    <row r="331" ht="15.75" customHeight="1">
      <c r="A331" s="98">
        <v>1.2030012E7</v>
      </c>
      <c r="B331" s="113" t="s">
        <v>618</v>
      </c>
      <c r="C331" s="59"/>
      <c r="D331" s="88"/>
      <c r="E331" s="100"/>
      <c r="F331" s="100"/>
      <c r="G331" s="93"/>
      <c r="H331" s="88"/>
      <c r="I331" s="99"/>
      <c r="K331" s="84"/>
      <c r="L331" s="84"/>
      <c r="M331" s="84"/>
      <c r="N331" s="84"/>
      <c r="O331" s="84"/>
      <c r="P331" s="84"/>
      <c r="Q331" s="84"/>
      <c r="R331" s="84"/>
    </row>
    <row r="332" ht="15.75" customHeight="1">
      <c r="A332" s="85">
        <v>1.2032001E7</v>
      </c>
      <c r="B332" s="113" t="s">
        <v>619</v>
      </c>
      <c r="C332" s="59"/>
      <c r="D332" s="88"/>
      <c r="E332" s="100"/>
      <c r="F332" s="92"/>
      <c r="G332" s="93"/>
      <c r="H332" s="88"/>
      <c r="I332" s="99"/>
      <c r="K332" s="84"/>
      <c r="L332" s="84"/>
      <c r="M332" s="84"/>
      <c r="N332" s="84"/>
      <c r="O332" s="84"/>
      <c r="P332" s="84"/>
      <c r="Q332" s="84"/>
      <c r="R332" s="84"/>
    </row>
    <row r="333" ht="15.75" customHeight="1">
      <c r="A333" s="85">
        <v>1.2032002E7</v>
      </c>
      <c r="B333" s="113" t="s">
        <v>620</v>
      </c>
      <c r="C333" s="59"/>
      <c r="D333" s="88"/>
      <c r="E333" s="100"/>
      <c r="F333" s="100"/>
      <c r="G333" s="93"/>
      <c r="H333" s="88"/>
      <c r="I333" s="99"/>
      <c r="K333" s="84"/>
      <c r="L333" s="84"/>
      <c r="M333" s="84"/>
      <c r="N333" s="84"/>
      <c r="O333" s="84"/>
      <c r="P333" s="84"/>
      <c r="Q333" s="84"/>
      <c r="R333" s="84"/>
    </row>
    <row r="334" ht="15.75" customHeight="1">
      <c r="A334" s="105">
        <v>1.2052001E7</v>
      </c>
      <c r="B334" s="113" t="s">
        <v>621</v>
      </c>
      <c r="C334" s="59"/>
      <c r="D334" s="88"/>
      <c r="E334" s="100"/>
      <c r="F334" s="100"/>
      <c r="G334" s="93"/>
      <c r="H334" s="88"/>
      <c r="I334" s="99"/>
      <c r="K334" s="84"/>
      <c r="L334" s="84"/>
      <c r="M334" s="84"/>
      <c r="N334" s="84"/>
      <c r="O334" s="84"/>
      <c r="P334" s="84"/>
      <c r="Q334" s="84"/>
      <c r="R334" s="84"/>
    </row>
    <row r="335" ht="15.75" customHeight="1">
      <c r="A335" s="105">
        <v>1.2052002E7</v>
      </c>
      <c r="B335" s="113" t="s">
        <v>622</v>
      </c>
      <c r="C335" s="59"/>
      <c r="D335" s="88"/>
      <c r="E335" s="100"/>
      <c r="F335" s="104"/>
      <c r="G335" s="105" t="s">
        <v>428</v>
      </c>
      <c r="H335" s="88"/>
      <c r="I335" s="99"/>
      <c r="K335" s="84"/>
      <c r="L335" s="84"/>
      <c r="M335" s="84"/>
      <c r="N335" s="84"/>
      <c r="O335" s="84"/>
      <c r="P335" s="84"/>
      <c r="Q335" s="84"/>
      <c r="R335" s="84"/>
    </row>
    <row r="336" ht="15.75" customHeight="1">
      <c r="A336" s="85"/>
      <c r="B336" s="113"/>
      <c r="C336" s="59"/>
      <c r="D336" s="88"/>
      <c r="E336" s="100"/>
      <c r="F336" s="92"/>
      <c r="G336" s="93"/>
      <c r="H336" s="88"/>
      <c r="I336" s="99"/>
      <c r="K336" s="84"/>
      <c r="L336" s="84"/>
      <c r="M336" s="84"/>
      <c r="N336" s="84"/>
      <c r="O336" s="84"/>
      <c r="P336" s="84"/>
      <c r="Q336" s="84"/>
      <c r="R336" s="84"/>
    </row>
    <row r="337" ht="15.75" customHeight="1">
      <c r="A337" s="98">
        <v>1.2037E7</v>
      </c>
      <c r="B337" s="113" t="s">
        <v>623</v>
      </c>
      <c r="C337" s="59"/>
      <c r="D337" s="88"/>
      <c r="E337" s="111"/>
      <c r="F337" s="92" t="s">
        <v>247</v>
      </c>
      <c r="G337" s="93"/>
      <c r="H337" s="88"/>
      <c r="I337" s="99"/>
      <c r="K337" s="84"/>
      <c r="L337" s="84"/>
      <c r="M337" s="84"/>
      <c r="N337" s="84"/>
      <c r="O337" s="84"/>
      <c r="P337" s="84"/>
      <c r="Q337" s="84"/>
      <c r="R337" s="84"/>
    </row>
    <row r="338" ht="15.75" customHeight="1">
      <c r="A338" s="85">
        <v>1.2037001E7</v>
      </c>
      <c r="B338" s="112" t="s">
        <v>624</v>
      </c>
      <c r="C338" s="59"/>
      <c r="D338" s="88"/>
      <c r="E338" s="92"/>
      <c r="F338" s="92"/>
      <c r="G338" s="93"/>
      <c r="H338" s="88"/>
      <c r="I338" s="99"/>
      <c r="K338" s="84"/>
      <c r="L338" s="84"/>
      <c r="M338" s="84"/>
      <c r="N338" s="84"/>
      <c r="O338" s="84"/>
      <c r="P338" s="84"/>
      <c r="Q338" s="84"/>
      <c r="R338" s="84"/>
    </row>
    <row r="339" ht="15.75" customHeight="1">
      <c r="A339" s="85">
        <v>1.2037002E7</v>
      </c>
      <c r="B339" s="113" t="s">
        <v>625</v>
      </c>
      <c r="C339" s="59"/>
      <c r="D339" s="88"/>
      <c r="E339" s="92" t="s">
        <v>247</v>
      </c>
      <c r="F339" s="92" t="s">
        <v>247</v>
      </c>
      <c r="G339" s="93"/>
      <c r="H339" s="88"/>
      <c r="I339" s="99"/>
      <c r="K339" s="84"/>
      <c r="L339" s="84"/>
      <c r="M339" s="84"/>
      <c r="N339" s="84"/>
      <c r="O339" s="84"/>
      <c r="P339" s="84"/>
      <c r="Q339" s="84"/>
      <c r="R339" s="84"/>
    </row>
    <row r="340" ht="15.75" customHeight="1">
      <c r="A340" s="85">
        <v>1.2037003E7</v>
      </c>
      <c r="B340" s="113" t="s">
        <v>626</v>
      </c>
      <c r="C340" s="59"/>
      <c r="D340" s="88"/>
      <c r="E340" s="100"/>
      <c r="F340" s="100"/>
      <c r="G340" s="93"/>
      <c r="H340" s="88"/>
      <c r="I340" s="99"/>
      <c r="K340" s="84"/>
      <c r="L340" s="84"/>
      <c r="M340" s="84"/>
      <c r="N340" s="84"/>
      <c r="O340" s="84"/>
      <c r="P340" s="84"/>
      <c r="Q340" s="84"/>
      <c r="R340" s="84"/>
    </row>
    <row r="341" ht="15.75" customHeight="1">
      <c r="A341" s="85">
        <v>1.2037004E7</v>
      </c>
      <c r="B341" s="113" t="s">
        <v>627</v>
      </c>
      <c r="C341" s="59"/>
      <c r="D341" s="88"/>
      <c r="E341" s="100"/>
      <c r="F341" s="100"/>
      <c r="G341" s="93"/>
      <c r="H341" s="88"/>
      <c r="I341" s="99"/>
      <c r="K341" s="84"/>
      <c r="L341" s="84"/>
      <c r="M341" s="84"/>
      <c r="N341" s="84"/>
      <c r="O341" s="84"/>
      <c r="P341" s="84"/>
      <c r="Q341" s="84"/>
      <c r="R341" s="84"/>
    </row>
    <row r="342" ht="15.75" customHeight="1">
      <c r="A342" s="85">
        <v>1.2037005E7</v>
      </c>
      <c r="B342" s="113" t="s">
        <v>628</v>
      </c>
      <c r="C342" s="59"/>
      <c r="D342" s="88"/>
      <c r="E342" s="100"/>
      <c r="F342" s="100"/>
      <c r="G342" s="93"/>
      <c r="H342" s="88"/>
      <c r="I342" s="99"/>
      <c r="K342" s="84"/>
      <c r="L342" s="84"/>
      <c r="M342" s="84"/>
      <c r="N342" s="84"/>
      <c r="O342" s="84"/>
      <c r="P342" s="84"/>
      <c r="Q342" s="84"/>
      <c r="R342" s="84"/>
    </row>
    <row r="343" ht="15.75" customHeight="1">
      <c r="A343" s="85">
        <v>1.2037006E7</v>
      </c>
      <c r="B343" s="113" t="s">
        <v>629</v>
      </c>
      <c r="C343" s="59"/>
      <c r="D343" s="88"/>
      <c r="E343" s="100"/>
      <c r="F343" s="100"/>
      <c r="G343" s="93"/>
      <c r="H343" s="88"/>
      <c r="I343" s="99"/>
      <c r="K343" s="84"/>
      <c r="L343" s="84"/>
      <c r="M343" s="84"/>
      <c r="N343" s="84"/>
      <c r="O343" s="84"/>
      <c r="P343" s="84"/>
      <c r="Q343" s="84"/>
      <c r="R343" s="84"/>
    </row>
    <row r="344" ht="15.75" customHeight="1">
      <c r="A344" s="85">
        <v>1.2037007E7</v>
      </c>
      <c r="B344" s="113" t="s">
        <v>630</v>
      </c>
      <c r="C344" s="59"/>
      <c r="D344" s="88"/>
      <c r="E344" s="100"/>
      <c r="F344" s="100"/>
      <c r="G344" s="93"/>
      <c r="H344" s="88"/>
      <c r="I344" s="99"/>
      <c r="K344" s="84"/>
      <c r="L344" s="84"/>
      <c r="M344" s="84"/>
      <c r="N344" s="84"/>
      <c r="O344" s="84"/>
      <c r="P344" s="84"/>
      <c r="Q344" s="84"/>
      <c r="R344" s="84"/>
    </row>
    <row r="345" ht="15.75" customHeight="1">
      <c r="A345" s="85">
        <v>1.2037008E7</v>
      </c>
      <c r="B345" s="113" t="s">
        <v>631</v>
      </c>
      <c r="C345" s="59"/>
      <c r="D345" s="88"/>
      <c r="E345" s="100"/>
      <c r="F345" s="100"/>
      <c r="G345" s="93"/>
      <c r="H345" s="88"/>
      <c r="I345" s="99"/>
      <c r="K345" s="84"/>
      <c r="L345" s="84"/>
      <c r="M345" s="84"/>
      <c r="N345" s="84"/>
      <c r="O345" s="84"/>
      <c r="P345" s="84"/>
      <c r="Q345" s="84"/>
      <c r="R345" s="84"/>
    </row>
    <row r="346" ht="15.75" customHeight="1">
      <c r="A346" s="85">
        <v>3.0010013E7</v>
      </c>
      <c r="B346" s="113" t="s">
        <v>632</v>
      </c>
      <c r="C346" s="59"/>
      <c r="D346" s="88"/>
      <c r="E346" s="104" t="s">
        <v>247</v>
      </c>
      <c r="F346" s="92" t="s">
        <v>247</v>
      </c>
      <c r="G346" s="115"/>
      <c r="H346" s="88"/>
      <c r="I346" s="99"/>
      <c r="K346" s="84"/>
      <c r="L346" s="84"/>
      <c r="M346" s="84"/>
      <c r="N346" s="84"/>
      <c r="O346" s="84"/>
      <c r="P346" s="84"/>
      <c r="Q346" s="84"/>
      <c r="R346" s="84"/>
    </row>
    <row r="347" ht="15.75" customHeight="1">
      <c r="A347" s="85">
        <v>1.2038001E7</v>
      </c>
      <c r="B347" s="113" t="s">
        <v>633</v>
      </c>
      <c r="C347" s="59"/>
      <c r="D347" s="88"/>
      <c r="E347" s="100"/>
      <c r="F347" s="100"/>
      <c r="G347" s="115"/>
      <c r="H347" s="88"/>
      <c r="I347" s="99"/>
      <c r="K347" s="84"/>
      <c r="L347" s="84"/>
      <c r="M347" s="84"/>
      <c r="N347" s="84"/>
      <c r="O347" s="84"/>
      <c r="P347" s="84"/>
      <c r="Q347" s="84"/>
      <c r="R347" s="84"/>
    </row>
    <row r="348" ht="15.75" customHeight="1">
      <c r="A348" s="85">
        <v>1.2038002E7</v>
      </c>
      <c r="B348" s="113" t="s">
        <v>634</v>
      </c>
      <c r="C348" s="59"/>
      <c r="D348" s="88"/>
      <c r="E348" s="100"/>
      <c r="F348" s="100"/>
      <c r="G348" s="93" t="s">
        <v>428</v>
      </c>
      <c r="H348" s="88"/>
      <c r="I348" s="99"/>
      <c r="K348" s="84"/>
      <c r="L348" s="84"/>
      <c r="M348" s="84"/>
      <c r="N348" s="84"/>
      <c r="O348" s="84"/>
      <c r="P348" s="84"/>
      <c r="Q348" s="84"/>
      <c r="R348" s="84"/>
    </row>
    <row r="349" ht="15.75" customHeight="1">
      <c r="A349" s="85">
        <v>1.2038003E7</v>
      </c>
      <c r="B349" s="113" t="s">
        <v>635</v>
      </c>
      <c r="C349" s="59"/>
      <c r="D349" s="88"/>
      <c r="E349" s="100"/>
      <c r="F349" s="100"/>
      <c r="G349" s="115"/>
      <c r="H349" s="88"/>
      <c r="I349" s="99"/>
      <c r="K349" s="84"/>
      <c r="L349" s="84"/>
      <c r="M349" s="84"/>
      <c r="N349" s="84"/>
      <c r="O349" s="84"/>
      <c r="P349" s="84"/>
      <c r="Q349" s="84"/>
      <c r="R349" s="84"/>
    </row>
    <row r="350" ht="15.75" customHeight="1">
      <c r="A350" s="85">
        <v>1.2038004E7</v>
      </c>
      <c r="B350" s="113" t="s">
        <v>636</v>
      </c>
      <c r="C350" s="59"/>
      <c r="D350" s="88"/>
      <c r="E350" s="100"/>
      <c r="F350" s="100"/>
      <c r="G350" s="93"/>
      <c r="H350" s="88"/>
      <c r="I350" s="99"/>
      <c r="K350" s="84"/>
      <c r="L350" s="84"/>
      <c r="M350" s="84"/>
      <c r="N350" s="84"/>
      <c r="O350" s="84"/>
      <c r="P350" s="84"/>
      <c r="Q350" s="84"/>
      <c r="R350" s="84"/>
    </row>
    <row r="351" ht="15.75" customHeight="1">
      <c r="A351" s="85">
        <v>1.2038005E7</v>
      </c>
      <c r="B351" s="113" t="s">
        <v>637</v>
      </c>
      <c r="C351" s="59"/>
      <c r="D351" s="88"/>
      <c r="E351" s="100"/>
      <c r="F351" s="100"/>
      <c r="G351" s="93"/>
      <c r="H351" s="88"/>
      <c r="I351" s="99"/>
      <c r="K351" s="84"/>
      <c r="L351" s="84"/>
      <c r="M351" s="84"/>
      <c r="N351" s="84"/>
      <c r="O351" s="84"/>
      <c r="P351" s="84"/>
      <c r="Q351" s="84"/>
      <c r="R351" s="84"/>
    </row>
    <row r="352" ht="15.75" customHeight="1">
      <c r="A352" s="85">
        <v>1.2038006E7</v>
      </c>
      <c r="B352" s="113" t="s">
        <v>638</v>
      </c>
      <c r="C352" s="59"/>
      <c r="D352" s="88"/>
      <c r="E352" s="100"/>
      <c r="F352" s="100"/>
      <c r="G352" s="93"/>
      <c r="H352" s="88"/>
      <c r="I352" s="99"/>
      <c r="K352" s="84"/>
      <c r="L352" s="84"/>
      <c r="M352" s="84"/>
      <c r="N352" s="84"/>
      <c r="O352" s="84"/>
      <c r="P352" s="84"/>
      <c r="Q352" s="84"/>
      <c r="R352" s="84"/>
    </row>
    <row r="353" ht="15.75" customHeight="1">
      <c r="A353" s="85">
        <v>1.2038007E7</v>
      </c>
      <c r="B353" s="113" t="s">
        <v>639</v>
      </c>
      <c r="C353" s="59"/>
      <c r="D353" s="88"/>
      <c r="E353" s="100"/>
      <c r="F353" s="100"/>
      <c r="G353" s="93"/>
      <c r="H353" s="88"/>
      <c r="I353" s="99"/>
      <c r="K353" s="84"/>
      <c r="L353" s="84"/>
      <c r="M353" s="84"/>
      <c r="N353" s="84"/>
      <c r="O353" s="84"/>
      <c r="P353" s="84"/>
      <c r="Q353" s="84"/>
      <c r="R353" s="84"/>
    </row>
    <row r="354" ht="15.75" customHeight="1">
      <c r="A354" s="85">
        <v>1.2038008E7</v>
      </c>
      <c r="B354" s="113" t="s">
        <v>640</v>
      </c>
      <c r="C354" s="59"/>
      <c r="D354" s="88"/>
      <c r="E354" s="100"/>
      <c r="F354" s="100"/>
      <c r="G354" s="93"/>
      <c r="H354" s="88"/>
      <c r="I354" s="99"/>
      <c r="K354" s="84"/>
      <c r="L354" s="84"/>
      <c r="M354" s="84"/>
      <c r="N354" s="84"/>
      <c r="O354" s="84"/>
      <c r="P354" s="84"/>
      <c r="Q354" s="84"/>
      <c r="R354" s="84"/>
    </row>
    <row r="355" ht="15.75" customHeight="1">
      <c r="A355" s="98">
        <v>1.2038009E7</v>
      </c>
      <c r="B355" s="113" t="s">
        <v>641</v>
      </c>
      <c r="C355" s="59"/>
      <c r="D355" s="88"/>
      <c r="E355" s="100"/>
      <c r="F355" s="100"/>
      <c r="G355" s="93" t="s">
        <v>428</v>
      </c>
      <c r="H355" s="88"/>
      <c r="I355" s="99"/>
      <c r="K355" s="84"/>
      <c r="L355" s="84"/>
      <c r="M355" s="84"/>
      <c r="N355" s="84"/>
      <c r="O355" s="84"/>
      <c r="P355" s="84"/>
      <c r="Q355" s="84"/>
      <c r="R355" s="84"/>
    </row>
    <row r="356" ht="15.75" customHeight="1">
      <c r="A356" s="98">
        <v>1.203801E7</v>
      </c>
      <c r="B356" s="113" t="s">
        <v>642</v>
      </c>
      <c r="C356" s="59"/>
      <c r="D356" s="88"/>
      <c r="E356" s="100"/>
      <c r="F356" s="100"/>
      <c r="G356" s="93"/>
      <c r="H356" s="88"/>
      <c r="I356" s="99"/>
      <c r="K356" s="84"/>
      <c r="L356" s="84"/>
      <c r="M356" s="84"/>
      <c r="N356" s="84"/>
      <c r="O356" s="84"/>
      <c r="P356" s="84"/>
      <c r="Q356" s="84"/>
      <c r="R356" s="84"/>
    </row>
    <row r="357" ht="15.75" customHeight="1">
      <c r="A357" s="98">
        <v>1.2038011E7</v>
      </c>
      <c r="B357" s="113" t="s">
        <v>643</v>
      </c>
      <c r="C357" s="59"/>
      <c r="D357" s="88"/>
      <c r="E357" s="100"/>
      <c r="F357" s="100"/>
      <c r="G357" s="93"/>
      <c r="H357" s="88"/>
      <c r="I357" s="99"/>
      <c r="K357" s="84"/>
      <c r="L357" s="84"/>
      <c r="M357" s="84"/>
      <c r="N357" s="84"/>
      <c r="O357" s="84"/>
      <c r="P357" s="84"/>
      <c r="Q357" s="84"/>
      <c r="R357" s="84"/>
    </row>
    <row r="358" ht="15.75" customHeight="1">
      <c r="A358" s="98">
        <v>1.2038012E7</v>
      </c>
      <c r="B358" s="113" t="s">
        <v>644</v>
      </c>
      <c r="C358" s="59"/>
      <c r="D358" s="88"/>
      <c r="E358" s="100"/>
      <c r="F358" s="100"/>
      <c r="G358" s="93"/>
      <c r="H358" s="88"/>
      <c r="I358" s="99"/>
      <c r="K358" s="84"/>
      <c r="L358" s="84"/>
      <c r="M358" s="84"/>
      <c r="N358" s="84"/>
      <c r="O358" s="84"/>
      <c r="P358" s="84"/>
      <c r="Q358" s="84"/>
      <c r="R358" s="84"/>
    </row>
    <row r="359" ht="15.75" customHeight="1">
      <c r="A359" s="85">
        <v>1.2040001E7</v>
      </c>
      <c r="B359" s="113" t="s">
        <v>645</v>
      </c>
      <c r="C359" s="59"/>
      <c r="D359" s="88"/>
      <c r="E359" s="100"/>
      <c r="F359" s="92"/>
      <c r="G359" s="93"/>
      <c r="H359" s="88"/>
      <c r="I359" s="99"/>
      <c r="K359" s="84"/>
      <c r="L359" s="84"/>
      <c r="M359" s="84"/>
      <c r="N359" s="84"/>
      <c r="O359" s="84"/>
      <c r="P359" s="84"/>
      <c r="Q359" s="84"/>
      <c r="R359" s="84"/>
    </row>
    <row r="360" ht="15.75" customHeight="1">
      <c r="A360" s="85">
        <v>1.2040002E7</v>
      </c>
      <c r="B360" s="113" t="s">
        <v>646</v>
      </c>
      <c r="C360" s="59"/>
      <c r="D360" s="88"/>
      <c r="E360" s="100"/>
      <c r="F360" s="100"/>
      <c r="G360" s="93"/>
      <c r="H360" s="88"/>
      <c r="I360" s="99"/>
      <c r="K360" s="84"/>
      <c r="L360" s="84"/>
      <c r="M360" s="84"/>
      <c r="N360" s="84"/>
      <c r="O360" s="84"/>
      <c r="P360" s="84"/>
      <c r="Q360" s="84"/>
      <c r="R360" s="84"/>
    </row>
    <row r="361" ht="15.75" customHeight="1">
      <c r="A361" s="105">
        <v>1.2053001E7</v>
      </c>
      <c r="B361" s="113" t="s">
        <v>647</v>
      </c>
      <c r="C361" s="59"/>
      <c r="D361" s="88"/>
      <c r="E361" s="100"/>
      <c r="F361" s="100"/>
      <c r="G361" s="93"/>
      <c r="H361" s="88"/>
      <c r="I361" s="99"/>
      <c r="K361" s="84"/>
      <c r="L361" s="84"/>
      <c r="M361" s="84"/>
      <c r="N361" s="84"/>
      <c r="O361" s="84"/>
      <c r="P361" s="84"/>
      <c r="Q361" s="84"/>
      <c r="R361" s="84"/>
    </row>
    <row r="362" ht="15.75" customHeight="1">
      <c r="A362" s="105">
        <v>1.2053002E7</v>
      </c>
      <c r="B362" s="113" t="s">
        <v>648</v>
      </c>
      <c r="C362" s="73"/>
      <c r="D362" s="88"/>
      <c r="E362" s="100"/>
      <c r="F362" s="104"/>
      <c r="G362" s="105" t="s">
        <v>428</v>
      </c>
      <c r="H362" s="88"/>
      <c r="I362" s="99"/>
      <c r="K362" s="84"/>
      <c r="L362" s="84"/>
      <c r="M362" s="84"/>
      <c r="N362" s="84"/>
      <c r="O362" s="84"/>
      <c r="P362" s="84"/>
      <c r="Q362" s="84"/>
      <c r="R362" s="84"/>
    </row>
    <row r="363" ht="15.75" customHeight="1">
      <c r="A363" s="85">
        <v>3.0000101E7</v>
      </c>
      <c r="B363" s="108" t="s">
        <v>649</v>
      </c>
      <c r="C363" s="107" t="s">
        <v>650</v>
      </c>
      <c r="D363" s="116"/>
      <c r="E363" s="111"/>
      <c r="F363" s="111"/>
      <c r="G363" s="115"/>
      <c r="H363" s="116"/>
      <c r="I363" s="99"/>
      <c r="K363" s="84"/>
      <c r="L363" s="84"/>
      <c r="M363" s="84"/>
      <c r="N363" s="84"/>
      <c r="O363" s="84"/>
      <c r="P363" s="84"/>
      <c r="Q363" s="84"/>
      <c r="R363" s="84"/>
    </row>
    <row r="364" ht="15.75" customHeight="1">
      <c r="A364" s="85"/>
      <c r="B364" s="113"/>
      <c r="C364" s="59"/>
      <c r="D364" s="116"/>
      <c r="E364" s="111"/>
      <c r="F364" s="92"/>
      <c r="G364" s="115"/>
      <c r="H364" s="116"/>
      <c r="I364" s="99"/>
      <c r="K364" s="84"/>
      <c r="L364" s="84"/>
      <c r="M364" s="84"/>
      <c r="N364" s="84"/>
      <c r="O364" s="84"/>
      <c r="P364" s="84"/>
      <c r="Q364" s="84"/>
      <c r="R364" s="84"/>
    </row>
    <row r="365" ht="15.75" customHeight="1">
      <c r="A365" s="98">
        <v>1.20211E7</v>
      </c>
      <c r="B365" s="113" t="s">
        <v>651</v>
      </c>
      <c r="C365" s="59"/>
      <c r="D365" s="116"/>
      <c r="E365" s="111"/>
      <c r="F365" s="92" t="s">
        <v>247</v>
      </c>
      <c r="G365" s="115"/>
      <c r="H365" s="116"/>
      <c r="I365" s="99"/>
      <c r="K365" s="84"/>
      <c r="L365" s="84"/>
      <c r="M365" s="84"/>
      <c r="N365" s="84"/>
      <c r="O365" s="84"/>
      <c r="P365" s="84"/>
      <c r="Q365" s="84"/>
      <c r="R365" s="84"/>
    </row>
    <row r="366" ht="15.75" customHeight="1">
      <c r="A366" s="85">
        <v>1.2021101E7</v>
      </c>
      <c r="B366" s="112" t="s">
        <v>652</v>
      </c>
      <c r="C366" s="59"/>
      <c r="D366" s="116"/>
      <c r="E366" s="92"/>
      <c r="F366" s="92"/>
      <c r="G366" s="115"/>
      <c r="H366" s="116"/>
      <c r="I366" s="99"/>
      <c r="K366" s="84"/>
      <c r="L366" s="84"/>
      <c r="M366" s="84"/>
      <c r="N366" s="84"/>
      <c r="O366" s="84"/>
      <c r="P366" s="84"/>
      <c r="Q366" s="84"/>
      <c r="R366" s="84"/>
    </row>
    <row r="367" ht="15.75" customHeight="1">
      <c r="A367" s="85">
        <v>1.2021102E7</v>
      </c>
      <c r="B367" s="113" t="s">
        <v>653</v>
      </c>
      <c r="C367" s="59"/>
      <c r="D367" s="116"/>
      <c r="E367" s="92" t="s">
        <v>247</v>
      </c>
      <c r="F367" s="92" t="s">
        <v>247</v>
      </c>
      <c r="G367" s="115"/>
      <c r="H367" s="116"/>
      <c r="I367" s="99"/>
      <c r="K367" s="84"/>
      <c r="L367" s="84"/>
      <c r="M367" s="84"/>
      <c r="N367" s="84"/>
      <c r="O367" s="84"/>
      <c r="P367" s="84"/>
      <c r="Q367" s="84"/>
      <c r="R367" s="84"/>
    </row>
    <row r="368" ht="15.75" customHeight="1">
      <c r="A368" s="85">
        <v>1.2021103E7</v>
      </c>
      <c r="B368" s="113" t="s">
        <v>654</v>
      </c>
      <c r="C368" s="59"/>
      <c r="D368" s="116"/>
      <c r="E368" s="111"/>
      <c r="F368" s="111"/>
      <c r="G368" s="115"/>
      <c r="H368" s="116"/>
      <c r="I368" s="99"/>
      <c r="K368" s="84"/>
      <c r="L368" s="84"/>
      <c r="M368" s="84"/>
      <c r="N368" s="84"/>
      <c r="O368" s="84"/>
      <c r="P368" s="84"/>
      <c r="Q368" s="84"/>
      <c r="R368" s="84"/>
    </row>
    <row r="369" ht="15.75" customHeight="1">
      <c r="A369" s="85">
        <v>1.2021104E7</v>
      </c>
      <c r="B369" s="113" t="s">
        <v>655</v>
      </c>
      <c r="C369" s="59"/>
      <c r="D369" s="116"/>
      <c r="E369" s="111"/>
      <c r="F369" s="111"/>
      <c r="G369" s="115"/>
      <c r="H369" s="116"/>
      <c r="I369" s="99"/>
      <c r="K369" s="84"/>
      <c r="L369" s="84"/>
      <c r="M369" s="84"/>
      <c r="N369" s="84"/>
      <c r="O369" s="84"/>
      <c r="P369" s="84"/>
      <c r="Q369" s="84"/>
      <c r="R369" s="84"/>
    </row>
    <row r="370" ht="15.75" customHeight="1">
      <c r="A370" s="85">
        <v>1.2021105E7</v>
      </c>
      <c r="B370" s="113" t="s">
        <v>656</v>
      </c>
      <c r="C370" s="59"/>
      <c r="D370" s="116"/>
      <c r="E370" s="111"/>
      <c r="F370" s="111"/>
      <c r="G370" s="115"/>
      <c r="H370" s="116"/>
      <c r="I370" s="99"/>
      <c r="K370" s="84"/>
      <c r="L370" s="84"/>
      <c r="M370" s="84"/>
      <c r="N370" s="84"/>
      <c r="O370" s="84"/>
      <c r="P370" s="84"/>
      <c r="Q370" s="84"/>
      <c r="R370" s="84"/>
    </row>
    <row r="371" ht="15.75" customHeight="1">
      <c r="A371" s="85">
        <v>1.2021106E7</v>
      </c>
      <c r="B371" s="113" t="s">
        <v>657</v>
      </c>
      <c r="C371" s="59"/>
      <c r="D371" s="116"/>
      <c r="E371" s="111"/>
      <c r="F371" s="111"/>
      <c r="G371" s="115"/>
      <c r="H371" s="116"/>
      <c r="I371" s="99"/>
      <c r="K371" s="84"/>
      <c r="L371" s="84"/>
      <c r="M371" s="84"/>
      <c r="N371" s="84"/>
      <c r="O371" s="84"/>
      <c r="P371" s="84"/>
      <c r="Q371" s="84"/>
      <c r="R371" s="84"/>
    </row>
    <row r="372" ht="15.75" customHeight="1">
      <c r="A372" s="85">
        <v>1.2021107E7</v>
      </c>
      <c r="B372" s="113" t="s">
        <v>658</v>
      </c>
      <c r="C372" s="59"/>
      <c r="D372" s="116"/>
      <c r="E372" s="111"/>
      <c r="F372" s="111"/>
      <c r="G372" s="115"/>
      <c r="H372" s="116"/>
      <c r="I372" s="99"/>
      <c r="K372" s="84"/>
      <c r="L372" s="84"/>
      <c r="M372" s="84"/>
      <c r="N372" s="84"/>
      <c r="O372" s="84"/>
      <c r="P372" s="84"/>
      <c r="Q372" s="84"/>
      <c r="R372" s="84"/>
    </row>
    <row r="373" ht="15.75" customHeight="1">
      <c r="A373" s="85">
        <v>1.2021108E7</v>
      </c>
      <c r="B373" s="113" t="s">
        <v>659</v>
      </c>
      <c r="C373" s="59"/>
      <c r="D373" s="116"/>
      <c r="E373" s="92" t="s">
        <v>235</v>
      </c>
      <c r="F373" s="111"/>
      <c r="G373" s="115"/>
      <c r="H373" s="116"/>
      <c r="I373" s="99"/>
      <c r="K373" s="84"/>
      <c r="L373" s="84"/>
      <c r="M373" s="84"/>
      <c r="N373" s="84"/>
      <c r="O373" s="84"/>
      <c r="P373" s="84"/>
      <c r="Q373" s="84"/>
      <c r="R373" s="84"/>
    </row>
    <row r="374" ht="15.75" customHeight="1">
      <c r="A374" s="85">
        <v>3.0010021E7</v>
      </c>
      <c r="B374" s="113" t="s">
        <v>660</v>
      </c>
      <c r="C374" s="59"/>
      <c r="D374" s="116"/>
      <c r="E374" s="104" t="s">
        <v>247</v>
      </c>
      <c r="F374" s="92" t="s">
        <v>247</v>
      </c>
      <c r="G374" s="115"/>
      <c r="H374" s="116"/>
      <c r="I374" s="99"/>
      <c r="K374" s="84"/>
      <c r="L374" s="84"/>
      <c r="M374" s="84"/>
      <c r="N374" s="84"/>
      <c r="O374" s="84"/>
      <c r="P374" s="84"/>
      <c r="Q374" s="84"/>
      <c r="R374" s="84"/>
    </row>
    <row r="375" ht="15.75" customHeight="1">
      <c r="A375" s="85">
        <v>1.2022101E7</v>
      </c>
      <c r="B375" s="113" t="s">
        <v>661</v>
      </c>
      <c r="C375" s="59"/>
      <c r="D375" s="116"/>
      <c r="E375" s="111"/>
      <c r="F375" s="100" t="s">
        <v>248</v>
      </c>
      <c r="G375" s="115"/>
      <c r="H375" s="116"/>
      <c r="I375" s="99"/>
      <c r="K375" s="84"/>
      <c r="L375" s="84"/>
      <c r="M375" s="84"/>
      <c r="N375" s="84"/>
      <c r="O375" s="84"/>
      <c r="P375" s="84"/>
      <c r="Q375" s="84"/>
      <c r="R375" s="84"/>
    </row>
    <row r="376" ht="15.75" customHeight="1">
      <c r="A376" s="85">
        <v>1.2022102E7</v>
      </c>
      <c r="B376" s="113" t="s">
        <v>662</v>
      </c>
      <c r="C376" s="59"/>
      <c r="D376" s="116"/>
      <c r="E376" s="111"/>
      <c r="F376" s="100" t="s">
        <v>663</v>
      </c>
      <c r="G376" s="93" t="s">
        <v>428</v>
      </c>
      <c r="H376" s="116"/>
      <c r="I376" s="99"/>
      <c r="K376" s="84"/>
      <c r="L376" s="84"/>
      <c r="M376" s="84"/>
      <c r="N376" s="84"/>
      <c r="O376" s="84"/>
      <c r="P376" s="84"/>
      <c r="Q376" s="84"/>
      <c r="R376" s="84"/>
    </row>
    <row r="377" ht="15.75" customHeight="1">
      <c r="A377" s="85">
        <v>1.2022103E7</v>
      </c>
      <c r="B377" s="113" t="s">
        <v>664</v>
      </c>
      <c r="C377" s="59"/>
      <c r="D377" s="116"/>
      <c r="E377" s="111"/>
      <c r="F377" s="100" t="s">
        <v>247</v>
      </c>
      <c r="G377" s="115"/>
      <c r="H377" s="116"/>
      <c r="I377" s="99"/>
      <c r="K377" s="84"/>
      <c r="L377" s="84"/>
      <c r="M377" s="84"/>
      <c r="N377" s="84"/>
      <c r="O377" s="84"/>
      <c r="P377" s="84"/>
      <c r="Q377" s="84"/>
      <c r="R377" s="84"/>
    </row>
    <row r="378" ht="15.75" customHeight="1">
      <c r="A378" s="85">
        <v>1.2022104E7</v>
      </c>
      <c r="B378" s="113" t="s">
        <v>665</v>
      </c>
      <c r="C378" s="59"/>
      <c r="D378" s="116"/>
      <c r="E378" s="111"/>
      <c r="F378" s="111"/>
      <c r="G378" s="115"/>
      <c r="H378" s="116"/>
      <c r="I378" s="99"/>
      <c r="K378" s="84"/>
      <c r="L378" s="84"/>
      <c r="M378" s="84"/>
      <c r="N378" s="84"/>
      <c r="O378" s="84"/>
      <c r="P378" s="84"/>
      <c r="Q378" s="84"/>
      <c r="R378" s="84"/>
    </row>
    <row r="379" ht="15.75" customHeight="1">
      <c r="A379" s="85">
        <v>1.2022105E7</v>
      </c>
      <c r="B379" s="113" t="s">
        <v>666</v>
      </c>
      <c r="C379" s="59"/>
      <c r="D379" s="116"/>
      <c r="E379" s="111"/>
      <c r="F379" s="111"/>
      <c r="G379" s="115"/>
      <c r="H379" s="116"/>
      <c r="I379" s="99"/>
      <c r="K379" s="84"/>
      <c r="L379" s="84"/>
      <c r="M379" s="84"/>
      <c r="N379" s="84"/>
      <c r="O379" s="84"/>
      <c r="P379" s="84"/>
      <c r="Q379" s="84"/>
      <c r="R379" s="84"/>
    </row>
    <row r="380" ht="15.75" customHeight="1">
      <c r="A380" s="85">
        <v>1.2022106E7</v>
      </c>
      <c r="B380" s="113" t="s">
        <v>667</v>
      </c>
      <c r="C380" s="59"/>
      <c r="D380" s="116"/>
      <c r="E380" s="111"/>
      <c r="F380" s="111"/>
      <c r="G380" s="115"/>
      <c r="H380" s="116"/>
      <c r="I380" s="99"/>
      <c r="K380" s="84"/>
      <c r="L380" s="84"/>
      <c r="M380" s="84"/>
      <c r="N380" s="84"/>
      <c r="O380" s="84"/>
      <c r="P380" s="84"/>
      <c r="Q380" s="84"/>
      <c r="R380" s="84"/>
    </row>
    <row r="381" ht="15.75" customHeight="1">
      <c r="A381" s="85">
        <v>1.2022107E7</v>
      </c>
      <c r="B381" s="113" t="s">
        <v>668</v>
      </c>
      <c r="C381" s="59"/>
      <c r="D381" s="116"/>
      <c r="E381" s="111"/>
      <c r="F381" s="111"/>
      <c r="G381" s="115"/>
      <c r="H381" s="116"/>
      <c r="I381" s="99"/>
      <c r="K381" s="84"/>
      <c r="L381" s="84"/>
      <c r="M381" s="84"/>
      <c r="N381" s="84"/>
      <c r="O381" s="84"/>
      <c r="P381" s="84"/>
      <c r="Q381" s="84"/>
      <c r="R381" s="84"/>
    </row>
    <row r="382" ht="15.75" customHeight="1">
      <c r="A382" s="85">
        <v>1.2022108E7</v>
      </c>
      <c r="B382" s="113" t="s">
        <v>669</v>
      </c>
      <c r="C382" s="59"/>
      <c r="D382" s="116"/>
      <c r="E382" s="111"/>
      <c r="F382" s="111"/>
      <c r="G382" s="115"/>
      <c r="H382" s="116"/>
      <c r="I382" s="99"/>
      <c r="K382" s="84"/>
      <c r="L382" s="84"/>
      <c r="M382" s="84"/>
      <c r="N382" s="84"/>
      <c r="O382" s="84"/>
      <c r="P382" s="84"/>
      <c r="Q382" s="84"/>
      <c r="R382" s="84"/>
    </row>
    <row r="383" ht="15.75" customHeight="1">
      <c r="A383" s="98">
        <v>1.2022109E7</v>
      </c>
      <c r="B383" s="113" t="s">
        <v>670</v>
      </c>
      <c r="C383" s="59"/>
      <c r="D383" s="116"/>
      <c r="E383" s="111"/>
      <c r="F383" s="100"/>
      <c r="G383" s="93" t="s">
        <v>428</v>
      </c>
      <c r="H383" s="116"/>
      <c r="I383" s="99"/>
      <c r="K383" s="84"/>
      <c r="L383" s="84"/>
      <c r="M383" s="84"/>
      <c r="N383" s="84"/>
      <c r="O383" s="84"/>
      <c r="P383" s="84"/>
      <c r="Q383" s="84"/>
      <c r="R383" s="84"/>
    </row>
    <row r="384" ht="15.75" customHeight="1">
      <c r="A384" s="98">
        <v>1.202211E7</v>
      </c>
      <c r="B384" s="113" t="s">
        <v>671</v>
      </c>
      <c r="C384" s="59"/>
      <c r="D384" s="116"/>
      <c r="E384" s="111"/>
      <c r="F384" s="111"/>
      <c r="G384" s="115"/>
      <c r="H384" s="116"/>
      <c r="I384" s="99"/>
      <c r="K384" s="84"/>
      <c r="L384" s="84"/>
      <c r="M384" s="84"/>
      <c r="N384" s="84"/>
      <c r="O384" s="84"/>
      <c r="P384" s="84"/>
      <c r="Q384" s="84"/>
      <c r="R384" s="84"/>
    </row>
    <row r="385" ht="15.75" customHeight="1">
      <c r="A385" s="98">
        <v>1.2022111E7</v>
      </c>
      <c r="B385" s="113" t="s">
        <v>672</v>
      </c>
      <c r="C385" s="59"/>
      <c r="D385" s="116"/>
      <c r="E385" s="111"/>
      <c r="F385" s="111"/>
      <c r="G385" s="115"/>
      <c r="H385" s="116"/>
      <c r="I385" s="99"/>
      <c r="K385" s="84"/>
      <c r="L385" s="84"/>
      <c r="M385" s="84"/>
      <c r="N385" s="84"/>
      <c r="O385" s="84"/>
      <c r="P385" s="84"/>
      <c r="Q385" s="84"/>
      <c r="R385" s="84"/>
    </row>
    <row r="386" ht="15.75" customHeight="1">
      <c r="A386" s="98">
        <v>1.2022112E7</v>
      </c>
      <c r="B386" s="113" t="s">
        <v>673</v>
      </c>
      <c r="C386" s="59"/>
      <c r="D386" s="116"/>
      <c r="E386" s="111"/>
      <c r="F386" s="111"/>
      <c r="G386" s="115"/>
      <c r="H386" s="116"/>
      <c r="I386" s="99"/>
      <c r="K386" s="84"/>
      <c r="L386" s="84"/>
      <c r="M386" s="84"/>
      <c r="N386" s="84"/>
      <c r="O386" s="84"/>
      <c r="P386" s="84"/>
      <c r="Q386" s="84"/>
      <c r="R386" s="84"/>
    </row>
    <row r="387" ht="15.75" customHeight="1">
      <c r="A387" s="85">
        <v>1.2024101E7</v>
      </c>
      <c r="B387" s="113" t="s">
        <v>674</v>
      </c>
      <c r="C387" s="59"/>
      <c r="D387" s="116"/>
      <c r="E387" s="111"/>
      <c r="F387" s="111"/>
      <c r="G387" s="115"/>
      <c r="H387" s="116"/>
      <c r="I387" s="99"/>
      <c r="K387" s="84"/>
      <c r="L387" s="84"/>
      <c r="M387" s="84"/>
      <c r="N387" s="84"/>
      <c r="O387" s="84"/>
      <c r="P387" s="84"/>
      <c r="Q387" s="84"/>
      <c r="R387" s="84"/>
    </row>
    <row r="388" ht="15.75" customHeight="1">
      <c r="A388" s="85">
        <v>1.2024102E7</v>
      </c>
      <c r="B388" s="113" t="s">
        <v>675</v>
      </c>
      <c r="C388" s="59"/>
      <c r="D388" s="116"/>
      <c r="E388" s="111"/>
      <c r="F388" s="111"/>
      <c r="G388" s="115"/>
      <c r="H388" s="116"/>
      <c r="I388" s="99"/>
      <c r="K388" s="84"/>
      <c r="L388" s="84"/>
      <c r="M388" s="84"/>
      <c r="N388" s="84"/>
      <c r="O388" s="84"/>
      <c r="P388" s="84"/>
      <c r="Q388" s="84"/>
      <c r="R388" s="84"/>
    </row>
    <row r="389" ht="15.75" customHeight="1">
      <c r="A389" s="117">
        <v>1.2051011E7</v>
      </c>
      <c r="B389" s="113" t="s">
        <v>676</v>
      </c>
      <c r="C389" s="59"/>
      <c r="D389" s="116"/>
      <c r="E389" s="111"/>
      <c r="F389" s="111"/>
      <c r="G389" s="115"/>
      <c r="H389" s="116"/>
      <c r="I389" s="99"/>
      <c r="K389" s="84"/>
      <c r="L389" s="84"/>
      <c r="M389" s="84"/>
      <c r="N389" s="84"/>
      <c r="O389" s="84"/>
      <c r="P389" s="84"/>
      <c r="Q389" s="84"/>
      <c r="R389" s="84"/>
    </row>
    <row r="390" ht="15.75" customHeight="1">
      <c r="A390" s="117">
        <v>1.2051012E7</v>
      </c>
      <c r="B390" s="113" t="s">
        <v>677</v>
      </c>
      <c r="C390" s="59"/>
      <c r="D390" s="116"/>
      <c r="E390" s="111"/>
      <c r="F390" s="100"/>
      <c r="G390" s="93" t="s">
        <v>428</v>
      </c>
      <c r="H390" s="116"/>
      <c r="I390" s="99"/>
      <c r="K390" s="84"/>
      <c r="L390" s="84"/>
      <c r="M390" s="84"/>
      <c r="N390" s="84"/>
      <c r="O390" s="84"/>
      <c r="P390" s="84"/>
      <c r="Q390" s="84"/>
      <c r="R390" s="84"/>
    </row>
    <row r="391" ht="15.75" customHeight="1">
      <c r="A391" s="85"/>
      <c r="B391" s="113"/>
      <c r="C391" s="59"/>
      <c r="D391" s="116"/>
      <c r="E391" s="111"/>
      <c r="F391" s="92"/>
      <c r="G391" s="115"/>
      <c r="H391" s="116"/>
      <c r="I391" s="99"/>
      <c r="K391" s="84"/>
      <c r="L391" s="84"/>
      <c r="M391" s="84"/>
      <c r="N391" s="84"/>
      <c r="O391" s="84"/>
      <c r="P391" s="84"/>
      <c r="Q391" s="84"/>
      <c r="R391" s="84"/>
    </row>
    <row r="392" ht="15.75" customHeight="1">
      <c r="A392" s="98">
        <v>1.20291E7</v>
      </c>
      <c r="B392" s="110" t="s">
        <v>678</v>
      </c>
      <c r="C392" s="59"/>
      <c r="D392" s="116"/>
      <c r="E392" s="111"/>
      <c r="F392" s="92" t="s">
        <v>247</v>
      </c>
      <c r="G392" s="115"/>
      <c r="H392" s="116"/>
      <c r="I392" s="99"/>
      <c r="K392" s="84"/>
      <c r="L392" s="84"/>
      <c r="M392" s="84"/>
      <c r="N392" s="84"/>
      <c r="O392" s="84"/>
      <c r="P392" s="84"/>
      <c r="Q392" s="84"/>
      <c r="R392" s="84"/>
    </row>
    <row r="393" ht="15.75" customHeight="1">
      <c r="A393" s="85">
        <v>1.2029101E7</v>
      </c>
      <c r="B393" s="114" t="s">
        <v>679</v>
      </c>
      <c r="C393" s="59"/>
      <c r="D393" s="116"/>
      <c r="E393" s="92"/>
      <c r="F393" s="92"/>
      <c r="G393" s="115"/>
      <c r="H393" s="116"/>
      <c r="I393" s="99"/>
      <c r="K393" s="84"/>
      <c r="L393" s="84"/>
      <c r="M393" s="84"/>
      <c r="N393" s="84"/>
      <c r="O393" s="84"/>
      <c r="P393" s="84"/>
      <c r="Q393" s="84"/>
      <c r="R393" s="84"/>
    </row>
    <row r="394" ht="15.75" customHeight="1">
      <c r="A394" s="85">
        <v>1.2029102E7</v>
      </c>
      <c r="B394" s="113" t="s">
        <v>680</v>
      </c>
      <c r="C394" s="59"/>
      <c r="D394" s="116"/>
      <c r="E394" s="92" t="s">
        <v>247</v>
      </c>
      <c r="F394" s="92" t="s">
        <v>247</v>
      </c>
      <c r="G394" s="115"/>
      <c r="H394" s="116"/>
      <c r="I394" s="99"/>
      <c r="K394" s="84"/>
      <c r="L394" s="84"/>
      <c r="M394" s="84"/>
      <c r="N394" s="84"/>
      <c r="O394" s="84"/>
      <c r="P394" s="84"/>
      <c r="Q394" s="84"/>
      <c r="R394" s="84"/>
    </row>
    <row r="395" ht="15.75" customHeight="1">
      <c r="A395" s="85">
        <v>1.2029103E7</v>
      </c>
      <c r="B395" s="113" t="s">
        <v>681</v>
      </c>
      <c r="C395" s="59"/>
      <c r="D395" s="116"/>
      <c r="E395" s="111"/>
      <c r="F395" s="111"/>
      <c r="G395" s="115"/>
      <c r="H395" s="116"/>
      <c r="I395" s="99"/>
      <c r="K395" s="84"/>
      <c r="L395" s="84"/>
      <c r="M395" s="84"/>
      <c r="N395" s="84"/>
      <c r="O395" s="84"/>
      <c r="P395" s="84"/>
      <c r="Q395" s="84"/>
      <c r="R395" s="84"/>
    </row>
    <row r="396" ht="15.75" customHeight="1">
      <c r="A396" s="85">
        <v>1.2029104E7</v>
      </c>
      <c r="B396" s="113" t="s">
        <v>682</v>
      </c>
      <c r="C396" s="59"/>
      <c r="D396" s="116"/>
      <c r="E396" s="111"/>
      <c r="F396" s="111"/>
      <c r="G396" s="115"/>
      <c r="H396" s="116"/>
      <c r="I396" s="99"/>
      <c r="K396" s="84"/>
      <c r="L396" s="84"/>
      <c r="M396" s="84"/>
      <c r="N396" s="84"/>
      <c r="O396" s="84"/>
      <c r="P396" s="84"/>
      <c r="Q396" s="84"/>
      <c r="R396" s="84"/>
    </row>
    <row r="397" ht="15.75" customHeight="1">
      <c r="A397" s="85">
        <v>1.2029105E7</v>
      </c>
      <c r="B397" s="113" t="s">
        <v>683</v>
      </c>
      <c r="C397" s="59"/>
      <c r="D397" s="116"/>
      <c r="E397" s="111"/>
      <c r="F397" s="111"/>
      <c r="G397" s="115"/>
      <c r="H397" s="116"/>
      <c r="I397" s="99"/>
      <c r="K397" s="84"/>
      <c r="L397" s="84"/>
      <c r="M397" s="84"/>
      <c r="N397" s="84"/>
      <c r="O397" s="84"/>
      <c r="P397" s="84"/>
      <c r="Q397" s="84"/>
      <c r="R397" s="84"/>
    </row>
    <row r="398" ht="15.75" customHeight="1">
      <c r="A398" s="85">
        <v>1.2029106E7</v>
      </c>
      <c r="B398" s="113" t="s">
        <v>684</v>
      </c>
      <c r="C398" s="59"/>
      <c r="D398" s="116"/>
      <c r="E398" s="111"/>
      <c r="F398" s="111"/>
      <c r="G398" s="115"/>
      <c r="H398" s="116"/>
      <c r="I398" s="99"/>
      <c r="K398" s="84"/>
      <c r="L398" s="84"/>
      <c r="M398" s="84"/>
      <c r="N398" s="84"/>
      <c r="O398" s="84"/>
      <c r="P398" s="84"/>
      <c r="Q398" s="84"/>
      <c r="R398" s="84"/>
    </row>
    <row r="399" ht="15.75" customHeight="1">
      <c r="A399" s="85">
        <v>1.2029107E7</v>
      </c>
      <c r="B399" s="113" t="s">
        <v>685</v>
      </c>
      <c r="C399" s="59"/>
      <c r="D399" s="116"/>
      <c r="E399" s="111"/>
      <c r="F399" s="111"/>
      <c r="G399" s="115"/>
      <c r="H399" s="116"/>
      <c r="I399" s="99"/>
      <c r="K399" s="84"/>
      <c r="L399" s="84"/>
      <c r="M399" s="84"/>
      <c r="N399" s="84"/>
      <c r="O399" s="84"/>
      <c r="P399" s="84"/>
      <c r="Q399" s="84"/>
      <c r="R399" s="84"/>
    </row>
    <row r="400" ht="15.75" customHeight="1">
      <c r="A400" s="85">
        <v>1.2029108E7</v>
      </c>
      <c r="B400" s="113" t="s">
        <v>686</v>
      </c>
      <c r="C400" s="59"/>
      <c r="D400" s="116"/>
      <c r="E400" s="111"/>
      <c r="F400" s="111"/>
      <c r="G400" s="115"/>
      <c r="H400" s="116"/>
      <c r="I400" s="99"/>
      <c r="K400" s="84"/>
      <c r="L400" s="84"/>
      <c r="M400" s="84"/>
      <c r="N400" s="84"/>
      <c r="O400" s="84"/>
      <c r="P400" s="84"/>
      <c r="Q400" s="84"/>
      <c r="R400" s="84"/>
    </row>
    <row r="401" ht="15.75" customHeight="1">
      <c r="A401" s="85">
        <v>3.0010022E7</v>
      </c>
      <c r="B401" s="113" t="s">
        <v>687</v>
      </c>
      <c r="C401" s="59"/>
      <c r="D401" s="116"/>
      <c r="E401" s="92" t="s">
        <v>247</v>
      </c>
      <c r="F401" s="92" t="s">
        <v>247</v>
      </c>
      <c r="G401" s="115"/>
      <c r="H401" s="116"/>
      <c r="I401" s="99"/>
      <c r="K401" s="84"/>
      <c r="L401" s="84"/>
      <c r="M401" s="84"/>
      <c r="N401" s="84"/>
      <c r="O401" s="84"/>
      <c r="P401" s="84"/>
      <c r="Q401" s="84"/>
      <c r="R401" s="84"/>
    </row>
    <row r="402" ht="15.75" customHeight="1">
      <c r="A402" s="85">
        <v>1.2030101E7</v>
      </c>
      <c r="B402" s="113" t="s">
        <v>688</v>
      </c>
      <c r="C402" s="59"/>
      <c r="D402" s="116"/>
      <c r="E402" s="111"/>
      <c r="F402" s="100" t="s">
        <v>248</v>
      </c>
      <c r="G402" s="115"/>
      <c r="H402" s="116"/>
      <c r="I402" s="99"/>
      <c r="K402" s="84"/>
      <c r="L402" s="84"/>
      <c r="M402" s="84"/>
      <c r="N402" s="84"/>
      <c r="O402" s="84"/>
      <c r="P402" s="84"/>
      <c r="Q402" s="84"/>
      <c r="R402" s="84"/>
    </row>
    <row r="403" ht="15.75" customHeight="1">
      <c r="A403" s="85">
        <v>1.2030102E7</v>
      </c>
      <c r="B403" s="113" t="s">
        <v>689</v>
      </c>
      <c r="C403" s="59"/>
      <c r="D403" s="116"/>
      <c r="E403" s="111"/>
      <c r="F403" s="100" t="s">
        <v>663</v>
      </c>
      <c r="G403" s="93" t="s">
        <v>428</v>
      </c>
      <c r="H403" s="116"/>
      <c r="I403" s="99"/>
      <c r="K403" s="84"/>
      <c r="L403" s="84"/>
      <c r="M403" s="84"/>
      <c r="N403" s="84"/>
      <c r="O403" s="84"/>
      <c r="P403" s="84"/>
      <c r="Q403" s="84"/>
      <c r="R403" s="84"/>
    </row>
    <row r="404" ht="15.75" customHeight="1">
      <c r="A404" s="85">
        <v>1.2030103E7</v>
      </c>
      <c r="B404" s="113" t="s">
        <v>690</v>
      </c>
      <c r="C404" s="59"/>
      <c r="D404" s="116"/>
      <c r="E404" s="111"/>
      <c r="F404" s="100" t="s">
        <v>247</v>
      </c>
      <c r="G404" s="115"/>
      <c r="H404" s="116"/>
      <c r="I404" s="99"/>
      <c r="K404" s="84"/>
      <c r="L404" s="84"/>
      <c r="M404" s="84"/>
      <c r="N404" s="84"/>
      <c r="O404" s="84"/>
      <c r="P404" s="84"/>
      <c r="Q404" s="84"/>
      <c r="R404" s="84"/>
    </row>
    <row r="405" ht="15.75" customHeight="1">
      <c r="A405" s="85">
        <v>1.2030104E7</v>
      </c>
      <c r="B405" s="113" t="s">
        <v>691</v>
      </c>
      <c r="C405" s="59"/>
      <c r="D405" s="116"/>
      <c r="E405" s="111"/>
      <c r="F405" s="111"/>
      <c r="G405" s="115"/>
      <c r="H405" s="116"/>
      <c r="I405" s="99"/>
      <c r="K405" s="84"/>
      <c r="L405" s="84"/>
      <c r="M405" s="84"/>
      <c r="N405" s="84"/>
      <c r="O405" s="84"/>
      <c r="P405" s="84"/>
      <c r="Q405" s="84"/>
      <c r="R405" s="84"/>
    </row>
    <row r="406" ht="15.75" customHeight="1">
      <c r="A406" s="85">
        <v>1.2030105E7</v>
      </c>
      <c r="B406" s="113" t="s">
        <v>692</v>
      </c>
      <c r="C406" s="59"/>
      <c r="D406" s="116"/>
      <c r="E406" s="111"/>
      <c r="F406" s="111"/>
      <c r="G406" s="115"/>
      <c r="H406" s="116"/>
      <c r="I406" s="99"/>
      <c r="K406" s="84"/>
      <c r="L406" s="84"/>
      <c r="M406" s="84"/>
      <c r="N406" s="84"/>
      <c r="O406" s="84"/>
      <c r="P406" s="84"/>
      <c r="Q406" s="84"/>
      <c r="R406" s="84"/>
    </row>
    <row r="407" ht="15.75" customHeight="1">
      <c r="A407" s="85">
        <v>1.2030106E7</v>
      </c>
      <c r="B407" s="113" t="s">
        <v>693</v>
      </c>
      <c r="C407" s="59"/>
      <c r="D407" s="116"/>
      <c r="E407" s="111"/>
      <c r="F407" s="111"/>
      <c r="G407" s="115"/>
      <c r="H407" s="116"/>
      <c r="I407" s="99"/>
      <c r="K407" s="84"/>
      <c r="L407" s="84"/>
      <c r="M407" s="84"/>
      <c r="N407" s="84"/>
      <c r="O407" s="84"/>
      <c r="P407" s="84"/>
      <c r="Q407" s="84"/>
      <c r="R407" s="84"/>
    </row>
    <row r="408" ht="15.75" customHeight="1">
      <c r="A408" s="85">
        <v>1.2030107E7</v>
      </c>
      <c r="B408" s="113" t="s">
        <v>694</v>
      </c>
      <c r="C408" s="59"/>
      <c r="D408" s="116"/>
      <c r="E408" s="111"/>
      <c r="F408" s="111"/>
      <c r="G408" s="115"/>
      <c r="H408" s="116"/>
      <c r="I408" s="99"/>
      <c r="K408" s="84"/>
      <c r="L408" s="84"/>
      <c r="M408" s="84"/>
      <c r="N408" s="84"/>
      <c r="O408" s="84"/>
      <c r="P408" s="84"/>
      <c r="Q408" s="84"/>
      <c r="R408" s="84"/>
    </row>
    <row r="409" ht="15.75" customHeight="1">
      <c r="A409" s="85">
        <v>1.2030108E7</v>
      </c>
      <c r="B409" s="113" t="s">
        <v>695</v>
      </c>
      <c r="C409" s="59"/>
      <c r="D409" s="116"/>
      <c r="E409" s="111"/>
      <c r="F409" s="111"/>
      <c r="G409" s="115"/>
      <c r="H409" s="116"/>
      <c r="I409" s="99"/>
      <c r="K409" s="84"/>
      <c r="L409" s="84"/>
      <c r="M409" s="84"/>
      <c r="N409" s="84"/>
      <c r="O409" s="84"/>
      <c r="P409" s="84"/>
      <c r="Q409" s="84"/>
      <c r="R409" s="84"/>
    </row>
    <row r="410" ht="15.75" customHeight="1">
      <c r="A410" s="98">
        <v>1203109.0</v>
      </c>
      <c r="B410" s="113" t="s">
        <v>696</v>
      </c>
      <c r="C410" s="59"/>
      <c r="D410" s="116"/>
      <c r="E410" s="111"/>
      <c r="F410" s="100"/>
      <c r="G410" s="93" t="s">
        <v>428</v>
      </c>
      <c r="H410" s="116"/>
      <c r="I410" s="99"/>
      <c r="K410" s="84"/>
      <c r="L410" s="84"/>
      <c r="M410" s="84"/>
      <c r="N410" s="84"/>
      <c r="O410" s="84"/>
      <c r="P410" s="84"/>
      <c r="Q410" s="84"/>
      <c r="R410" s="84"/>
    </row>
    <row r="411" ht="15.75" customHeight="1">
      <c r="A411" s="98">
        <v>1203110.0</v>
      </c>
      <c r="B411" s="113" t="s">
        <v>697</v>
      </c>
      <c r="C411" s="59"/>
      <c r="D411" s="116"/>
      <c r="E411" s="111"/>
      <c r="F411" s="111"/>
      <c r="G411" s="115"/>
      <c r="H411" s="116"/>
      <c r="I411" s="99"/>
      <c r="K411" s="84"/>
      <c r="L411" s="84"/>
      <c r="M411" s="84"/>
      <c r="N411" s="84"/>
      <c r="O411" s="84"/>
      <c r="P411" s="84"/>
      <c r="Q411" s="84"/>
      <c r="R411" s="84"/>
    </row>
    <row r="412" ht="15.75" customHeight="1">
      <c r="A412" s="98">
        <v>1203111.0</v>
      </c>
      <c r="B412" s="113" t="s">
        <v>698</v>
      </c>
      <c r="C412" s="59"/>
      <c r="D412" s="116"/>
      <c r="E412" s="111"/>
      <c r="F412" s="111"/>
      <c r="G412" s="115"/>
      <c r="H412" s="116"/>
      <c r="I412" s="99"/>
      <c r="K412" s="84"/>
      <c r="L412" s="84"/>
      <c r="M412" s="84"/>
      <c r="N412" s="84"/>
      <c r="O412" s="84"/>
      <c r="P412" s="84"/>
      <c r="Q412" s="84"/>
      <c r="R412" s="84"/>
    </row>
    <row r="413" ht="15.75" customHeight="1">
      <c r="A413" s="98">
        <v>1203112.0</v>
      </c>
      <c r="B413" s="113" t="s">
        <v>699</v>
      </c>
      <c r="C413" s="59"/>
      <c r="D413" s="116"/>
      <c r="E413" s="111"/>
      <c r="F413" s="111"/>
      <c r="G413" s="115"/>
      <c r="H413" s="116"/>
      <c r="I413" s="99"/>
      <c r="K413" s="84"/>
      <c r="L413" s="84"/>
      <c r="M413" s="84"/>
      <c r="N413" s="84"/>
      <c r="O413" s="84"/>
      <c r="P413" s="84"/>
      <c r="Q413" s="84"/>
      <c r="R413" s="84"/>
    </row>
    <row r="414" ht="15.75" customHeight="1">
      <c r="A414" s="85">
        <v>1.2032101E7</v>
      </c>
      <c r="B414" s="113" t="s">
        <v>700</v>
      </c>
      <c r="C414" s="59"/>
      <c r="D414" s="116"/>
      <c r="E414" s="111"/>
      <c r="F414" s="111"/>
      <c r="G414" s="115"/>
      <c r="H414" s="116"/>
      <c r="I414" s="99"/>
      <c r="K414" s="84"/>
      <c r="L414" s="84"/>
      <c r="M414" s="84"/>
      <c r="N414" s="84"/>
      <c r="O414" s="84"/>
      <c r="P414" s="84"/>
      <c r="Q414" s="84"/>
      <c r="R414" s="84"/>
    </row>
    <row r="415" ht="15.75" customHeight="1">
      <c r="A415" s="85">
        <v>1.2032102E7</v>
      </c>
      <c r="B415" s="113" t="s">
        <v>701</v>
      </c>
      <c r="C415" s="59"/>
      <c r="D415" s="116"/>
      <c r="E415" s="111"/>
      <c r="F415" s="111"/>
      <c r="G415" s="115"/>
      <c r="H415" s="116"/>
      <c r="I415" s="99"/>
      <c r="K415" s="84"/>
      <c r="L415" s="84"/>
      <c r="M415" s="84"/>
      <c r="N415" s="84"/>
      <c r="O415" s="84"/>
      <c r="P415" s="84"/>
      <c r="Q415" s="84"/>
      <c r="R415" s="84"/>
    </row>
    <row r="416" ht="15.75" customHeight="1">
      <c r="A416" s="105">
        <v>1.2052011E7</v>
      </c>
      <c r="B416" s="113" t="s">
        <v>702</v>
      </c>
      <c r="C416" s="59"/>
      <c r="D416" s="116"/>
      <c r="E416" s="111"/>
      <c r="F416" s="111"/>
      <c r="G416" s="115"/>
      <c r="H416" s="116"/>
      <c r="I416" s="99"/>
      <c r="K416" s="84"/>
      <c r="L416" s="84"/>
      <c r="M416" s="84"/>
      <c r="N416" s="84"/>
      <c r="O416" s="84"/>
      <c r="P416" s="84"/>
      <c r="Q416" s="84"/>
      <c r="R416" s="84"/>
    </row>
    <row r="417" ht="15.75" customHeight="1">
      <c r="A417" s="105">
        <v>1.2052012E7</v>
      </c>
      <c r="B417" s="113" t="s">
        <v>703</v>
      </c>
      <c r="C417" s="59"/>
      <c r="D417" s="116"/>
      <c r="E417" s="111"/>
      <c r="F417" s="100"/>
      <c r="G417" s="93" t="s">
        <v>428</v>
      </c>
      <c r="H417" s="116"/>
      <c r="I417" s="99"/>
      <c r="K417" s="84"/>
      <c r="L417" s="84"/>
      <c r="M417" s="84"/>
      <c r="N417" s="84"/>
      <c r="O417" s="84"/>
      <c r="P417" s="84"/>
      <c r="Q417" s="84"/>
      <c r="R417" s="84"/>
    </row>
    <row r="418" ht="15.75" customHeight="1">
      <c r="A418" s="85"/>
      <c r="B418" s="113"/>
      <c r="C418" s="59"/>
      <c r="D418" s="116"/>
      <c r="E418" s="111"/>
      <c r="F418" s="92"/>
      <c r="G418" s="115"/>
      <c r="H418" s="116"/>
      <c r="I418" s="99"/>
      <c r="K418" s="84"/>
      <c r="L418" s="84"/>
      <c r="M418" s="84"/>
      <c r="N418" s="84"/>
      <c r="O418" s="84"/>
      <c r="P418" s="84"/>
      <c r="Q418" s="84"/>
      <c r="R418" s="84"/>
    </row>
    <row r="419" ht="15.75" customHeight="1">
      <c r="C419" s="59"/>
      <c r="D419" s="116"/>
      <c r="E419" s="111"/>
      <c r="G419" s="115"/>
      <c r="H419" s="116"/>
      <c r="I419" s="99"/>
      <c r="K419" s="84"/>
      <c r="L419" s="84"/>
      <c r="M419" s="84"/>
      <c r="N419" s="84"/>
      <c r="O419" s="84"/>
      <c r="P419" s="84"/>
      <c r="Q419" s="84"/>
      <c r="R419" s="84"/>
    </row>
    <row r="420" ht="15.75" customHeight="1">
      <c r="A420" s="98">
        <v>1.20371E7</v>
      </c>
      <c r="B420" s="113" t="s">
        <v>704</v>
      </c>
      <c r="C420" s="59"/>
      <c r="D420" s="116"/>
      <c r="E420" s="92"/>
      <c r="F420" s="92" t="s">
        <v>247</v>
      </c>
      <c r="G420" s="115"/>
      <c r="H420" s="116"/>
      <c r="I420" s="99"/>
      <c r="K420" s="84"/>
      <c r="L420" s="84"/>
      <c r="M420" s="84"/>
      <c r="N420" s="84"/>
      <c r="O420" s="84"/>
      <c r="P420" s="84"/>
      <c r="Q420" s="84"/>
      <c r="R420" s="84"/>
    </row>
    <row r="421" ht="15.75" customHeight="1">
      <c r="A421" s="118">
        <v>1.2037101E7</v>
      </c>
      <c r="B421" s="112" t="s">
        <v>705</v>
      </c>
      <c r="C421" s="59"/>
      <c r="D421" s="116"/>
      <c r="G421" s="115"/>
      <c r="H421" s="116"/>
      <c r="I421" s="99"/>
      <c r="K421" s="84"/>
      <c r="L421" s="84"/>
      <c r="M421" s="84"/>
      <c r="N421" s="84"/>
      <c r="O421" s="84"/>
      <c r="P421" s="84"/>
      <c r="Q421" s="84"/>
      <c r="R421" s="84"/>
    </row>
    <row r="422" ht="15.75" customHeight="1">
      <c r="A422" s="85">
        <v>1.2037102E7</v>
      </c>
      <c r="B422" s="113" t="s">
        <v>706</v>
      </c>
      <c r="C422" s="59"/>
      <c r="D422" s="116"/>
      <c r="E422" s="92" t="s">
        <v>247</v>
      </c>
      <c r="F422" s="92" t="s">
        <v>247</v>
      </c>
      <c r="G422" s="115"/>
      <c r="H422" s="116"/>
      <c r="I422" s="99"/>
      <c r="K422" s="84"/>
      <c r="L422" s="84"/>
      <c r="M422" s="84"/>
      <c r="N422" s="84"/>
      <c r="O422" s="84"/>
      <c r="P422" s="84"/>
      <c r="Q422" s="84"/>
      <c r="R422" s="84"/>
    </row>
    <row r="423" ht="15.75" customHeight="1">
      <c r="A423" s="85">
        <v>1.2037103E7</v>
      </c>
      <c r="B423" s="113" t="s">
        <v>707</v>
      </c>
      <c r="C423" s="59"/>
      <c r="D423" s="116"/>
      <c r="E423" s="111"/>
      <c r="F423" s="111"/>
      <c r="G423" s="115"/>
      <c r="H423" s="116"/>
      <c r="I423" s="99"/>
      <c r="K423" s="84"/>
      <c r="L423" s="84"/>
      <c r="M423" s="84"/>
      <c r="N423" s="84"/>
      <c r="O423" s="84"/>
      <c r="P423" s="84"/>
      <c r="Q423" s="84"/>
      <c r="R423" s="84"/>
    </row>
    <row r="424" ht="15.75" customHeight="1">
      <c r="A424" s="85">
        <v>1.2037104E7</v>
      </c>
      <c r="B424" s="113" t="s">
        <v>708</v>
      </c>
      <c r="C424" s="59"/>
      <c r="D424" s="116"/>
      <c r="E424" s="111"/>
      <c r="F424" s="111"/>
      <c r="G424" s="115"/>
      <c r="H424" s="116"/>
      <c r="I424" s="99"/>
      <c r="K424" s="84"/>
      <c r="L424" s="84"/>
      <c r="M424" s="84"/>
      <c r="N424" s="84"/>
      <c r="O424" s="84"/>
      <c r="P424" s="84"/>
      <c r="Q424" s="84"/>
      <c r="R424" s="84"/>
    </row>
    <row r="425" ht="15.75" customHeight="1">
      <c r="A425" s="85">
        <v>1.2037105E7</v>
      </c>
      <c r="B425" s="113" t="s">
        <v>709</v>
      </c>
      <c r="C425" s="59"/>
      <c r="D425" s="116"/>
      <c r="E425" s="111"/>
      <c r="F425" s="111"/>
      <c r="G425" s="115"/>
      <c r="H425" s="116"/>
      <c r="I425" s="99"/>
      <c r="K425" s="84"/>
      <c r="L425" s="84"/>
      <c r="M425" s="84"/>
      <c r="N425" s="84"/>
      <c r="O425" s="84"/>
      <c r="P425" s="84"/>
      <c r="Q425" s="84"/>
      <c r="R425" s="84"/>
    </row>
    <row r="426" ht="15.75" customHeight="1">
      <c r="A426" s="85">
        <v>1.2037106E7</v>
      </c>
      <c r="B426" s="113" t="s">
        <v>710</v>
      </c>
      <c r="C426" s="59"/>
      <c r="D426" s="116"/>
      <c r="E426" s="111"/>
      <c r="F426" s="111"/>
      <c r="G426" s="115"/>
      <c r="H426" s="116"/>
      <c r="I426" s="99"/>
      <c r="K426" s="84"/>
      <c r="L426" s="84"/>
      <c r="M426" s="84"/>
      <c r="N426" s="84"/>
      <c r="O426" s="84"/>
      <c r="P426" s="84"/>
      <c r="Q426" s="84"/>
      <c r="R426" s="84"/>
    </row>
    <row r="427" ht="15.75" customHeight="1">
      <c r="A427" s="85">
        <v>1.2037107E7</v>
      </c>
      <c r="B427" s="113" t="s">
        <v>711</v>
      </c>
      <c r="C427" s="59"/>
      <c r="D427" s="116"/>
      <c r="E427" s="111"/>
      <c r="F427" s="111"/>
      <c r="G427" s="115"/>
      <c r="H427" s="116"/>
      <c r="I427" s="99"/>
      <c r="K427" s="84"/>
      <c r="L427" s="84"/>
      <c r="M427" s="84"/>
      <c r="N427" s="84"/>
      <c r="O427" s="84"/>
      <c r="P427" s="84"/>
      <c r="Q427" s="84"/>
      <c r="R427" s="84"/>
    </row>
    <row r="428" ht="15.75" customHeight="1">
      <c r="A428" s="85">
        <v>1.2037108E7</v>
      </c>
      <c r="B428" s="113" t="s">
        <v>712</v>
      </c>
      <c r="C428" s="59"/>
      <c r="D428" s="116"/>
      <c r="E428" s="111"/>
      <c r="F428" s="111"/>
      <c r="G428" s="115"/>
      <c r="H428" s="116"/>
      <c r="I428" s="99"/>
      <c r="K428" s="84"/>
      <c r="L428" s="84"/>
      <c r="M428" s="84"/>
      <c r="N428" s="84"/>
      <c r="O428" s="84"/>
      <c r="P428" s="84"/>
      <c r="Q428" s="84"/>
      <c r="R428" s="84"/>
    </row>
    <row r="429" ht="15.75" customHeight="1">
      <c r="A429" s="85">
        <v>3.0010023E7</v>
      </c>
      <c r="B429" s="113" t="s">
        <v>713</v>
      </c>
      <c r="C429" s="59"/>
      <c r="D429" s="116"/>
      <c r="E429" s="92" t="s">
        <v>247</v>
      </c>
      <c r="F429" s="92" t="s">
        <v>247</v>
      </c>
      <c r="G429" s="115"/>
      <c r="H429" s="116"/>
      <c r="I429" s="99"/>
      <c r="K429" s="84"/>
      <c r="L429" s="84"/>
      <c r="M429" s="84"/>
      <c r="N429" s="84"/>
      <c r="O429" s="84"/>
      <c r="P429" s="84"/>
      <c r="Q429" s="84"/>
      <c r="R429" s="84"/>
    </row>
    <row r="430" ht="15.75" customHeight="1">
      <c r="A430" s="85">
        <v>1.2038101E7</v>
      </c>
      <c r="B430" s="113" t="s">
        <v>714</v>
      </c>
      <c r="C430" s="59"/>
      <c r="D430" s="116"/>
      <c r="E430" s="111"/>
      <c r="F430" s="100" t="s">
        <v>248</v>
      </c>
      <c r="G430" s="115"/>
      <c r="H430" s="116"/>
      <c r="I430" s="99"/>
      <c r="K430" s="84"/>
      <c r="L430" s="84"/>
      <c r="M430" s="84"/>
      <c r="N430" s="84"/>
      <c r="O430" s="84"/>
      <c r="P430" s="84"/>
      <c r="Q430" s="84"/>
      <c r="R430" s="84"/>
    </row>
    <row r="431" ht="15.75" customHeight="1">
      <c r="A431" s="85">
        <v>1.2038102E7</v>
      </c>
      <c r="B431" s="113" t="s">
        <v>715</v>
      </c>
      <c r="C431" s="59"/>
      <c r="D431" s="116"/>
      <c r="E431" s="111"/>
      <c r="F431" s="100" t="s">
        <v>663</v>
      </c>
      <c r="G431" s="93" t="s">
        <v>428</v>
      </c>
      <c r="H431" s="116"/>
      <c r="I431" s="99"/>
      <c r="K431" s="84"/>
      <c r="L431" s="84"/>
      <c r="M431" s="84"/>
      <c r="N431" s="84"/>
      <c r="O431" s="84"/>
      <c r="P431" s="84"/>
      <c r="Q431" s="84"/>
      <c r="R431" s="84"/>
    </row>
    <row r="432" ht="15.75" customHeight="1">
      <c r="A432" s="85">
        <v>1.2038103E7</v>
      </c>
      <c r="B432" s="113" t="s">
        <v>716</v>
      </c>
      <c r="C432" s="59"/>
      <c r="D432" s="116"/>
      <c r="E432" s="111"/>
      <c r="F432" s="100" t="s">
        <v>247</v>
      </c>
      <c r="G432" s="115"/>
      <c r="H432" s="116"/>
      <c r="I432" s="99"/>
      <c r="K432" s="84"/>
      <c r="L432" s="84"/>
      <c r="M432" s="84"/>
      <c r="N432" s="84"/>
      <c r="O432" s="84"/>
      <c r="P432" s="84"/>
      <c r="Q432" s="84"/>
      <c r="R432" s="84"/>
    </row>
    <row r="433" ht="15.75" customHeight="1">
      <c r="A433" s="85">
        <v>1.2038104E7</v>
      </c>
      <c r="B433" s="113" t="s">
        <v>717</v>
      </c>
      <c r="C433" s="59"/>
      <c r="D433" s="116"/>
      <c r="E433" s="111"/>
      <c r="F433" s="111"/>
      <c r="G433" s="115"/>
      <c r="H433" s="116"/>
      <c r="I433" s="99"/>
      <c r="K433" s="84"/>
      <c r="L433" s="84"/>
      <c r="M433" s="84"/>
      <c r="N433" s="84"/>
      <c r="O433" s="84"/>
      <c r="P433" s="84"/>
      <c r="Q433" s="84"/>
      <c r="R433" s="84"/>
    </row>
    <row r="434" ht="15.75" customHeight="1">
      <c r="A434" s="85">
        <v>1.2038105E7</v>
      </c>
      <c r="B434" s="113" t="s">
        <v>718</v>
      </c>
      <c r="C434" s="59"/>
      <c r="D434" s="116"/>
      <c r="E434" s="111"/>
      <c r="F434" s="111"/>
      <c r="G434" s="115"/>
      <c r="H434" s="116"/>
      <c r="I434" s="99"/>
      <c r="K434" s="84"/>
      <c r="L434" s="84"/>
      <c r="M434" s="84"/>
      <c r="N434" s="84"/>
      <c r="O434" s="84"/>
      <c r="P434" s="84"/>
      <c r="Q434" s="84"/>
      <c r="R434" s="84"/>
    </row>
    <row r="435" ht="15.75" customHeight="1">
      <c r="A435" s="85">
        <v>1.2038106E7</v>
      </c>
      <c r="B435" s="113" t="s">
        <v>719</v>
      </c>
      <c r="C435" s="59"/>
      <c r="D435" s="116"/>
      <c r="E435" s="111"/>
      <c r="F435" s="111"/>
      <c r="G435" s="115"/>
      <c r="H435" s="116"/>
      <c r="I435" s="99"/>
      <c r="K435" s="84"/>
      <c r="L435" s="84"/>
      <c r="M435" s="84"/>
      <c r="N435" s="84"/>
      <c r="O435" s="84"/>
      <c r="P435" s="84"/>
      <c r="Q435" s="84"/>
      <c r="R435" s="84"/>
    </row>
    <row r="436" ht="15.75" customHeight="1">
      <c r="A436" s="85">
        <v>1.2038107E7</v>
      </c>
      <c r="B436" s="113" t="s">
        <v>720</v>
      </c>
      <c r="C436" s="59"/>
      <c r="D436" s="116"/>
      <c r="E436" s="111"/>
      <c r="F436" s="111"/>
      <c r="G436" s="115"/>
      <c r="H436" s="116"/>
      <c r="I436" s="99"/>
      <c r="K436" s="84"/>
      <c r="L436" s="84"/>
      <c r="M436" s="84"/>
      <c r="N436" s="84"/>
      <c r="O436" s="84"/>
      <c r="P436" s="84"/>
      <c r="Q436" s="84"/>
      <c r="R436" s="84"/>
    </row>
    <row r="437" ht="15.75" customHeight="1">
      <c r="A437" s="85">
        <v>1.2038108E7</v>
      </c>
      <c r="B437" s="113" t="s">
        <v>721</v>
      </c>
      <c r="C437" s="59"/>
      <c r="D437" s="116"/>
      <c r="E437" s="111"/>
      <c r="F437" s="111"/>
      <c r="G437" s="115"/>
      <c r="H437" s="116"/>
      <c r="I437" s="99"/>
      <c r="K437" s="84"/>
      <c r="L437" s="84"/>
      <c r="M437" s="84"/>
      <c r="N437" s="84"/>
      <c r="O437" s="84"/>
      <c r="P437" s="84"/>
      <c r="Q437" s="84"/>
      <c r="R437" s="84"/>
    </row>
    <row r="438" ht="15.75" customHeight="1">
      <c r="A438" s="98">
        <v>1.2038109E7</v>
      </c>
      <c r="B438" s="113" t="s">
        <v>722</v>
      </c>
      <c r="C438" s="59"/>
      <c r="D438" s="116"/>
      <c r="E438" s="111"/>
      <c r="F438" s="100"/>
      <c r="G438" s="93" t="s">
        <v>428</v>
      </c>
      <c r="H438" s="116"/>
      <c r="I438" s="99"/>
      <c r="K438" s="84"/>
      <c r="L438" s="84"/>
      <c r="M438" s="84"/>
      <c r="N438" s="84"/>
      <c r="O438" s="84"/>
      <c r="P438" s="84"/>
      <c r="Q438" s="84"/>
      <c r="R438" s="84"/>
    </row>
    <row r="439" ht="15.75" customHeight="1">
      <c r="A439" s="98">
        <v>1.203811E7</v>
      </c>
      <c r="B439" s="113" t="s">
        <v>723</v>
      </c>
      <c r="C439" s="59"/>
      <c r="D439" s="116"/>
      <c r="E439" s="111"/>
      <c r="F439" s="111"/>
      <c r="G439" s="115"/>
      <c r="H439" s="116"/>
      <c r="I439" s="99"/>
      <c r="K439" s="84"/>
      <c r="L439" s="84"/>
      <c r="M439" s="84"/>
      <c r="N439" s="84"/>
      <c r="O439" s="84"/>
      <c r="P439" s="84"/>
      <c r="Q439" s="84"/>
      <c r="R439" s="84"/>
    </row>
    <row r="440" ht="15.75" customHeight="1">
      <c r="A440" s="98">
        <v>1.2038111E7</v>
      </c>
      <c r="B440" s="113" t="s">
        <v>724</v>
      </c>
      <c r="C440" s="59"/>
      <c r="D440" s="116"/>
      <c r="E440" s="111"/>
      <c r="F440" s="111"/>
      <c r="G440" s="115"/>
      <c r="H440" s="116"/>
      <c r="I440" s="99"/>
      <c r="K440" s="84"/>
      <c r="L440" s="84"/>
      <c r="M440" s="84"/>
      <c r="N440" s="84"/>
      <c r="O440" s="84"/>
      <c r="P440" s="84"/>
      <c r="Q440" s="84"/>
      <c r="R440" s="84"/>
    </row>
    <row r="441" ht="15.75" customHeight="1">
      <c r="A441" s="98">
        <v>1.2038112E7</v>
      </c>
      <c r="B441" s="113" t="s">
        <v>725</v>
      </c>
      <c r="C441" s="59"/>
      <c r="D441" s="116"/>
      <c r="E441" s="111"/>
      <c r="F441" s="111"/>
      <c r="G441" s="115"/>
      <c r="H441" s="116"/>
      <c r="I441" s="99"/>
      <c r="K441" s="84"/>
      <c r="L441" s="84"/>
      <c r="M441" s="84"/>
      <c r="N441" s="84"/>
      <c r="O441" s="84"/>
      <c r="P441" s="84"/>
      <c r="Q441" s="84"/>
      <c r="R441" s="84"/>
    </row>
    <row r="442" ht="15.75" customHeight="1">
      <c r="A442" s="85">
        <v>1.2040101E7</v>
      </c>
      <c r="B442" s="113" t="s">
        <v>726</v>
      </c>
      <c r="C442" s="59"/>
      <c r="D442" s="116"/>
      <c r="E442" s="111"/>
      <c r="F442" s="111"/>
      <c r="G442" s="115"/>
      <c r="H442" s="116"/>
      <c r="I442" s="99"/>
      <c r="K442" s="84"/>
      <c r="L442" s="84"/>
      <c r="M442" s="84"/>
      <c r="N442" s="84"/>
      <c r="O442" s="84"/>
      <c r="P442" s="84"/>
      <c r="Q442" s="84"/>
      <c r="R442" s="84"/>
    </row>
    <row r="443" ht="15.75" customHeight="1">
      <c r="A443" s="85">
        <v>1.2040102E7</v>
      </c>
      <c r="B443" s="113" t="s">
        <v>727</v>
      </c>
      <c r="C443" s="59"/>
      <c r="D443" s="116"/>
      <c r="E443" s="111"/>
      <c r="F443" s="111"/>
      <c r="G443" s="115"/>
      <c r="H443" s="116"/>
      <c r="I443" s="99"/>
      <c r="K443" s="84"/>
      <c r="L443" s="84"/>
      <c r="M443" s="84"/>
      <c r="N443" s="84"/>
      <c r="O443" s="84"/>
      <c r="P443" s="84"/>
      <c r="Q443" s="84"/>
      <c r="R443" s="84"/>
    </row>
    <row r="444" ht="15.75" customHeight="1">
      <c r="A444" s="105">
        <v>1.2053011E7</v>
      </c>
      <c r="B444" s="113" t="s">
        <v>728</v>
      </c>
      <c r="C444" s="59"/>
      <c r="D444" s="116"/>
      <c r="E444" s="111"/>
      <c r="F444" s="111"/>
      <c r="G444" s="115"/>
      <c r="H444" s="116"/>
      <c r="I444" s="99"/>
      <c r="K444" s="84"/>
      <c r="L444" s="84"/>
      <c r="M444" s="84"/>
      <c r="N444" s="84"/>
      <c r="O444" s="84"/>
      <c r="P444" s="84"/>
      <c r="Q444" s="84"/>
      <c r="R444" s="84"/>
    </row>
    <row r="445" ht="15.75" customHeight="1">
      <c r="A445" s="105">
        <v>1.2053012E7</v>
      </c>
      <c r="B445" s="113" t="s">
        <v>729</v>
      </c>
      <c r="C445" s="73"/>
      <c r="D445" s="116"/>
      <c r="E445" s="111"/>
      <c r="F445" s="100"/>
      <c r="G445" s="93" t="s">
        <v>428</v>
      </c>
      <c r="H445" s="116"/>
      <c r="I445" s="99"/>
      <c r="K445" s="84"/>
      <c r="L445" s="84"/>
      <c r="M445" s="84"/>
      <c r="N445" s="84"/>
      <c r="O445" s="84"/>
      <c r="P445" s="84"/>
      <c r="Q445" s="84"/>
      <c r="R445" s="84"/>
    </row>
    <row r="446" ht="15.75" customHeight="1">
      <c r="A446" s="85">
        <v>1.2099101E7</v>
      </c>
      <c r="B446" s="113" t="s">
        <v>730</v>
      </c>
      <c r="C446" s="86" t="s">
        <v>731</v>
      </c>
      <c r="D446" s="88"/>
      <c r="E446" s="100"/>
      <c r="F446" s="100"/>
      <c r="G446" s="93"/>
      <c r="H446" s="88"/>
      <c r="I446" s="99"/>
      <c r="K446" s="84"/>
      <c r="L446" s="84"/>
      <c r="M446" s="84"/>
      <c r="N446" s="84"/>
      <c r="O446" s="84"/>
      <c r="P446" s="84"/>
      <c r="Q446" s="84"/>
      <c r="R446" s="84"/>
    </row>
    <row r="447" ht="15.75" customHeight="1">
      <c r="A447" s="85">
        <v>1.2099102E7</v>
      </c>
      <c r="B447" s="113" t="s">
        <v>732</v>
      </c>
      <c r="C447" s="59"/>
      <c r="D447" s="88"/>
      <c r="E447" s="100"/>
      <c r="F447" s="100"/>
      <c r="G447" s="93"/>
      <c r="H447" s="88"/>
      <c r="I447" s="99"/>
      <c r="K447" s="84"/>
      <c r="L447" s="84"/>
      <c r="M447" s="84"/>
      <c r="N447" s="84"/>
      <c r="O447" s="84"/>
      <c r="P447" s="84"/>
      <c r="Q447" s="84"/>
      <c r="R447" s="84"/>
    </row>
    <row r="448" ht="15.75" customHeight="1">
      <c r="A448" s="85">
        <v>1.2041001E7</v>
      </c>
      <c r="B448" s="113" t="s">
        <v>733</v>
      </c>
      <c r="C448" s="59"/>
      <c r="D448" s="88"/>
      <c r="E448" s="92" t="s">
        <v>235</v>
      </c>
      <c r="F448" s="92" t="s">
        <v>235</v>
      </c>
      <c r="G448" s="93"/>
      <c r="H448" s="88"/>
      <c r="I448" s="99"/>
      <c r="K448" s="84"/>
      <c r="L448" s="84"/>
      <c r="M448" s="84"/>
      <c r="N448" s="84"/>
      <c r="O448" s="84"/>
      <c r="P448" s="84"/>
      <c r="Q448" s="84"/>
      <c r="R448" s="84"/>
    </row>
    <row r="449" ht="15.75" customHeight="1">
      <c r="A449" s="85">
        <v>1.2041002E7</v>
      </c>
      <c r="B449" s="113" t="s">
        <v>734</v>
      </c>
      <c r="C449" s="59"/>
      <c r="D449" s="88"/>
      <c r="E449" s="100"/>
      <c r="F449" s="92" t="s">
        <v>235</v>
      </c>
      <c r="G449" s="93"/>
      <c r="H449" s="88"/>
      <c r="I449" s="99"/>
      <c r="K449" s="84"/>
      <c r="L449" s="84"/>
      <c r="M449" s="84"/>
      <c r="N449" s="84"/>
      <c r="O449" s="84"/>
      <c r="P449" s="84"/>
      <c r="Q449" s="84"/>
      <c r="R449" s="84"/>
    </row>
    <row r="450" ht="15.75" customHeight="1">
      <c r="A450" s="85">
        <v>1.2041003E7</v>
      </c>
      <c r="B450" s="113" t="s">
        <v>735</v>
      </c>
      <c r="C450" s="59"/>
      <c r="D450" s="88"/>
      <c r="E450" s="92" t="s">
        <v>736</v>
      </c>
      <c r="F450" s="100"/>
      <c r="G450" s="85" t="s">
        <v>428</v>
      </c>
      <c r="H450" s="88"/>
      <c r="I450" s="99"/>
      <c r="K450" s="84"/>
      <c r="L450" s="84"/>
      <c r="M450" s="84"/>
      <c r="N450" s="84"/>
      <c r="O450" s="84"/>
      <c r="P450" s="84"/>
      <c r="Q450" s="84"/>
      <c r="R450" s="84"/>
    </row>
    <row r="451" ht="15.75" customHeight="1">
      <c r="A451" s="85">
        <v>1.2041004E7</v>
      </c>
      <c r="B451" s="113" t="s">
        <v>737</v>
      </c>
      <c r="C451" s="59"/>
      <c r="D451" s="88"/>
      <c r="E451" s="100"/>
      <c r="F451" s="92" t="s">
        <v>247</v>
      </c>
      <c r="G451" s="93"/>
      <c r="H451" s="88"/>
      <c r="I451" s="99"/>
      <c r="K451" s="84"/>
      <c r="L451" s="84"/>
      <c r="M451" s="84"/>
      <c r="N451" s="84"/>
      <c r="O451" s="84"/>
      <c r="P451" s="84"/>
      <c r="Q451" s="84"/>
      <c r="R451" s="84"/>
    </row>
    <row r="452" ht="15.75" customHeight="1">
      <c r="A452" s="85">
        <v>1.2041005E7</v>
      </c>
      <c r="B452" s="113" t="s">
        <v>738</v>
      </c>
      <c r="C452" s="59"/>
      <c r="D452" s="88"/>
      <c r="E452" s="92" t="s">
        <v>339</v>
      </c>
      <c r="F452" s="100"/>
      <c r="G452" s="85" t="s">
        <v>428</v>
      </c>
      <c r="H452" s="88"/>
      <c r="I452" s="99"/>
      <c r="K452" s="84"/>
      <c r="L452" s="84"/>
      <c r="M452" s="84"/>
      <c r="N452" s="84"/>
      <c r="O452" s="84"/>
      <c r="P452" s="84"/>
      <c r="Q452" s="84"/>
      <c r="R452" s="84"/>
    </row>
    <row r="453" ht="15.75" customHeight="1">
      <c r="A453" s="85">
        <v>1.2041006E7</v>
      </c>
      <c r="B453" s="113" t="s">
        <v>739</v>
      </c>
      <c r="C453" s="59"/>
      <c r="D453" s="88"/>
      <c r="E453" s="92" t="s">
        <v>740</v>
      </c>
      <c r="F453" s="100"/>
      <c r="G453" s="85" t="s">
        <v>428</v>
      </c>
      <c r="H453" s="88"/>
      <c r="I453" s="99"/>
      <c r="K453" s="84"/>
      <c r="L453" s="84"/>
      <c r="M453" s="84"/>
      <c r="N453" s="84"/>
      <c r="O453" s="84"/>
      <c r="P453" s="84"/>
      <c r="Q453" s="84"/>
      <c r="R453" s="84"/>
    </row>
    <row r="454" ht="15.75" customHeight="1">
      <c r="A454" s="85">
        <v>1.2041007E7</v>
      </c>
      <c r="B454" s="113" t="s">
        <v>741</v>
      </c>
      <c r="C454" s="59"/>
      <c r="D454" s="88"/>
      <c r="E454" s="100"/>
      <c r="F454" s="92" t="s">
        <v>235</v>
      </c>
      <c r="G454" s="93"/>
      <c r="H454" s="88"/>
      <c r="I454" s="99"/>
      <c r="K454" s="84"/>
      <c r="L454" s="84"/>
      <c r="M454" s="84"/>
      <c r="N454" s="84"/>
      <c r="O454" s="84"/>
      <c r="P454" s="84"/>
      <c r="Q454" s="84"/>
      <c r="R454" s="84"/>
    </row>
    <row r="455" ht="15.75" customHeight="1">
      <c r="A455" s="85">
        <v>1.2041008E7</v>
      </c>
      <c r="B455" s="98" t="s">
        <v>742</v>
      </c>
      <c r="C455" s="59"/>
      <c r="D455" s="88"/>
      <c r="E455" s="92" t="s">
        <v>736</v>
      </c>
      <c r="F455" s="100"/>
      <c r="G455" s="85" t="s">
        <v>428</v>
      </c>
      <c r="H455" s="88"/>
      <c r="I455" s="99"/>
      <c r="K455" s="84"/>
      <c r="L455" s="84"/>
      <c r="M455" s="84"/>
      <c r="N455" s="84"/>
      <c r="O455" s="84"/>
      <c r="P455" s="84"/>
      <c r="Q455" s="84"/>
      <c r="R455" s="84"/>
    </row>
    <row r="456" ht="15.75" customHeight="1">
      <c r="A456" s="85">
        <v>1.2041009E7</v>
      </c>
      <c r="B456" s="98" t="s">
        <v>743</v>
      </c>
      <c r="C456" s="59"/>
      <c r="D456" s="88"/>
      <c r="E456" s="100"/>
      <c r="F456" s="92" t="s">
        <v>247</v>
      </c>
      <c r="G456" s="93"/>
      <c r="H456" s="88"/>
      <c r="I456" s="99"/>
      <c r="K456" s="84"/>
      <c r="L456" s="84"/>
      <c r="M456" s="84"/>
      <c r="N456" s="84"/>
      <c r="O456" s="84"/>
      <c r="P456" s="84"/>
      <c r="Q456" s="84"/>
      <c r="R456" s="84"/>
    </row>
    <row r="457" ht="15.75" customHeight="1">
      <c r="A457" s="85">
        <v>1.204101E7</v>
      </c>
      <c r="B457" s="98" t="s">
        <v>744</v>
      </c>
      <c r="C457" s="59"/>
      <c r="D457" s="88"/>
      <c r="E457" s="92" t="s">
        <v>339</v>
      </c>
      <c r="F457" s="100"/>
      <c r="G457" s="85" t="s">
        <v>428</v>
      </c>
      <c r="H457" s="88"/>
      <c r="I457" s="99"/>
      <c r="K457" s="84"/>
      <c r="L457" s="84"/>
      <c r="M457" s="84"/>
      <c r="N457" s="84"/>
      <c r="O457" s="84"/>
      <c r="P457" s="84"/>
      <c r="Q457" s="84"/>
      <c r="R457" s="84"/>
    </row>
    <row r="458" ht="15.75" customHeight="1">
      <c r="A458" s="85">
        <v>1.2041011E7</v>
      </c>
      <c r="B458" s="98" t="s">
        <v>745</v>
      </c>
      <c r="C458" s="59"/>
      <c r="D458" s="88"/>
      <c r="E458" s="92" t="s">
        <v>740</v>
      </c>
      <c r="F458" s="100"/>
      <c r="G458" s="85" t="s">
        <v>428</v>
      </c>
      <c r="H458" s="88"/>
      <c r="I458" s="99"/>
      <c r="K458" s="84"/>
      <c r="L458" s="84"/>
      <c r="M458" s="84"/>
      <c r="N458" s="84"/>
      <c r="O458" s="84"/>
      <c r="P458" s="84"/>
      <c r="Q458" s="84"/>
      <c r="R458" s="84"/>
    </row>
    <row r="459" ht="15.75" customHeight="1">
      <c r="A459" s="85">
        <v>1.2041012E7</v>
      </c>
      <c r="B459" s="98" t="s">
        <v>746</v>
      </c>
      <c r="C459" s="59"/>
      <c r="D459" s="88"/>
      <c r="E459" s="100"/>
      <c r="F459" s="92" t="s">
        <v>235</v>
      </c>
      <c r="G459" s="93"/>
      <c r="H459" s="88"/>
      <c r="I459" s="99"/>
      <c r="K459" s="84"/>
      <c r="L459" s="84"/>
      <c r="M459" s="84"/>
      <c r="N459" s="84"/>
      <c r="O459" s="84"/>
      <c r="P459" s="84"/>
      <c r="Q459" s="84"/>
      <c r="R459" s="84"/>
    </row>
    <row r="460" ht="15.75" customHeight="1">
      <c r="A460" s="85">
        <v>1.2041013E7</v>
      </c>
      <c r="B460" s="98" t="s">
        <v>747</v>
      </c>
      <c r="C460" s="59"/>
      <c r="D460" s="88"/>
      <c r="E460" s="92" t="s">
        <v>736</v>
      </c>
      <c r="F460" s="100"/>
      <c r="G460" s="85" t="s">
        <v>428</v>
      </c>
      <c r="H460" s="88"/>
      <c r="I460" s="99"/>
      <c r="K460" s="84"/>
      <c r="L460" s="84"/>
      <c r="M460" s="84"/>
      <c r="N460" s="84"/>
      <c r="O460" s="84"/>
      <c r="P460" s="84"/>
      <c r="Q460" s="84"/>
      <c r="R460" s="84"/>
    </row>
    <row r="461" ht="15.75" customHeight="1">
      <c r="A461" s="85">
        <v>1.2041014E7</v>
      </c>
      <c r="B461" s="98" t="s">
        <v>748</v>
      </c>
      <c r="C461" s="59"/>
      <c r="D461" s="88"/>
      <c r="E461" s="100"/>
      <c r="F461" s="92" t="s">
        <v>247</v>
      </c>
      <c r="G461" s="93"/>
      <c r="H461" s="88"/>
      <c r="I461" s="99"/>
      <c r="K461" s="84"/>
      <c r="L461" s="84"/>
      <c r="M461" s="84"/>
      <c r="N461" s="84"/>
      <c r="O461" s="84"/>
      <c r="P461" s="84"/>
      <c r="Q461" s="84"/>
      <c r="R461" s="84"/>
    </row>
    <row r="462" ht="15.75" customHeight="1">
      <c r="A462" s="85">
        <v>1.2041015E7</v>
      </c>
      <c r="B462" s="98" t="s">
        <v>749</v>
      </c>
      <c r="C462" s="59"/>
      <c r="D462" s="88"/>
      <c r="E462" s="92" t="s">
        <v>339</v>
      </c>
      <c r="F462" s="100"/>
      <c r="G462" s="85" t="s">
        <v>428</v>
      </c>
      <c r="H462" s="88"/>
      <c r="I462" s="99"/>
      <c r="K462" s="84"/>
      <c r="L462" s="84"/>
      <c r="M462" s="84"/>
      <c r="N462" s="84"/>
      <c r="O462" s="84"/>
      <c r="P462" s="84"/>
      <c r="Q462" s="84"/>
      <c r="R462" s="84"/>
    </row>
    <row r="463" ht="15.75" customHeight="1">
      <c r="A463" s="85">
        <v>1.2041016E7</v>
      </c>
      <c r="B463" s="98" t="s">
        <v>750</v>
      </c>
      <c r="C463" s="59"/>
      <c r="D463" s="88"/>
      <c r="E463" s="92" t="s">
        <v>740</v>
      </c>
      <c r="F463" s="100"/>
      <c r="G463" s="85" t="s">
        <v>428</v>
      </c>
      <c r="H463" s="88"/>
      <c r="I463" s="99"/>
      <c r="K463" s="84"/>
      <c r="L463" s="84"/>
      <c r="M463" s="84"/>
      <c r="N463" s="84"/>
      <c r="O463" s="84"/>
      <c r="P463" s="84"/>
      <c r="Q463" s="84"/>
      <c r="R463" s="84"/>
    </row>
    <row r="464" ht="15.75" customHeight="1">
      <c r="A464" s="85">
        <v>1.2041017E7</v>
      </c>
      <c r="B464" s="98" t="s">
        <v>751</v>
      </c>
      <c r="C464" s="59"/>
      <c r="D464" s="88"/>
      <c r="E464" s="100"/>
      <c r="F464" s="92" t="s">
        <v>235</v>
      </c>
      <c r="G464" s="93"/>
      <c r="H464" s="88"/>
      <c r="I464" s="99"/>
      <c r="K464" s="84"/>
      <c r="L464" s="84"/>
      <c r="M464" s="84"/>
      <c r="N464" s="84"/>
      <c r="O464" s="84"/>
      <c r="P464" s="84"/>
      <c r="Q464" s="84"/>
      <c r="R464" s="84"/>
    </row>
    <row r="465" ht="15.75" customHeight="1">
      <c r="A465" s="85">
        <v>1.2041018E7</v>
      </c>
      <c r="B465" s="98" t="s">
        <v>752</v>
      </c>
      <c r="C465" s="59"/>
      <c r="D465" s="88"/>
      <c r="E465" s="92" t="s">
        <v>736</v>
      </c>
      <c r="F465" s="100"/>
      <c r="G465" s="85" t="s">
        <v>428</v>
      </c>
      <c r="H465" s="88"/>
      <c r="I465" s="99"/>
      <c r="K465" s="84"/>
      <c r="L465" s="84"/>
      <c r="M465" s="84"/>
      <c r="N465" s="84"/>
      <c r="O465" s="84"/>
      <c r="P465" s="84"/>
      <c r="Q465" s="84"/>
      <c r="R465" s="84"/>
    </row>
    <row r="466" ht="15.75" customHeight="1">
      <c r="A466" s="85">
        <v>1.2041019E7</v>
      </c>
      <c r="B466" s="98" t="s">
        <v>753</v>
      </c>
      <c r="C466" s="59"/>
      <c r="D466" s="88"/>
      <c r="E466" s="100"/>
      <c r="F466" s="92" t="s">
        <v>247</v>
      </c>
      <c r="G466" s="93"/>
      <c r="H466" s="88"/>
      <c r="I466" s="99"/>
      <c r="K466" s="84"/>
      <c r="L466" s="84"/>
      <c r="M466" s="84"/>
      <c r="N466" s="84"/>
      <c r="O466" s="84"/>
      <c r="P466" s="84"/>
      <c r="Q466" s="84"/>
      <c r="R466" s="84"/>
    </row>
    <row r="467" ht="15.75" customHeight="1">
      <c r="A467" s="85">
        <v>1.204102E7</v>
      </c>
      <c r="B467" s="98" t="s">
        <v>754</v>
      </c>
      <c r="C467" s="59"/>
      <c r="D467" s="88"/>
      <c r="E467" s="92" t="s">
        <v>339</v>
      </c>
      <c r="F467" s="100"/>
      <c r="G467" s="85" t="s">
        <v>428</v>
      </c>
      <c r="H467" s="88"/>
      <c r="I467" s="99"/>
      <c r="K467" s="84"/>
      <c r="L467" s="84"/>
      <c r="M467" s="84"/>
      <c r="N467" s="84"/>
      <c r="O467" s="84"/>
      <c r="P467" s="84"/>
      <c r="Q467" s="84"/>
      <c r="R467" s="84"/>
    </row>
    <row r="468" ht="15.75" customHeight="1">
      <c r="A468" s="85">
        <v>1.2041021E7</v>
      </c>
      <c r="B468" s="98" t="s">
        <v>755</v>
      </c>
      <c r="C468" s="59"/>
      <c r="D468" s="88"/>
      <c r="E468" s="92" t="s">
        <v>740</v>
      </c>
      <c r="F468" s="100"/>
      <c r="G468" s="85" t="s">
        <v>428</v>
      </c>
      <c r="H468" s="88"/>
      <c r="I468" s="99"/>
      <c r="K468" s="84"/>
      <c r="L468" s="84"/>
      <c r="M468" s="84"/>
      <c r="N468" s="84"/>
      <c r="O468" s="84"/>
      <c r="P468" s="84"/>
      <c r="Q468" s="84"/>
      <c r="R468" s="84"/>
    </row>
    <row r="469" ht="15.75" customHeight="1">
      <c r="A469" s="85">
        <v>1.2041022E7</v>
      </c>
      <c r="B469" s="98" t="s">
        <v>756</v>
      </c>
      <c r="C469" s="59"/>
      <c r="D469" s="88"/>
      <c r="E469" s="100"/>
      <c r="F469" s="92" t="s">
        <v>235</v>
      </c>
      <c r="G469" s="93"/>
      <c r="H469" s="88"/>
      <c r="I469" s="99"/>
      <c r="K469" s="84"/>
      <c r="L469" s="84"/>
      <c r="M469" s="84"/>
      <c r="N469" s="84"/>
      <c r="O469" s="84"/>
      <c r="P469" s="84"/>
      <c r="Q469" s="84"/>
      <c r="R469" s="84"/>
    </row>
    <row r="470" ht="15.75" customHeight="1">
      <c r="A470" s="85">
        <v>1.2041023E7</v>
      </c>
      <c r="B470" s="98" t="s">
        <v>757</v>
      </c>
      <c r="C470" s="59"/>
      <c r="D470" s="88"/>
      <c r="E470" s="92" t="s">
        <v>736</v>
      </c>
      <c r="F470" s="100"/>
      <c r="G470" s="85" t="s">
        <v>428</v>
      </c>
      <c r="H470" s="88"/>
      <c r="I470" s="99"/>
      <c r="K470" s="84"/>
      <c r="L470" s="84"/>
      <c r="M470" s="84"/>
      <c r="N470" s="84"/>
      <c r="O470" s="84"/>
      <c r="P470" s="84"/>
      <c r="Q470" s="84"/>
      <c r="R470" s="84"/>
    </row>
    <row r="471" ht="15.75" customHeight="1">
      <c r="A471" s="85">
        <v>1.2041024E7</v>
      </c>
      <c r="B471" s="98" t="s">
        <v>758</v>
      </c>
      <c r="C471" s="59"/>
      <c r="D471" s="88"/>
      <c r="E471" s="100"/>
      <c r="F471" s="92" t="s">
        <v>247</v>
      </c>
      <c r="G471" s="93"/>
      <c r="H471" s="88"/>
      <c r="I471" s="99"/>
      <c r="K471" s="84"/>
      <c r="L471" s="84"/>
      <c r="M471" s="84"/>
      <c r="N471" s="84"/>
      <c r="O471" s="84"/>
      <c r="P471" s="84"/>
      <c r="Q471" s="84"/>
      <c r="R471" s="84"/>
    </row>
    <row r="472" ht="15.75" customHeight="1">
      <c r="A472" s="85">
        <v>1.2041025E7</v>
      </c>
      <c r="B472" s="98" t="s">
        <v>759</v>
      </c>
      <c r="C472" s="59"/>
      <c r="D472" s="88"/>
      <c r="E472" s="92" t="s">
        <v>339</v>
      </c>
      <c r="F472" s="100"/>
      <c r="G472" s="85" t="s">
        <v>428</v>
      </c>
      <c r="H472" s="88"/>
      <c r="I472" s="99"/>
      <c r="K472" s="84"/>
      <c r="L472" s="84"/>
      <c r="M472" s="84"/>
      <c r="N472" s="84"/>
      <c r="O472" s="84"/>
      <c r="P472" s="84"/>
      <c r="Q472" s="84"/>
      <c r="R472" s="84"/>
    </row>
    <row r="473" ht="15.75" customHeight="1">
      <c r="A473" s="85">
        <v>1.2041026E7</v>
      </c>
      <c r="B473" s="98" t="s">
        <v>760</v>
      </c>
      <c r="C473" s="59"/>
      <c r="D473" s="88"/>
      <c r="E473" s="92" t="s">
        <v>740</v>
      </c>
      <c r="F473" s="100"/>
      <c r="G473" s="85" t="s">
        <v>428</v>
      </c>
      <c r="H473" s="88"/>
      <c r="I473" s="99"/>
      <c r="K473" s="84"/>
      <c r="L473" s="84"/>
      <c r="M473" s="84"/>
      <c r="N473" s="84"/>
      <c r="O473" s="84"/>
      <c r="P473" s="84"/>
      <c r="Q473" s="84"/>
      <c r="R473" s="84"/>
    </row>
    <row r="474" ht="15.75" customHeight="1">
      <c r="A474" s="85">
        <v>1.2041027E7</v>
      </c>
      <c r="B474" s="98" t="s">
        <v>761</v>
      </c>
      <c r="C474" s="59"/>
      <c r="D474" s="88"/>
      <c r="E474" s="100"/>
      <c r="F474" s="92" t="s">
        <v>235</v>
      </c>
      <c r="G474" s="93"/>
      <c r="H474" s="88"/>
      <c r="I474" s="99"/>
      <c r="K474" s="84"/>
      <c r="L474" s="84"/>
      <c r="M474" s="84"/>
      <c r="N474" s="84"/>
      <c r="O474" s="84"/>
      <c r="P474" s="84"/>
      <c r="Q474" s="84"/>
      <c r="R474" s="84"/>
    </row>
    <row r="475" ht="15.75" customHeight="1">
      <c r="A475" s="85">
        <v>1.2041028E7</v>
      </c>
      <c r="B475" s="98" t="s">
        <v>762</v>
      </c>
      <c r="C475" s="59"/>
      <c r="D475" s="88"/>
      <c r="E475" s="92" t="s">
        <v>736</v>
      </c>
      <c r="F475" s="100"/>
      <c r="G475" s="85" t="s">
        <v>428</v>
      </c>
      <c r="H475" s="88"/>
      <c r="I475" s="99"/>
      <c r="K475" s="84"/>
      <c r="L475" s="84"/>
      <c r="M475" s="84"/>
      <c r="N475" s="84"/>
      <c r="O475" s="84"/>
      <c r="P475" s="84"/>
      <c r="Q475" s="84"/>
      <c r="R475" s="84"/>
    </row>
    <row r="476" ht="15.75" customHeight="1">
      <c r="A476" s="85">
        <v>1.2041029E7</v>
      </c>
      <c r="B476" s="98" t="s">
        <v>763</v>
      </c>
      <c r="C476" s="59"/>
      <c r="D476" s="88"/>
      <c r="E476" s="100"/>
      <c r="F476" s="92" t="s">
        <v>247</v>
      </c>
      <c r="G476" s="93"/>
      <c r="H476" s="88"/>
      <c r="I476" s="99"/>
      <c r="K476" s="84"/>
      <c r="L476" s="84"/>
      <c r="M476" s="84"/>
      <c r="N476" s="84"/>
      <c r="O476" s="84"/>
      <c r="P476" s="84"/>
      <c r="Q476" s="84"/>
      <c r="R476" s="84"/>
    </row>
    <row r="477" ht="15.75" customHeight="1">
      <c r="A477" s="85">
        <v>1.204103E7</v>
      </c>
      <c r="B477" s="98" t="s">
        <v>764</v>
      </c>
      <c r="C477" s="59"/>
      <c r="D477" s="88"/>
      <c r="E477" s="92" t="s">
        <v>339</v>
      </c>
      <c r="F477" s="100"/>
      <c r="G477" s="85" t="s">
        <v>428</v>
      </c>
      <c r="H477" s="88"/>
      <c r="I477" s="99"/>
      <c r="K477" s="84"/>
      <c r="L477" s="84"/>
      <c r="M477" s="84"/>
      <c r="N477" s="84"/>
      <c r="O477" s="84"/>
      <c r="P477" s="84"/>
      <c r="Q477" s="84"/>
      <c r="R477" s="84"/>
    </row>
    <row r="478" ht="15.75" customHeight="1">
      <c r="A478" s="85">
        <v>1.2041031E7</v>
      </c>
      <c r="B478" s="98" t="s">
        <v>765</v>
      </c>
      <c r="C478" s="59"/>
      <c r="D478" s="88"/>
      <c r="E478" s="92" t="s">
        <v>740</v>
      </c>
      <c r="F478" s="100"/>
      <c r="G478" s="85" t="s">
        <v>428</v>
      </c>
      <c r="H478" s="88"/>
      <c r="I478" s="99"/>
      <c r="K478" s="84"/>
      <c r="L478" s="84"/>
      <c r="M478" s="84"/>
      <c r="N478" s="84"/>
      <c r="O478" s="84"/>
      <c r="P478" s="84"/>
      <c r="Q478" s="84"/>
      <c r="R478" s="84"/>
    </row>
    <row r="479" ht="15.75" customHeight="1">
      <c r="A479" s="85">
        <v>1.2041032E7</v>
      </c>
      <c r="B479" s="98" t="s">
        <v>766</v>
      </c>
      <c r="C479" s="59"/>
      <c r="D479" s="88"/>
      <c r="E479" s="100"/>
      <c r="F479" s="92" t="s">
        <v>235</v>
      </c>
      <c r="G479" s="93"/>
      <c r="H479" s="88"/>
      <c r="I479" s="99"/>
      <c r="K479" s="84"/>
      <c r="L479" s="84"/>
      <c r="M479" s="84"/>
      <c r="N479" s="84"/>
      <c r="O479" s="84"/>
      <c r="P479" s="84"/>
      <c r="Q479" s="84"/>
      <c r="R479" s="84"/>
    </row>
    <row r="480" ht="15.75" customHeight="1">
      <c r="A480" s="85">
        <v>1.2041033E7</v>
      </c>
      <c r="B480" s="98" t="s">
        <v>767</v>
      </c>
      <c r="C480" s="59"/>
      <c r="D480" s="88"/>
      <c r="E480" s="92" t="s">
        <v>736</v>
      </c>
      <c r="F480" s="100"/>
      <c r="G480" s="85" t="s">
        <v>428</v>
      </c>
      <c r="H480" s="88"/>
      <c r="I480" s="99"/>
      <c r="K480" s="84"/>
      <c r="L480" s="84"/>
      <c r="M480" s="84"/>
      <c r="N480" s="84"/>
      <c r="O480" s="84"/>
      <c r="P480" s="84"/>
      <c r="Q480" s="84"/>
      <c r="R480" s="84"/>
    </row>
    <row r="481" ht="15.75" customHeight="1">
      <c r="A481" s="85">
        <v>1.2041034E7</v>
      </c>
      <c r="B481" s="98" t="s">
        <v>768</v>
      </c>
      <c r="C481" s="59"/>
      <c r="D481" s="88"/>
      <c r="E481" s="100"/>
      <c r="F481" s="92" t="s">
        <v>247</v>
      </c>
      <c r="G481" s="93"/>
      <c r="H481" s="88"/>
      <c r="I481" s="99"/>
      <c r="K481" s="84"/>
      <c r="L481" s="84"/>
      <c r="M481" s="84"/>
      <c r="N481" s="84"/>
      <c r="O481" s="84"/>
      <c r="P481" s="84"/>
      <c r="Q481" s="84"/>
      <c r="R481" s="84"/>
    </row>
    <row r="482" ht="15.75" customHeight="1">
      <c r="A482" s="85">
        <v>1.2041035E7</v>
      </c>
      <c r="B482" s="98" t="s">
        <v>769</v>
      </c>
      <c r="C482" s="59"/>
      <c r="D482" s="88"/>
      <c r="E482" s="92" t="s">
        <v>339</v>
      </c>
      <c r="F482" s="100"/>
      <c r="G482" s="85" t="s">
        <v>428</v>
      </c>
      <c r="H482" s="88"/>
      <c r="I482" s="99"/>
      <c r="K482" s="84"/>
      <c r="L482" s="84"/>
      <c r="M482" s="84"/>
      <c r="N482" s="84"/>
      <c r="O482" s="84"/>
      <c r="P482" s="84"/>
      <c r="Q482" s="84"/>
      <c r="R482" s="84"/>
    </row>
    <row r="483" ht="15.75" customHeight="1">
      <c r="A483" s="85">
        <v>1.2041036E7</v>
      </c>
      <c r="B483" s="98" t="s">
        <v>770</v>
      </c>
      <c r="C483" s="59"/>
      <c r="D483" s="88"/>
      <c r="E483" s="92" t="s">
        <v>740</v>
      </c>
      <c r="F483" s="100"/>
      <c r="G483" s="85" t="s">
        <v>428</v>
      </c>
      <c r="H483" s="88"/>
      <c r="I483" s="99"/>
      <c r="K483" s="84"/>
      <c r="L483" s="84"/>
      <c r="M483" s="84"/>
      <c r="N483" s="84"/>
      <c r="O483" s="84"/>
      <c r="P483" s="84"/>
      <c r="Q483" s="84"/>
      <c r="R483" s="84"/>
    </row>
    <row r="484" ht="15.75" customHeight="1">
      <c r="A484" s="85">
        <v>1.2041037E7</v>
      </c>
      <c r="B484" s="98" t="s">
        <v>771</v>
      </c>
      <c r="C484" s="59"/>
      <c r="D484" s="88"/>
      <c r="E484" s="100"/>
      <c r="F484" s="92" t="s">
        <v>235</v>
      </c>
      <c r="G484" s="93"/>
      <c r="H484" s="88"/>
      <c r="I484" s="99"/>
      <c r="K484" s="84"/>
      <c r="L484" s="84"/>
      <c r="M484" s="84"/>
      <c r="N484" s="84"/>
      <c r="O484" s="84"/>
      <c r="P484" s="84"/>
      <c r="Q484" s="84"/>
      <c r="R484" s="84"/>
    </row>
    <row r="485" ht="15.75" customHeight="1">
      <c r="A485" s="85">
        <v>1.2041038E7</v>
      </c>
      <c r="B485" s="98" t="s">
        <v>772</v>
      </c>
      <c r="C485" s="59"/>
      <c r="D485" s="88"/>
      <c r="E485" s="92" t="s">
        <v>736</v>
      </c>
      <c r="F485" s="100"/>
      <c r="G485" s="85" t="s">
        <v>428</v>
      </c>
      <c r="H485" s="88"/>
      <c r="I485" s="99"/>
      <c r="K485" s="84"/>
      <c r="L485" s="84"/>
      <c r="M485" s="84"/>
      <c r="N485" s="84"/>
      <c r="O485" s="84"/>
      <c r="P485" s="84"/>
      <c r="Q485" s="84"/>
      <c r="R485" s="84"/>
    </row>
    <row r="486" ht="15.75" customHeight="1">
      <c r="A486" s="85">
        <v>1.2041039E7</v>
      </c>
      <c r="B486" s="98" t="s">
        <v>773</v>
      </c>
      <c r="C486" s="59"/>
      <c r="D486" s="88"/>
      <c r="E486" s="100"/>
      <c r="F486" s="92" t="s">
        <v>247</v>
      </c>
      <c r="G486" s="93"/>
      <c r="H486" s="88"/>
      <c r="I486" s="99"/>
      <c r="K486" s="84"/>
      <c r="L486" s="84"/>
      <c r="M486" s="84"/>
      <c r="N486" s="84"/>
      <c r="O486" s="84"/>
      <c r="P486" s="84"/>
      <c r="Q486" s="84"/>
      <c r="R486" s="84"/>
    </row>
    <row r="487" ht="15.75" customHeight="1">
      <c r="A487" s="85">
        <v>1.204104E7</v>
      </c>
      <c r="B487" s="98" t="s">
        <v>774</v>
      </c>
      <c r="C487" s="59"/>
      <c r="D487" s="88"/>
      <c r="E487" s="92" t="s">
        <v>339</v>
      </c>
      <c r="F487" s="100"/>
      <c r="G487" s="85" t="s">
        <v>428</v>
      </c>
      <c r="H487" s="88"/>
      <c r="I487" s="99"/>
      <c r="K487" s="84"/>
      <c r="L487" s="84"/>
      <c r="M487" s="84"/>
      <c r="N487" s="84"/>
      <c r="O487" s="84"/>
      <c r="P487" s="84"/>
      <c r="Q487" s="84"/>
      <c r="R487" s="84"/>
    </row>
    <row r="488" ht="15.75" customHeight="1">
      <c r="A488" s="85">
        <v>1.2041041E7</v>
      </c>
      <c r="B488" s="98" t="s">
        <v>775</v>
      </c>
      <c r="C488" s="59"/>
      <c r="D488" s="88"/>
      <c r="E488" s="92" t="s">
        <v>740</v>
      </c>
      <c r="F488" s="100"/>
      <c r="G488" s="85" t="s">
        <v>428</v>
      </c>
      <c r="H488" s="88"/>
      <c r="I488" s="99"/>
      <c r="K488" s="84"/>
      <c r="L488" s="84"/>
      <c r="M488" s="84"/>
      <c r="N488" s="84"/>
      <c r="O488" s="84"/>
      <c r="P488" s="84"/>
      <c r="Q488" s="84"/>
      <c r="R488" s="84"/>
    </row>
    <row r="489" ht="15.75" customHeight="1">
      <c r="A489" s="85">
        <v>1.2041042E7</v>
      </c>
      <c r="B489" s="98" t="s">
        <v>766</v>
      </c>
      <c r="C489" s="59"/>
      <c r="D489" s="88"/>
      <c r="E489" s="100"/>
      <c r="F489" s="92" t="s">
        <v>235</v>
      </c>
      <c r="G489" s="93"/>
      <c r="H489" s="88"/>
      <c r="I489" s="99"/>
      <c r="K489" s="84"/>
      <c r="L489" s="84"/>
      <c r="M489" s="84"/>
      <c r="N489" s="84"/>
      <c r="O489" s="84"/>
      <c r="P489" s="84"/>
      <c r="Q489" s="84"/>
      <c r="R489" s="84"/>
    </row>
    <row r="490" ht="15.75" customHeight="1">
      <c r="A490" s="85">
        <v>1.2041043E7</v>
      </c>
      <c r="B490" s="98" t="s">
        <v>767</v>
      </c>
      <c r="C490" s="59"/>
      <c r="D490" s="88"/>
      <c r="E490" s="92" t="s">
        <v>736</v>
      </c>
      <c r="F490" s="100"/>
      <c r="G490" s="85" t="s">
        <v>428</v>
      </c>
      <c r="H490" s="88"/>
      <c r="I490" s="99"/>
      <c r="K490" s="84"/>
      <c r="L490" s="84"/>
      <c r="M490" s="84"/>
      <c r="N490" s="84"/>
      <c r="O490" s="84"/>
      <c r="P490" s="84"/>
      <c r="Q490" s="84"/>
      <c r="R490" s="84"/>
    </row>
    <row r="491" ht="15.75" customHeight="1">
      <c r="A491" s="85">
        <v>1.2041044E7</v>
      </c>
      <c r="B491" s="98" t="s">
        <v>768</v>
      </c>
      <c r="C491" s="59"/>
      <c r="D491" s="88"/>
      <c r="E491" s="100"/>
      <c r="F491" s="92" t="s">
        <v>247</v>
      </c>
      <c r="G491" s="93"/>
      <c r="H491" s="88"/>
      <c r="I491" s="99"/>
      <c r="K491" s="84"/>
      <c r="L491" s="84"/>
      <c r="M491" s="84"/>
      <c r="N491" s="84"/>
      <c r="O491" s="84"/>
      <c r="P491" s="84"/>
      <c r="Q491" s="84"/>
      <c r="R491" s="84"/>
    </row>
    <row r="492" ht="15.75" customHeight="1">
      <c r="A492" s="85">
        <v>1.2041045E7</v>
      </c>
      <c r="B492" s="98" t="s">
        <v>769</v>
      </c>
      <c r="C492" s="59"/>
      <c r="D492" s="88"/>
      <c r="E492" s="92" t="s">
        <v>339</v>
      </c>
      <c r="F492" s="100"/>
      <c r="G492" s="85" t="s">
        <v>428</v>
      </c>
      <c r="H492" s="88"/>
      <c r="I492" s="99"/>
      <c r="K492" s="84"/>
      <c r="L492" s="84"/>
      <c r="M492" s="84"/>
      <c r="N492" s="84"/>
      <c r="O492" s="84"/>
      <c r="P492" s="84"/>
      <c r="Q492" s="84"/>
      <c r="R492" s="84"/>
    </row>
    <row r="493" ht="15.75" customHeight="1">
      <c r="A493" s="85">
        <v>1.2041046E7</v>
      </c>
      <c r="B493" s="98" t="s">
        <v>770</v>
      </c>
      <c r="C493" s="59"/>
      <c r="D493" s="88"/>
      <c r="E493" s="92" t="s">
        <v>740</v>
      </c>
      <c r="F493" s="100"/>
      <c r="G493" s="85" t="s">
        <v>428</v>
      </c>
      <c r="H493" s="88"/>
      <c r="I493" s="99"/>
      <c r="K493" s="84"/>
      <c r="L493" s="84"/>
      <c r="M493" s="84"/>
      <c r="N493" s="84"/>
      <c r="O493" s="84"/>
      <c r="P493" s="84"/>
      <c r="Q493" s="84"/>
      <c r="R493" s="84"/>
    </row>
    <row r="494" ht="15.75" customHeight="1">
      <c r="A494" s="85">
        <v>1.2099103E7</v>
      </c>
      <c r="B494" s="98" t="s">
        <v>776</v>
      </c>
      <c r="C494" s="59"/>
      <c r="D494" s="88"/>
      <c r="E494" s="100"/>
      <c r="F494" s="100"/>
      <c r="G494" s="93"/>
      <c r="H494" s="88"/>
      <c r="I494" s="99"/>
      <c r="K494" s="84"/>
      <c r="L494" s="84"/>
      <c r="M494" s="84"/>
      <c r="N494" s="84"/>
      <c r="O494" s="84"/>
      <c r="P494" s="84"/>
      <c r="Q494" s="84"/>
      <c r="R494" s="84"/>
    </row>
    <row r="495" ht="15.75" customHeight="1">
      <c r="A495" s="85">
        <v>1.2099104E7</v>
      </c>
      <c r="B495" s="98" t="s">
        <v>777</v>
      </c>
      <c r="C495" s="59"/>
      <c r="D495" s="88"/>
      <c r="E495" s="100"/>
      <c r="F495" s="100"/>
      <c r="G495" s="93"/>
      <c r="H495" s="88"/>
      <c r="I495" s="99"/>
      <c r="K495" s="84"/>
      <c r="L495" s="84"/>
      <c r="M495" s="84"/>
      <c r="N495" s="84"/>
      <c r="O495" s="84"/>
      <c r="P495" s="84"/>
      <c r="Q495" s="84"/>
      <c r="R495" s="84"/>
    </row>
    <row r="496" ht="15.75" customHeight="1">
      <c r="A496" s="85">
        <v>1.2042001E7</v>
      </c>
      <c r="B496" s="98" t="s">
        <v>778</v>
      </c>
      <c r="C496" s="59"/>
      <c r="D496" s="88"/>
      <c r="E496" s="92" t="s">
        <v>235</v>
      </c>
      <c r="F496" s="92" t="s">
        <v>235</v>
      </c>
      <c r="G496" s="93"/>
      <c r="H496" s="88"/>
      <c r="I496" s="99"/>
      <c r="K496" s="84"/>
      <c r="L496" s="84"/>
      <c r="M496" s="84"/>
      <c r="N496" s="84"/>
      <c r="O496" s="84"/>
      <c r="P496" s="84"/>
      <c r="Q496" s="84"/>
      <c r="R496" s="84"/>
    </row>
    <row r="497" ht="15.75" customHeight="1">
      <c r="A497" s="85">
        <v>1.2042002E7</v>
      </c>
      <c r="B497" s="98" t="s">
        <v>779</v>
      </c>
      <c r="C497" s="59"/>
      <c r="D497" s="88"/>
      <c r="E497" s="100"/>
      <c r="F497" s="92" t="s">
        <v>235</v>
      </c>
      <c r="G497" s="93"/>
      <c r="H497" s="88"/>
      <c r="I497" s="99"/>
      <c r="K497" s="84"/>
      <c r="L497" s="84"/>
      <c r="M497" s="84"/>
      <c r="N497" s="84"/>
      <c r="O497" s="84"/>
      <c r="P497" s="84"/>
      <c r="Q497" s="84"/>
      <c r="R497" s="84"/>
    </row>
    <row r="498" ht="15.75" customHeight="1">
      <c r="A498" s="85">
        <v>1.2042003E7</v>
      </c>
      <c r="B498" s="98" t="s">
        <v>780</v>
      </c>
      <c r="C498" s="59"/>
      <c r="D498" s="88"/>
      <c r="E498" s="92" t="s">
        <v>736</v>
      </c>
      <c r="F498" s="100"/>
      <c r="G498" s="85" t="s">
        <v>428</v>
      </c>
      <c r="H498" s="88"/>
      <c r="I498" s="99"/>
      <c r="K498" s="84"/>
      <c r="L498" s="84"/>
      <c r="M498" s="84"/>
      <c r="N498" s="84"/>
      <c r="O498" s="84"/>
      <c r="P498" s="84"/>
      <c r="Q498" s="84"/>
      <c r="R498" s="84"/>
    </row>
    <row r="499" ht="15.75" customHeight="1">
      <c r="A499" s="85">
        <v>1.2042004E7</v>
      </c>
      <c r="B499" s="98" t="s">
        <v>781</v>
      </c>
      <c r="C499" s="59"/>
      <c r="D499" s="88"/>
      <c r="E499" s="100"/>
      <c r="F499" s="92" t="s">
        <v>247</v>
      </c>
      <c r="G499" s="93"/>
      <c r="H499" s="88"/>
      <c r="I499" s="99"/>
      <c r="K499" s="84"/>
      <c r="L499" s="84"/>
      <c r="M499" s="84"/>
      <c r="N499" s="84"/>
      <c r="O499" s="84"/>
      <c r="P499" s="84"/>
      <c r="Q499" s="84"/>
      <c r="R499" s="84"/>
    </row>
    <row r="500" ht="15.75" customHeight="1">
      <c r="A500" s="85">
        <v>1.2042005E7</v>
      </c>
      <c r="B500" s="98" t="s">
        <v>782</v>
      </c>
      <c r="C500" s="59"/>
      <c r="D500" s="88"/>
      <c r="E500" s="92" t="s">
        <v>339</v>
      </c>
      <c r="F500" s="100"/>
      <c r="G500" s="85" t="s">
        <v>428</v>
      </c>
      <c r="H500" s="88"/>
      <c r="I500" s="99"/>
      <c r="K500" s="84"/>
      <c r="L500" s="84"/>
      <c r="M500" s="84"/>
      <c r="N500" s="84"/>
      <c r="O500" s="84"/>
      <c r="P500" s="84"/>
      <c r="Q500" s="84"/>
      <c r="R500" s="84"/>
    </row>
    <row r="501" ht="15.75" customHeight="1">
      <c r="A501" s="85">
        <v>1.2042006E7</v>
      </c>
      <c r="B501" s="98" t="s">
        <v>783</v>
      </c>
      <c r="C501" s="59"/>
      <c r="D501" s="88"/>
      <c r="E501" s="92" t="s">
        <v>740</v>
      </c>
      <c r="F501" s="100"/>
      <c r="G501" s="85" t="s">
        <v>428</v>
      </c>
      <c r="H501" s="88"/>
      <c r="I501" s="99"/>
      <c r="K501" s="84"/>
      <c r="L501" s="84"/>
      <c r="M501" s="84"/>
      <c r="N501" s="84"/>
      <c r="O501" s="84"/>
      <c r="P501" s="84"/>
      <c r="Q501" s="84"/>
      <c r="R501" s="84"/>
    </row>
    <row r="502" ht="15.75" customHeight="1">
      <c r="A502" s="85">
        <v>1.2042007E7</v>
      </c>
      <c r="B502" s="98" t="s">
        <v>784</v>
      </c>
      <c r="C502" s="59"/>
      <c r="D502" s="88"/>
      <c r="E502" s="100"/>
      <c r="F502" s="92" t="s">
        <v>235</v>
      </c>
      <c r="G502" s="93"/>
      <c r="H502" s="88"/>
      <c r="I502" s="99"/>
      <c r="K502" s="84"/>
      <c r="L502" s="84"/>
      <c r="M502" s="84"/>
      <c r="N502" s="84"/>
      <c r="O502" s="84"/>
      <c r="P502" s="84"/>
      <c r="Q502" s="84"/>
      <c r="R502" s="84"/>
    </row>
    <row r="503" ht="15.75" customHeight="1">
      <c r="A503" s="85">
        <v>1.2042008E7</v>
      </c>
      <c r="B503" s="98" t="s">
        <v>785</v>
      </c>
      <c r="C503" s="59"/>
      <c r="D503" s="88"/>
      <c r="E503" s="92" t="s">
        <v>736</v>
      </c>
      <c r="F503" s="100"/>
      <c r="G503" s="85" t="s">
        <v>428</v>
      </c>
      <c r="H503" s="88"/>
      <c r="I503" s="99"/>
      <c r="K503" s="84"/>
      <c r="L503" s="84"/>
      <c r="M503" s="84"/>
      <c r="N503" s="84"/>
      <c r="O503" s="84"/>
      <c r="P503" s="84"/>
      <c r="Q503" s="84"/>
      <c r="R503" s="84"/>
    </row>
    <row r="504" ht="15.75" customHeight="1">
      <c r="A504" s="85">
        <v>1.2042009E7</v>
      </c>
      <c r="B504" s="98" t="s">
        <v>786</v>
      </c>
      <c r="C504" s="59"/>
      <c r="D504" s="88"/>
      <c r="E504" s="100"/>
      <c r="F504" s="92" t="s">
        <v>247</v>
      </c>
      <c r="G504" s="93"/>
      <c r="H504" s="88"/>
      <c r="I504" s="99"/>
      <c r="K504" s="84"/>
      <c r="L504" s="84"/>
      <c r="M504" s="84"/>
      <c r="N504" s="84"/>
      <c r="O504" s="84"/>
      <c r="P504" s="84"/>
      <c r="Q504" s="84"/>
      <c r="R504" s="84"/>
    </row>
    <row r="505" ht="15.75" customHeight="1">
      <c r="A505" s="85">
        <v>1.204201E7</v>
      </c>
      <c r="B505" s="98" t="s">
        <v>787</v>
      </c>
      <c r="C505" s="59"/>
      <c r="D505" s="88"/>
      <c r="E505" s="92" t="s">
        <v>339</v>
      </c>
      <c r="F505" s="100"/>
      <c r="G505" s="85" t="s">
        <v>428</v>
      </c>
      <c r="H505" s="88"/>
      <c r="I505" s="99"/>
      <c r="K505" s="84"/>
      <c r="L505" s="84"/>
      <c r="M505" s="84"/>
      <c r="N505" s="84"/>
      <c r="O505" s="84"/>
      <c r="P505" s="84"/>
      <c r="Q505" s="84"/>
      <c r="R505" s="84"/>
    </row>
    <row r="506" ht="15.75" customHeight="1">
      <c r="A506" s="85">
        <v>1.2042011E7</v>
      </c>
      <c r="B506" s="98" t="s">
        <v>788</v>
      </c>
      <c r="C506" s="59"/>
      <c r="D506" s="88"/>
      <c r="E506" s="92" t="s">
        <v>740</v>
      </c>
      <c r="F506" s="100"/>
      <c r="G506" s="85" t="s">
        <v>428</v>
      </c>
      <c r="H506" s="88"/>
      <c r="I506" s="99"/>
      <c r="K506" s="84"/>
      <c r="L506" s="84"/>
      <c r="M506" s="84"/>
      <c r="N506" s="84"/>
      <c r="O506" s="84"/>
      <c r="P506" s="84"/>
      <c r="Q506" s="84"/>
      <c r="R506" s="84"/>
    </row>
    <row r="507" ht="15.75" customHeight="1">
      <c r="A507" s="85">
        <v>1.2042012E7</v>
      </c>
      <c r="B507" s="98" t="s">
        <v>789</v>
      </c>
      <c r="C507" s="59"/>
      <c r="D507" s="88"/>
      <c r="E507" s="100"/>
      <c r="F507" s="92" t="s">
        <v>235</v>
      </c>
      <c r="G507" s="93"/>
      <c r="H507" s="88"/>
      <c r="I507" s="99"/>
      <c r="K507" s="84"/>
      <c r="L507" s="84"/>
      <c r="M507" s="84"/>
      <c r="N507" s="84"/>
      <c r="O507" s="84"/>
      <c r="P507" s="84"/>
      <c r="Q507" s="84"/>
      <c r="R507" s="84"/>
    </row>
    <row r="508" ht="15.75" customHeight="1">
      <c r="A508" s="85">
        <v>1.2042013E7</v>
      </c>
      <c r="B508" s="98" t="s">
        <v>790</v>
      </c>
      <c r="C508" s="59"/>
      <c r="D508" s="88"/>
      <c r="E508" s="92" t="s">
        <v>736</v>
      </c>
      <c r="F508" s="100"/>
      <c r="G508" s="85" t="s">
        <v>428</v>
      </c>
      <c r="H508" s="88"/>
      <c r="I508" s="99"/>
      <c r="K508" s="84"/>
      <c r="L508" s="84"/>
      <c r="M508" s="84"/>
      <c r="N508" s="84"/>
      <c r="O508" s="84"/>
      <c r="P508" s="84"/>
      <c r="Q508" s="84"/>
      <c r="R508" s="84"/>
    </row>
    <row r="509" ht="15.75" customHeight="1">
      <c r="A509" s="85">
        <v>1.2042014E7</v>
      </c>
      <c r="B509" s="98" t="s">
        <v>791</v>
      </c>
      <c r="C509" s="59"/>
      <c r="D509" s="88"/>
      <c r="E509" s="100"/>
      <c r="F509" s="92" t="s">
        <v>247</v>
      </c>
      <c r="G509" s="93"/>
      <c r="H509" s="88"/>
      <c r="I509" s="99"/>
      <c r="K509" s="84"/>
      <c r="L509" s="84"/>
      <c r="M509" s="84"/>
      <c r="N509" s="84"/>
      <c r="O509" s="84"/>
      <c r="P509" s="84"/>
      <c r="Q509" s="84"/>
      <c r="R509" s="84"/>
    </row>
    <row r="510" ht="15.75" customHeight="1">
      <c r="A510" s="85">
        <v>1.2042015E7</v>
      </c>
      <c r="B510" s="98" t="s">
        <v>792</v>
      </c>
      <c r="C510" s="59"/>
      <c r="D510" s="88"/>
      <c r="E510" s="92" t="s">
        <v>339</v>
      </c>
      <c r="F510" s="100"/>
      <c r="G510" s="85" t="s">
        <v>428</v>
      </c>
      <c r="H510" s="88"/>
      <c r="I510" s="99"/>
      <c r="K510" s="84"/>
      <c r="L510" s="84"/>
      <c r="M510" s="84"/>
      <c r="N510" s="84"/>
      <c r="O510" s="84"/>
      <c r="P510" s="84"/>
      <c r="Q510" s="84"/>
      <c r="R510" s="84"/>
    </row>
    <row r="511" ht="15.75" customHeight="1">
      <c r="A511" s="85">
        <v>1.2042016E7</v>
      </c>
      <c r="B511" s="98" t="s">
        <v>793</v>
      </c>
      <c r="C511" s="59"/>
      <c r="D511" s="88"/>
      <c r="E511" s="92" t="s">
        <v>740</v>
      </c>
      <c r="F511" s="100"/>
      <c r="G511" s="85" t="s">
        <v>428</v>
      </c>
      <c r="H511" s="88"/>
      <c r="I511" s="99"/>
      <c r="K511" s="84"/>
      <c r="L511" s="84"/>
      <c r="M511" s="84"/>
      <c r="N511" s="84"/>
      <c r="O511" s="84"/>
      <c r="P511" s="84"/>
      <c r="Q511" s="84"/>
      <c r="R511" s="84"/>
    </row>
    <row r="512" ht="15.75" customHeight="1">
      <c r="A512" s="85">
        <v>1.2042017E7</v>
      </c>
      <c r="B512" s="98" t="s">
        <v>794</v>
      </c>
      <c r="C512" s="59"/>
      <c r="D512" s="88"/>
      <c r="E512" s="100"/>
      <c r="F512" s="92" t="s">
        <v>235</v>
      </c>
      <c r="G512" s="93"/>
      <c r="H512" s="88"/>
      <c r="I512" s="99"/>
      <c r="K512" s="84"/>
      <c r="L512" s="84"/>
      <c r="M512" s="84"/>
      <c r="N512" s="84"/>
      <c r="O512" s="84"/>
      <c r="P512" s="84"/>
      <c r="Q512" s="84"/>
      <c r="R512" s="84"/>
    </row>
    <row r="513" ht="15.75" customHeight="1">
      <c r="A513" s="85">
        <v>1.2042018E7</v>
      </c>
      <c r="B513" s="98" t="s">
        <v>795</v>
      </c>
      <c r="C513" s="59"/>
      <c r="D513" s="88"/>
      <c r="E513" s="92" t="s">
        <v>736</v>
      </c>
      <c r="F513" s="100"/>
      <c r="G513" s="85" t="s">
        <v>428</v>
      </c>
      <c r="H513" s="88"/>
      <c r="I513" s="99"/>
      <c r="K513" s="84"/>
      <c r="L513" s="119"/>
      <c r="M513" s="84"/>
      <c r="N513" s="84"/>
      <c r="O513" s="84"/>
      <c r="P513" s="84"/>
      <c r="Q513" s="84"/>
      <c r="R513" s="84"/>
    </row>
    <row r="514" ht="15.75" customHeight="1">
      <c r="A514" s="85">
        <v>1.2042019E7</v>
      </c>
      <c r="B514" s="98" t="s">
        <v>796</v>
      </c>
      <c r="C514" s="59"/>
      <c r="D514" s="88"/>
      <c r="E514" s="100"/>
      <c r="F514" s="92" t="s">
        <v>247</v>
      </c>
      <c r="G514" s="93"/>
      <c r="H514" s="88"/>
      <c r="I514" s="99"/>
      <c r="K514" s="84"/>
      <c r="L514" s="120"/>
      <c r="M514" s="84"/>
      <c r="N514" s="84"/>
      <c r="O514" s="84"/>
      <c r="P514" s="84"/>
      <c r="Q514" s="84"/>
      <c r="R514" s="84"/>
    </row>
    <row r="515" ht="15.75" customHeight="1">
      <c r="A515" s="85">
        <v>1.204202E7</v>
      </c>
      <c r="B515" s="98" t="s">
        <v>797</v>
      </c>
      <c r="C515" s="59"/>
      <c r="D515" s="88"/>
      <c r="E515" s="92" t="s">
        <v>339</v>
      </c>
      <c r="F515" s="100"/>
      <c r="G515" s="85" t="s">
        <v>428</v>
      </c>
      <c r="H515" s="88"/>
      <c r="I515" s="99"/>
      <c r="K515" s="84"/>
      <c r="L515" s="84"/>
      <c r="M515" s="84"/>
      <c r="N515" s="84"/>
      <c r="O515" s="84"/>
      <c r="P515" s="84"/>
      <c r="Q515" s="84"/>
      <c r="R515" s="84"/>
    </row>
    <row r="516" ht="15.75" customHeight="1">
      <c r="A516" s="85">
        <v>1.2042021E7</v>
      </c>
      <c r="B516" s="98" t="s">
        <v>798</v>
      </c>
      <c r="C516" s="59"/>
      <c r="D516" s="88"/>
      <c r="E516" s="92" t="s">
        <v>740</v>
      </c>
      <c r="F516" s="100"/>
      <c r="G516" s="85" t="s">
        <v>428</v>
      </c>
      <c r="H516" s="88"/>
      <c r="I516" s="99"/>
      <c r="K516" s="84"/>
      <c r="L516" s="84"/>
      <c r="M516" s="84"/>
      <c r="N516" s="84"/>
      <c r="O516" s="84"/>
      <c r="P516" s="84"/>
      <c r="Q516" s="84"/>
      <c r="R516" s="84"/>
    </row>
    <row r="517" ht="15.75" customHeight="1">
      <c r="A517" s="85">
        <v>1.2042022E7</v>
      </c>
      <c r="B517" s="98" t="s">
        <v>799</v>
      </c>
      <c r="C517" s="59"/>
      <c r="D517" s="88"/>
      <c r="E517" s="100"/>
      <c r="F517" s="92" t="s">
        <v>235</v>
      </c>
      <c r="G517" s="93"/>
      <c r="H517" s="88"/>
      <c r="I517" s="99"/>
      <c r="K517" s="84"/>
      <c r="L517" s="84"/>
      <c r="M517" s="84"/>
      <c r="N517" s="84"/>
      <c r="O517" s="84"/>
      <c r="P517" s="84"/>
      <c r="Q517" s="84"/>
      <c r="R517" s="84"/>
    </row>
    <row r="518" ht="15.75" customHeight="1">
      <c r="A518" s="85">
        <v>1.2042023E7</v>
      </c>
      <c r="B518" s="98" t="s">
        <v>800</v>
      </c>
      <c r="C518" s="59"/>
      <c r="D518" s="88"/>
      <c r="E518" s="92" t="s">
        <v>736</v>
      </c>
      <c r="F518" s="100"/>
      <c r="G518" s="85" t="s">
        <v>428</v>
      </c>
      <c r="H518" s="88"/>
      <c r="I518" s="99"/>
      <c r="K518" s="84"/>
      <c r="L518" s="84"/>
      <c r="M518" s="84"/>
      <c r="N518" s="84"/>
      <c r="O518" s="84"/>
      <c r="P518" s="84"/>
      <c r="Q518" s="84"/>
      <c r="R518" s="84"/>
    </row>
    <row r="519" ht="15.75" customHeight="1">
      <c r="A519" s="85">
        <v>1.2042024E7</v>
      </c>
      <c r="B519" s="98" t="s">
        <v>801</v>
      </c>
      <c r="C519" s="59"/>
      <c r="D519" s="88"/>
      <c r="E519" s="100"/>
      <c r="F519" s="92" t="s">
        <v>247</v>
      </c>
      <c r="G519" s="93"/>
      <c r="H519" s="88"/>
      <c r="I519" s="99"/>
      <c r="K519" s="84"/>
      <c r="L519" s="84"/>
      <c r="M519" s="84"/>
      <c r="N519" s="84"/>
      <c r="O519" s="84"/>
      <c r="P519" s="84"/>
      <c r="Q519" s="84"/>
      <c r="R519" s="84"/>
    </row>
    <row r="520" ht="15.75" customHeight="1">
      <c r="A520" s="85">
        <v>1.2042025E7</v>
      </c>
      <c r="B520" s="98" t="s">
        <v>802</v>
      </c>
      <c r="C520" s="59"/>
      <c r="D520" s="88"/>
      <c r="E520" s="92" t="s">
        <v>339</v>
      </c>
      <c r="F520" s="100"/>
      <c r="G520" s="85" t="s">
        <v>428</v>
      </c>
      <c r="H520" s="88"/>
      <c r="I520" s="99"/>
      <c r="K520" s="84"/>
      <c r="L520" s="84"/>
      <c r="M520" s="84"/>
      <c r="N520" s="84"/>
      <c r="O520" s="84"/>
      <c r="P520" s="84"/>
      <c r="Q520" s="84"/>
      <c r="R520" s="84"/>
    </row>
    <row r="521" ht="15.75" customHeight="1">
      <c r="A521" s="85">
        <v>1.2042026E7</v>
      </c>
      <c r="B521" s="98" t="s">
        <v>803</v>
      </c>
      <c r="C521" s="59"/>
      <c r="D521" s="88"/>
      <c r="E521" s="92" t="s">
        <v>740</v>
      </c>
      <c r="F521" s="100"/>
      <c r="G521" s="85" t="s">
        <v>428</v>
      </c>
      <c r="H521" s="88"/>
      <c r="I521" s="99"/>
      <c r="K521" s="84"/>
      <c r="L521" s="84"/>
      <c r="M521" s="84"/>
      <c r="N521" s="84"/>
      <c r="O521" s="84"/>
      <c r="P521" s="84"/>
      <c r="Q521" s="84"/>
      <c r="R521" s="84"/>
    </row>
    <row r="522" ht="15.75" customHeight="1">
      <c r="A522" s="85">
        <v>1.2042027E7</v>
      </c>
      <c r="B522" s="98" t="s">
        <v>804</v>
      </c>
      <c r="C522" s="59"/>
      <c r="D522" s="88"/>
      <c r="E522" s="100"/>
      <c r="F522" s="92" t="s">
        <v>235</v>
      </c>
      <c r="G522" s="93"/>
      <c r="H522" s="88"/>
      <c r="I522" s="99"/>
      <c r="K522" s="84"/>
      <c r="L522" s="84"/>
      <c r="M522" s="84"/>
      <c r="N522" s="84"/>
      <c r="O522" s="84"/>
      <c r="P522" s="84"/>
      <c r="Q522" s="84"/>
      <c r="R522" s="84"/>
    </row>
    <row r="523" ht="15.75" customHeight="1">
      <c r="A523" s="85">
        <v>1.2042028E7</v>
      </c>
      <c r="B523" s="98" t="s">
        <v>805</v>
      </c>
      <c r="C523" s="59"/>
      <c r="D523" s="88"/>
      <c r="E523" s="92" t="s">
        <v>736</v>
      </c>
      <c r="F523" s="100"/>
      <c r="G523" s="85" t="s">
        <v>428</v>
      </c>
      <c r="H523" s="88"/>
      <c r="I523" s="99"/>
      <c r="K523" s="84"/>
      <c r="L523" s="84"/>
      <c r="M523" s="84"/>
      <c r="N523" s="84"/>
      <c r="O523" s="84"/>
      <c r="P523" s="84"/>
      <c r="Q523" s="84"/>
      <c r="R523" s="84"/>
    </row>
    <row r="524" ht="15.75" customHeight="1">
      <c r="A524" s="85">
        <v>1.2042029E7</v>
      </c>
      <c r="B524" s="98" t="s">
        <v>806</v>
      </c>
      <c r="C524" s="59"/>
      <c r="D524" s="88"/>
      <c r="E524" s="100"/>
      <c r="F524" s="92" t="s">
        <v>247</v>
      </c>
      <c r="G524" s="93"/>
      <c r="H524" s="88"/>
      <c r="I524" s="99"/>
      <c r="K524" s="119"/>
      <c r="L524" s="84"/>
      <c r="M524" s="119"/>
      <c r="N524" s="119"/>
      <c r="O524" s="119"/>
      <c r="P524" s="119"/>
      <c r="Q524" s="119"/>
      <c r="R524" s="119"/>
    </row>
    <row r="525" ht="15.75" customHeight="1">
      <c r="A525" s="85">
        <v>1.204203E7</v>
      </c>
      <c r="B525" s="98" t="s">
        <v>807</v>
      </c>
      <c r="C525" s="59"/>
      <c r="D525" s="88"/>
      <c r="E525" s="92" t="s">
        <v>339</v>
      </c>
      <c r="F525" s="100"/>
      <c r="G525" s="85" t="s">
        <v>428</v>
      </c>
      <c r="H525" s="88"/>
      <c r="I525" s="99"/>
      <c r="K525" s="120"/>
      <c r="L525" s="84"/>
      <c r="M525" s="120"/>
      <c r="N525" s="120"/>
      <c r="O525" s="120"/>
      <c r="P525" s="120"/>
      <c r="Q525" s="120"/>
      <c r="R525" s="120"/>
    </row>
    <row r="526" ht="15.75" customHeight="1">
      <c r="A526" s="85">
        <v>1.2042031E7</v>
      </c>
      <c r="B526" s="98" t="s">
        <v>808</v>
      </c>
      <c r="C526" s="59"/>
      <c r="D526" s="88"/>
      <c r="E526" s="92" t="s">
        <v>740</v>
      </c>
      <c r="F526" s="100"/>
      <c r="G526" s="85" t="s">
        <v>428</v>
      </c>
      <c r="H526" s="88"/>
      <c r="I526" s="99"/>
      <c r="K526" s="84"/>
      <c r="L526" s="84"/>
      <c r="M526" s="84"/>
      <c r="N526" s="84"/>
      <c r="O526" s="84"/>
      <c r="P526" s="84"/>
      <c r="Q526" s="84"/>
      <c r="R526" s="84"/>
    </row>
    <row r="527" ht="15.75" customHeight="1">
      <c r="A527" s="85">
        <v>1.2042032E7</v>
      </c>
      <c r="B527" s="98" t="s">
        <v>809</v>
      </c>
      <c r="C527" s="59"/>
      <c r="D527" s="88"/>
      <c r="E527" s="100"/>
      <c r="F527" s="92" t="s">
        <v>235</v>
      </c>
      <c r="G527" s="93"/>
      <c r="H527" s="88"/>
      <c r="I527" s="99"/>
      <c r="K527" s="84"/>
      <c r="L527" s="84"/>
      <c r="M527" s="84"/>
      <c r="N527" s="84"/>
      <c r="O527" s="84"/>
      <c r="P527" s="84"/>
      <c r="Q527" s="84"/>
      <c r="R527" s="84"/>
    </row>
    <row r="528" ht="15.75" customHeight="1">
      <c r="A528" s="85">
        <v>1.2042033E7</v>
      </c>
      <c r="B528" s="98" t="s">
        <v>810</v>
      </c>
      <c r="C528" s="59"/>
      <c r="D528" s="88"/>
      <c r="E528" s="92" t="s">
        <v>736</v>
      </c>
      <c r="F528" s="100"/>
      <c r="G528" s="85" t="s">
        <v>428</v>
      </c>
      <c r="H528" s="88"/>
      <c r="I528" s="99"/>
      <c r="K528" s="84"/>
      <c r="L528" s="84"/>
      <c r="M528" s="84"/>
      <c r="N528" s="84"/>
      <c r="O528" s="84"/>
      <c r="P528" s="84"/>
      <c r="Q528" s="84"/>
      <c r="R528" s="84"/>
    </row>
    <row r="529" ht="15.75" customHeight="1">
      <c r="A529" s="85">
        <v>1.2042034E7</v>
      </c>
      <c r="B529" s="98" t="s">
        <v>811</v>
      </c>
      <c r="C529" s="59"/>
      <c r="D529" s="88"/>
      <c r="E529" s="100"/>
      <c r="F529" s="92" t="s">
        <v>247</v>
      </c>
      <c r="G529" s="93"/>
      <c r="H529" s="88"/>
      <c r="I529" s="99"/>
      <c r="K529" s="84"/>
      <c r="L529" s="84"/>
      <c r="M529" s="84"/>
      <c r="N529" s="84"/>
      <c r="O529" s="84"/>
      <c r="P529" s="84"/>
      <c r="Q529" s="84"/>
      <c r="R529" s="84"/>
    </row>
    <row r="530" ht="15.75" customHeight="1">
      <c r="A530" s="85">
        <v>1.2042035E7</v>
      </c>
      <c r="B530" s="98" t="s">
        <v>812</v>
      </c>
      <c r="C530" s="59"/>
      <c r="D530" s="88"/>
      <c r="E530" s="92" t="s">
        <v>339</v>
      </c>
      <c r="F530" s="100"/>
      <c r="G530" s="85" t="s">
        <v>428</v>
      </c>
      <c r="H530" s="88"/>
      <c r="I530" s="99"/>
      <c r="K530" s="84"/>
      <c r="L530" s="84"/>
      <c r="M530" s="84"/>
      <c r="N530" s="84"/>
      <c r="O530" s="84"/>
      <c r="P530" s="84"/>
      <c r="Q530" s="84"/>
      <c r="R530" s="84"/>
    </row>
    <row r="531" ht="15.75" customHeight="1">
      <c r="A531" s="85">
        <v>1.2042036E7</v>
      </c>
      <c r="B531" s="98" t="s">
        <v>813</v>
      </c>
      <c r="C531" s="59"/>
      <c r="D531" s="88"/>
      <c r="E531" s="92" t="s">
        <v>740</v>
      </c>
      <c r="F531" s="100"/>
      <c r="G531" s="85" t="s">
        <v>428</v>
      </c>
      <c r="H531" s="88"/>
      <c r="I531" s="99"/>
      <c r="K531" s="84"/>
      <c r="L531" s="84"/>
      <c r="M531" s="84"/>
      <c r="N531" s="84"/>
      <c r="O531" s="84"/>
      <c r="P531" s="84"/>
      <c r="Q531" s="84"/>
      <c r="R531" s="84"/>
    </row>
    <row r="532" ht="15.75" customHeight="1">
      <c r="A532" s="85">
        <v>1.2042037E7</v>
      </c>
      <c r="B532" s="98" t="s">
        <v>814</v>
      </c>
      <c r="C532" s="59"/>
      <c r="D532" s="88"/>
      <c r="E532" s="100"/>
      <c r="F532" s="92" t="s">
        <v>235</v>
      </c>
      <c r="G532" s="93"/>
      <c r="H532" s="88"/>
      <c r="I532" s="99"/>
      <c r="K532" s="84"/>
      <c r="L532" s="84"/>
      <c r="M532" s="84"/>
      <c r="N532" s="84"/>
      <c r="O532" s="84"/>
      <c r="P532" s="84"/>
      <c r="Q532" s="84"/>
      <c r="R532" s="84"/>
    </row>
    <row r="533" ht="15.75" customHeight="1">
      <c r="A533" s="85">
        <v>1.2042038E7</v>
      </c>
      <c r="B533" s="98" t="s">
        <v>815</v>
      </c>
      <c r="C533" s="59"/>
      <c r="D533" s="88"/>
      <c r="E533" s="92" t="s">
        <v>736</v>
      </c>
      <c r="F533" s="100"/>
      <c r="G533" s="85" t="s">
        <v>428</v>
      </c>
      <c r="H533" s="88"/>
      <c r="I533" s="99"/>
      <c r="K533" s="84"/>
      <c r="L533" s="84"/>
      <c r="M533" s="84"/>
      <c r="N533" s="84"/>
      <c r="O533" s="84"/>
      <c r="P533" s="84"/>
      <c r="Q533" s="84"/>
      <c r="R533" s="84"/>
    </row>
    <row r="534" ht="15.75" customHeight="1">
      <c r="A534" s="85">
        <v>1.2042039E7</v>
      </c>
      <c r="B534" s="98" t="s">
        <v>816</v>
      </c>
      <c r="C534" s="59"/>
      <c r="D534" s="88"/>
      <c r="E534" s="100"/>
      <c r="F534" s="92" t="s">
        <v>247</v>
      </c>
      <c r="G534" s="93"/>
      <c r="H534" s="88"/>
      <c r="I534" s="99"/>
      <c r="K534" s="84"/>
      <c r="L534" s="84"/>
      <c r="M534" s="84"/>
      <c r="N534" s="84"/>
      <c r="O534" s="84"/>
      <c r="P534" s="84"/>
      <c r="Q534" s="84"/>
      <c r="R534" s="84"/>
    </row>
    <row r="535" ht="15.75" customHeight="1">
      <c r="A535" s="85">
        <v>1.204204E7</v>
      </c>
      <c r="B535" s="98" t="s">
        <v>817</v>
      </c>
      <c r="C535" s="59"/>
      <c r="D535" s="88"/>
      <c r="E535" s="92" t="s">
        <v>339</v>
      </c>
      <c r="F535" s="100"/>
      <c r="G535" s="85" t="s">
        <v>428</v>
      </c>
      <c r="H535" s="88"/>
      <c r="I535" s="99"/>
      <c r="K535" s="84"/>
      <c r="L535" s="84"/>
      <c r="M535" s="84"/>
      <c r="N535" s="84"/>
      <c r="O535" s="84"/>
      <c r="P535" s="84"/>
      <c r="Q535" s="84"/>
      <c r="R535" s="84"/>
    </row>
    <row r="536" ht="15.75" customHeight="1">
      <c r="A536" s="85">
        <v>1.2042041E7</v>
      </c>
      <c r="B536" s="98" t="s">
        <v>818</v>
      </c>
      <c r="C536" s="59"/>
      <c r="D536" s="88"/>
      <c r="E536" s="92" t="s">
        <v>740</v>
      </c>
      <c r="F536" s="100"/>
      <c r="G536" s="85" t="s">
        <v>428</v>
      </c>
      <c r="H536" s="88"/>
      <c r="I536" s="99"/>
      <c r="K536" s="84"/>
      <c r="L536" s="84"/>
      <c r="M536" s="84"/>
      <c r="N536" s="84"/>
      <c r="O536" s="84"/>
      <c r="P536" s="84"/>
      <c r="Q536" s="84"/>
      <c r="R536" s="84"/>
    </row>
    <row r="537" ht="15.75" customHeight="1">
      <c r="A537" s="85">
        <v>1.2042042E7</v>
      </c>
      <c r="B537" s="98" t="s">
        <v>809</v>
      </c>
      <c r="C537" s="59"/>
      <c r="D537" s="88"/>
      <c r="E537" s="100"/>
      <c r="F537" s="92" t="s">
        <v>235</v>
      </c>
      <c r="G537" s="93"/>
      <c r="H537" s="88"/>
      <c r="I537" s="99"/>
      <c r="K537" s="84"/>
      <c r="L537" s="121"/>
      <c r="M537" s="84"/>
      <c r="N537" s="84"/>
      <c r="O537" s="84"/>
      <c r="P537" s="84"/>
      <c r="Q537" s="84"/>
      <c r="R537" s="84"/>
    </row>
    <row r="538" ht="15.75" customHeight="1">
      <c r="A538" s="85">
        <v>1.2042043E7</v>
      </c>
      <c r="B538" s="98" t="s">
        <v>810</v>
      </c>
      <c r="C538" s="59"/>
      <c r="D538" s="88"/>
      <c r="E538" s="92" t="s">
        <v>736</v>
      </c>
      <c r="F538" s="100"/>
      <c r="G538" s="85" t="s">
        <v>428</v>
      </c>
      <c r="H538" s="88"/>
      <c r="I538" s="99"/>
      <c r="K538" s="84"/>
      <c r="L538" s="121"/>
      <c r="M538" s="84"/>
      <c r="N538" s="84"/>
      <c r="O538" s="84"/>
      <c r="P538" s="84"/>
      <c r="Q538" s="84"/>
      <c r="R538" s="84"/>
    </row>
    <row r="539" ht="15.75" customHeight="1">
      <c r="A539" s="85">
        <v>1.2042044E7</v>
      </c>
      <c r="B539" s="98" t="s">
        <v>811</v>
      </c>
      <c r="C539" s="59"/>
      <c r="D539" s="88"/>
      <c r="E539" s="100"/>
      <c r="F539" s="92" t="s">
        <v>247</v>
      </c>
      <c r="G539" s="93"/>
      <c r="H539" s="88"/>
      <c r="I539" s="99"/>
      <c r="K539" s="84"/>
      <c r="L539" s="121"/>
      <c r="M539" s="84"/>
      <c r="N539" s="84"/>
      <c r="O539" s="84"/>
      <c r="P539" s="84"/>
      <c r="Q539" s="84"/>
      <c r="R539" s="84"/>
    </row>
    <row r="540" ht="15.75" customHeight="1">
      <c r="A540" s="85">
        <v>1.2042045E7</v>
      </c>
      <c r="B540" s="98" t="s">
        <v>812</v>
      </c>
      <c r="C540" s="59"/>
      <c r="D540" s="88"/>
      <c r="E540" s="92" t="s">
        <v>339</v>
      </c>
      <c r="F540" s="100"/>
      <c r="G540" s="85" t="s">
        <v>428</v>
      </c>
      <c r="H540" s="88"/>
      <c r="I540" s="99"/>
      <c r="K540" s="84"/>
      <c r="L540" s="121"/>
      <c r="M540" s="84"/>
      <c r="N540" s="84"/>
      <c r="O540" s="84"/>
      <c r="P540" s="84"/>
      <c r="Q540" s="84"/>
      <c r="R540" s="84"/>
    </row>
    <row r="541" ht="15.75" customHeight="1">
      <c r="A541" s="85">
        <v>1.2042046E7</v>
      </c>
      <c r="B541" s="98" t="s">
        <v>813</v>
      </c>
      <c r="C541" s="59"/>
      <c r="D541" s="88"/>
      <c r="E541" s="92" t="s">
        <v>740</v>
      </c>
      <c r="F541" s="100"/>
      <c r="G541" s="85" t="s">
        <v>428</v>
      </c>
      <c r="H541" s="88"/>
      <c r="I541" s="99"/>
      <c r="K541" s="84"/>
      <c r="L541" s="84"/>
      <c r="M541" s="84"/>
      <c r="N541" s="84"/>
      <c r="O541" s="84"/>
      <c r="P541" s="84"/>
      <c r="Q541" s="84"/>
      <c r="R541" s="84"/>
    </row>
    <row r="542" ht="15.75" customHeight="1">
      <c r="A542" s="85">
        <v>1.2099105E7</v>
      </c>
      <c r="B542" s="98" t="s">
        <v>819</v>
      </c>
      <c r="C542" s="59"/>
      <c r="D542" s="88"/>
      <c r="E542" s="100"/>
      <c r="F542" s="100"/>
      <c r="G542" s="93"/>
      <c r="H542" s="88"/>
      <c r="I542" s="99"/>
      <c r="K542" s="84"/>
      <c r="L542" s="84"/>
      <c r="M542" s="84"/>
      <c r="N542" s="84"/>
      <c r="O542" s="84"/>
      <c r="P542" s="84"/>
      <c r="Q542" s="84"/>
      <c r="R542" s="84"/>
    </row>
    <row r="543" ht="15.75" customHeight="1">
      <c r="A543" s="85">
        <v>1.2099106E7</v>
      </c>
      <c r="B543" s="98" t="s">
        <v>820</v>
      </c>
      <c r="C543" s="59"/>
      <c r="D543" s="88"/>
      <c r="E543" s="100"/>
      <c r="F543" s="100"/>
      <c r="G543" s="93"/>
      <c r="H543" s="88"/>
      <c r="I543" s="99"/>
      <c r="K543" s="84"/>
      <c r="L543" s="84"/>
      <c r="M543" s="84"/>
      <c r="N543" s="84"/>
      <c r="O543" s="84"/>
      <c r="P543" s="84"/>
      <c r="Q543" s="84"/>
      <c r="R543" s="84"/>
    </row>
    <row r="544" ht="15.75" customHeight="1">
      <c r="A544" s="85">
        <v>1.2043001E7</v>
      </c>
      <c r="B544" s="98" t="s">
        <v>821</v>
      </c>
      <c r="C544" s="59"/>
      <c r="D544" s="88"/>
      <c r="E544" s="92" t="s">
        <v>235</v>
      </c>
      <c r="F544" s="92" t="s">
        <v>235</v>
      </c>
      <c r="G544" s="93"/>
      <c r="H544" s="88"/>
      <c r="I544" s="99"/>
      <c r="K544" s="84"/>
      <c r="L544" s="84"/>
      <c r="M544" s="84"/>
      <c r="N544" s="84"/>
      <c r="O544" s="84"/>
      <c r="P544" s="84"/>
      <c r="Q544" s="84"/>
      <c r="R544" s="84"/>
    </row>
    <row r="545" ht="15.75" customHeight="1">
      <c r="A545" s="85">
        <v>1.2043002E7</v>
      </c>
      <c r="B545" s="98" t="s">
        <v>822</v>
      </c>
      <c r="C545" s="59"/>
      <c r="D545" s="88"/>
      <c r="E545" s="100"/>
      <c r="F545" s="92" t="s">
        <v>235</v>
      </c>
      <c r="G545" s="93"/>
      <c r="H545" s="88"/>
      <c r="I545" s="99"/>
      <c r="K545" s="84"/>
      <c r="L545" s="84"/>
      <c r="M545" s="84"/>
      <c r="N545" s="84"/>
      <c r="O545" s="84"/>
      <c r="P545" s="84"/>
      <c r="Q545" s="84"/>
      <c r="R545" s="84"/>
    </row>
    <row r="546" ht="15.75" customHeight="1">
      <c r="A546" s="85">
        <v>1.2043003E7</v>
      </c>
      <c r="B546" s="98" t="s">
        <v>823</v>
      </c>
      <c r="C546" s="59"/>
      <c r="D546" s="88"/>
      <c r="E546" s="92" t="s">
        <v>736</v>
      </c>
      <c r="F546" s="100"/>
      <c r="G546" s="85" t="s">
        <v>428</v>
      </c>
      <c r="H546" s="88"/>
      <c r="I546" s="99"/>
      <c r="K546" s="84"/>
      <c r="L546" s="84"/>
      <c r="M546" s="84"/>
      <c r="N546" s="84"/>
      <c r="O546" s="84"/>
      <c r="P546" s="84"/>
      <c r="Q546" s="84"/>
      <c r="R546" s="84"/>
    </row>
    <row r="547" ht="15.75" customHeight="1">
      <c r="A547" s="85">
        <v>1.2043004E7</v>
      </c>
      <c r="B547" s="98" t="s">
        <v>824</v>
      </c>
      <c r="C547" s="59"/>
      <c r="D547" s="88"/>
      <c r="E547" s="100"/>
      <c r="F547" s="92" t="s">
        <v>247</v>
      </c>
      <c r="G547" s="93"/>
      <c r="H547" s="88"/>
      <c r="I547" s="99"/>
      <c r="K547" s="121"/>
      <c r="L547" s="84"/>
      <c r="M547" s="121"/>
      <c r="N547" s="121"/>
      <c r="O547" s="121"/>
      <c r="P547" s="121"/>
      <c r="Q547" s="121"/>
      <c r="R547" s="121"/>
    </row>
    <row r="548" ht="15.75" customHeight="1">
      <c r="A548" s="85">
        <v>1.2043005E7</v>
      </c>
      <c r="B548" s="98" t="s">
        <v>825</v>
      </c>
      <c r="C548" s="59"/>
      <c r="D548" s="88"/>
      <c r="E548" s="92" t="s">
        <v>339</v>
      </c>
      <c r="F548" s="100"/>
      <c r="G548" s="85" t="s">
        <v>428</v>
      </c>
      <c r="H548" s="88"/>
      <c r="I548" s="99"/>
      <c r="K548" s="121"/>
      <c r="L548" s="84"/>
      <c r="M548" s="121"/>
      <c r="N548" s="121"/>
      <c r="O548" s="121"/>
      <c r="P548" s="121"/>
      <c r="Q548" s="121"/>
      <c r="R548" s="121"/>
    </row>
    <row r="549" ht="15.75" customHeight="1">
      <c r="A549" s="85">
        <v>1.2043006E7</v>
      </c>
      <c r="B549" s="98" t="s">
        <v>826</v>
      </c>
      <c r="C549" s="59"/>
      <c r="D549" s="88"/>
      <c r="E549" s="92" t="s">
        <v>740</v>
      </c>
      <c r="F549" s="100"/>
      <c r="G549" s="85" t="s">
        <v>428</v>
      </c>
      <c r="H549" s="88"/>
      <c r="I549" s="99"/>
      <c r="K549" s="121"/>
      <c r="L549" s="84"/>
      <c r="M549" s="121"/>
      <c r="N549" s="121"/>
      <c r="O549" s="121"/>
      <c r="P549" s="121"/>
      <c r="Q549" s="121"/>
      <c r="R549" s="121"/>
    </row>
    <row r="550" ht="15.75" customHeight="1">
      <c r="A550" s="85">
        <v>1.2043007E7</v>
      </c>
      <c r="B550" s="98" t="s">
        <v>827</v>
      </c>
      <c r="C550" s="59"/>
      <c r="D550" s="88"/>
      <c r="E550" s="100"/>
      <c r="F550" s="92" t="s">
        <v>235</v>
      </c>
      <c r="G550" s="93"/>
      <c r="H550" s="88"/>
      <c r="I550" s="99"/>
      <c r="K550" s="121"/>
      <c r="L550" s="84"/>
      <c r="M550" s="121"/>
      <c r="N550" s="121"/>
      <c r="O550" s="121"/>
      <c r="P550" s="121"/>
      <c r="Q550" s="121"/>
      <c r="R550" s="121"/>
    </row>
    <row r="551" ht="15.75" customHeight="1">
      <c r="A551" s="85">
        <v>1.2043008E7</v>
      </c>
      <c r="B551" s="98" t="s">
        <v>828</v>
      </c>
      <c r="C551" s="59"/>
      <c r="D551" s="88"/>
      <c r="E551" s="92" t="s">
        <v>736</v>
      </c>
      <c r="F551" s="100"/>
      <c r="G551" s="85" t="s">
        <v>428</v>
      </c>
      <c r="H551" s="88"/>
      <c r="I551" s="99"/>
      <c r="K551" s="84"/>
      <c r="L551" s="84"/>
      <c r="M551" s="84"/>
      <c r="N551" s="84"/>
      <c r="O551" s="84"/>
      <c r="P551" s="84"/>
      <c r="Q551" s="84"/>
      <c r="R551" s="84"/>
    </row>
    <row r="552" ht="15.75" customHeight="1">
      <c r="A552" s="85">
        <v>1.2043009E7</v>
      </c>
      <c r="B552" s="98" t="s">
        <v>829</v>
      </c>
      <c r="C552" s="59"/>
      <c r="D552" s="88"/>
      <c r="E552" s="100"/>
      <c r="F552" s="92" t="s">
        <v>247</v>
      </c>
      <c r="G552" s="93"/>
      <c r="H552" s="88"/>
      <c r="I552" s="99"/>
      <c r="K552" s="84"/>
      <c r="L552" s="84"/>
      <c r="M552" s="84"/>
      <c r="N552" s="84"/>
      <c r="O552" s="84"/>
      <c r="P552" s="84"/>
      <c r="Q552" s="84"/>
      <c r="R552" s="84"/>
    </row>
    <row r="553" ht="15.75" customHeight="1">
      <c r="A553" s="85">
        <v>1.204301E7</v>
      </c>
      <c r="B553" s="98" t="s">
        <v>830</v>
      </c>
      <c r="C553" s="59"/>
      <c r="D553" s="88"/>
      <c r="E553" s="92" t="s">
        <v>339</v>
      </c>
      <c r="F553" s="100"/>
      <c r="G553" s="85" t="s">
        <v>428</v>
      </c>
      <c r="H553" s="88"/>
      <c r="I553" s="99"/>
      <c r="K553" s="84"/>
      <c r="L553" s="84"/>
      <c r="M553" s="84"/>
      <c r="N553" s="84"/>
      <c r="O553" s="84"/>
      <c r="P553" s="84"/>
      <c r="Q553" s="84"/>
      <c r="R553" s="84"/>
    </row>
    <row r="554" ht="15.75" customHeight="1">
      <c r="A554" s="85">
        <v>1.2043011E7</v>
      </c>
      <c r="B554" s="98" t="s">
        <v>831</v>
      </c>
      <c r="C554" s="59"/>
      <c r="D554" s="88"/>
      <c r="E554" s="92" t="s">
        <v>740</v>
      </c>
      <c r="F554" s="100"/>
      <c r="G554" s="85" t="s">
        <v>428</v>
      </c>
      <c r="H554" s="88"/>
      <c r="I554" s="99"/>
      <c r="K554" s="84"/>
      <c r="L554" s="84"/>
      <c r="M554" s="84"/>
      <c r="N554" s="84"/>
      <c r="O554" s="84"/>
      <c r="P554" s="84"/>
      <c r="Q554" s="84"/>
      <c r="R554" s="84"/>
    </row>
    <row r="555" ht="15.75" customHeight="1">
      <c r="A555" s="85">
        <v>1.2043012E7</v>
      </c>
      <c r="B555" s="98" t="s">
        <v>832</v>
      </c>
      <c r="C555" s="59"/>
      <c r="D555" s="88"/>
      <c r="E555" s="100"/>
      <c r="F555" s="92" t="s">
        <v>235</v>
      </c>
      <c r="G555" s="93"/>
      <c r="H555" s="88"/>
      <c r="I555" s="99"/>
      <c r="K555" s="84"/>
      <c r="L555" s="84"/>
      <c r="M555" s="84"/>
      <c r="N555" s="84"/>
      <c r="O555" s="84"/>
      <c r="P555" s="84"/>
      <c r="Q555" s="84"/>
      <c r="R555" s="84"/>
    </row>
    <row r="556" ht="15.75" customHeight="1">
      <c r="A556" s="85">
        <v>1.2043013E7</v>
      </c>
      <c r="B556" s="98" t="s">
        <v>833</v>
      </c>
      <c r="C556" s="59"/>
      <c r="D556" s="88"/>
      <c r="E556" s="92" t="s">
        <v>736</v>
      </c>
      <c r="F556" s="100"/>
      <c r="G556" s="85" t="s">
        <v>428</v>
      </c>
      <c r="H556" s="88"/>
      <c r="I556" s="99"/>
      <c r="K556" s="84"/>
      <c r="L556" s="84"/>
      <c r="M556" s="84"/>
      <c r="N556" s="84"/>
      <c r="O556" s="84"/>
      <c r="P556" s="84"/>
      <c r="Q556" s="84"/>
      <c r="R556" s="84"/>
    </row>
    <row r="557" ht="15.75" customHeight="1">
      <c r="A557" s="85">
        <v>1.2043014E7</v>
      </c>
      <c r="B557" s="98" t="s">
        <v>834</v>
      </c>
      <c r="C557" s="59"/>
      <c r="D557" s="88"/>
      <c r="E557" s="100"/>
      <c r="F557" s="92" t="s">
        <v>247</v>
      </c>
      <c r="G557" s="93"/>
      <c r="H557" s="88"/>
      <c r="I557" s="99"/>
      <c r="K557" s="84"/>
      <c r="L557" s="84"/>
      <c r="M557" s="84"/>
      <c r="N557" s="84"/>
      <c r="O557" s="84"/>
      <c r="P557" s="84"/>
      <c r="Q557" s="84"/>
      <c r="R557" s="84"/>
    </row>
    <row r="558" ht="15.75" customHeight="1">
      <c r="A558" s="85">
        <v>1.2043015E7</v>
      </c>
      <c r="B558" s="98" t="s">
        <v>835</v>
      </c>
      <c r="C558" s="59"/>
      <c r="D558" s="88"/>
      <c r="E558" s="92" t="s">
        <v>339</v>
      </c>
      <c r="F558" s="100"/>
      <c r="G558" s="85" t="s">
        <v>428</v>
      </c>
      <c r="H558" s="88"/>
      <c r="I558" s="99"/>
      <c r="K558" s="84"/>
      <c r="L558" s="84"/>
      <c r="M558" s="84"/>
      <c r="N558" s="84"/>
      <c r="O558" s="84"/>
      <c r="P558" s="84"/>
      <c r="Q558" s="84"/>
      <c r="R558" s="84"/>
    </row>
    <row r="559" ht="15.75" customHeight="1">
      <c r="A559" s="85">
        <v>1.2043016E7</v>
      </c>
      <c r="B559" s="98" t="s">
        <v>836</v>
      </c>
      <c r="C559" s="59"/>
      <c r="D559" s="88"/>
      <c r="E559" s="92" t="s">
        <v>740</v>
      </c>
      <c r="F559" s="100"/>
      <c r="G559" s="85" t="s">
        <v>428</v>
      </c>
      <c r="H559" s="88"/>
      <c r="I559" s="99"/>
      <c r="K559" s="84"/>
      <c r="L559" s="84"/>
      <c r="M559" s="84"/>
      <c r="N559" s="84"/>
      <c r="O559" s="84"/>
      <c r="P559" s="84"/>
      <c r="Q559" s="84"/>
      <c r="R559" s="84"/>
    </row>
    <row r="560" ht="15.75" customHeight="1">
      <c r="A560" s="85">
        <v>1.2043017E7</v>
      </c>
      <c r="B560" s="98" t="s">
        <v>837</v>
      </c>
      <c r="C560" s="59"/>
      <c r="D560" s="88"/>
      <c r="E560" s="100"/>
      <c r="F560" s="92" t="s">
        <v>235</v>
      </c>
      <c r="G560" s="93"/>
      <c r="H560" s="88"/>
      <c r="I560" s="99"/>
      <c r="K560" s="84"/>
      <c r="L560" s="84"/>
      <c r="M560" s="84"/>
      <c r="N560" s="84"/>
      <c r="O560" s="84"/>
      <c r="P560" s="84"/>
      <c r="Q560" s="84"/>
      <c r="R560" s="84"/>
    </row>
    <row r="561" ht="15.75" customHeight="1">
      <c r="A561" s="85">
        <v>1.2043018E7</v>
      </c>
      <c r="B561" s="98" t="s">
        <v>838</v>
      </c>
      <c r="C561" s="59"/>
      <c r="D561" s="88"/>
      <c r="E561" s="92" t="s">
        <v>736</v>
      </c>
      <c r="F561" s="100"/>
      <c r="G561" s="85" t="s">
        <v>428</v>
      </c>
      <c r="H561" s="88"/>
      <c r="I561" s="99"/>
      <c r="K561" s="84"/>
      <c r="L561" s="84"/>
      <c r="M561" s="84"/>
      <c r="N561" s="84"/>
      <c r="O561" s="84"/>
      <c r="P561" s="84"/>
      <c r="Q561" s="84"/>
      <c r="R561" s="84"/>
    </row>
    <row r="562" ht="15.75" customHeight="1">
      <c r="A562" s="85">
        <v>1.2043019E7</v>
      </c>
      <c r="B562" s="98" t="s">
        <v>839</v>
      </c>
      <c r="C562" s="59"/>
      <c r="D562" s="88"/>
      <c r="E562" s="100"/>
      <c r="F562" s="92" t="s">
        <v>247</v>
      </c>
      <c r="G562" s="93"/>
      <c r="H562" s="88"/>
      <c r="I562" s="99"/>
      <c r="K562" s="84"/>
      <c r="L562" s="84"/>
      <c r="M562" s="84"/>
      <c r="N562" s="84"/>
      <c r="O562" s="84"/>
      <c r="P562" s="84"/>
      <c r="Q562" s="84"/>
      <c r="R562" s="84"/>
    </row>
    <row r="563" ht="15.75" customHeight="1">
      <c r="A563" s="85">
        <v>1.204302E7</v>
      </c>
      <c r="B563" s="98" t="s">
        <v>840</v>
      </c>
      <c r="C563" s="59"/>
      <c r="D563" s="88"/>
      <c r="E563" s="92" t="s">
        <v>339</v>
      </c>
      <c r="F563" s="100"/>
      <c r="G563" s="85" t="s">
        <v>428</v>
      </c>
      <c r="H563" s="88"/>
      <c r="I563" s="99"/>
      <c r="K563" s="84"/>
      <c r="L563" s="84"/>
      <c r="M563" s="84"/>
      <c r="N563" s="84"/>
      <c r="O563" s="84"/>
      <c r="P563" s="84"/>
      <c r="Q563" s="84"/>
      <c r="R563" s="84"/>
    </row>
    <row r="564" ht="15.75" customHeight="1">
      <c r="A564" s="85">
        <v>1.2043021E7</v>
      </c>
      <c r="B564" s="98" t="s">
        <v>841</v>
      </c>
      <c r="C564" s="59"/>
      <c r="D564" s="88"/>
      <c r="E564" s="92" t="s">
        <v>740</v>
      </c>
      <c r="F564" s="100"/>
      <c r="G564" s="85" t="s">
        <v>428</v>
      </c>
      <c r="H564" s="88"/>
      <c r="I564" s="99"/>
      <c r="K564" s="84"/>
      <c r="L564" s="84"/>
      <c r="M564" s="84"/>
      <c r="N564" s="84"/>
      <c r="O564" s="84"/>
      <c r="P564" s="84"/>
      <c r="Q564" s="84"/>
      <c r="R564" s="84"/>
    </row>
    <row r="565" ht="15.75" customHeight="1">
      <c r="A565" s="85">
        <v>1.2043022E7</v>
      </c>
      <c r="B565" s="98" t="s">
        <v>842</v>
      </c>
      <c r="C565" s="59"/>
      <c r="D565" s="88"/>
      <c r="E565" s="100"/>
      <c r="F565" s="92" t="s">
        <v>235</v>
      </c>
      <c r="G565" s="93"/>
      <c r="H565" s="88"/>
      <c r="I565" s="99"/>
      <c r="K565" s="84"/>
      <c r="L565" s="84"/>
      <c r="M565" s="84"/>
      <c r="N565" s="84"/>
      <c r="O565" s="84"/>
      <c r="P565" s="84"/>
      <c r="Q565" s="84"/>
      <c r="R565" s="84"/>
    </row>
    <row r="566" ht="15.75" customHeight="1">
      <c r="A566" s="85">
        <v>1.2043023E7</v>
      </c>
      <c r="B566" s="98" t="s">
        <v>843</v>
      </c>
      <c r="C566" s="59"/>
      <c r="D566" s="88"/>
      <c r="E566" s="92" t="s">
        <v>736</v>
      </c>
      <c r="F566" s="100"/>
      <c r="G566" s="85" t="s">
        <v>428</v>
      </c>
      <c r="H566" s="88"/>
      <c r="I566" s="99"/>
      <c r="K566" s="84"/>
      <c r="L566" s="84"/>
      <c r="M566" s="84"/>
      <c r="N566" s="84"/>
      <c r="O566" s="84"/>
      <c r="P566" s="84"/>
      <c r="Q566" s="84"/>
      <c r="R566" s="84"/>
    </row>
    <row r="567" ht="15.75" customHeight="1">
      <c r="A567" s="85">
        <v>1.2043024E7</v>
      </c>
      <c r="B567" s="98" t="s">
        <v>844</v>
      </c>
      <c r="C567" s="59"/>
      <c r="D567" s="88"/>
      <c r="E567" s="100"/>
      <c r="F567" s="92" t="s">
        <v>247</v>
      </c>
      <c r="G567" s="93"/>
      <c r="H567" s="88"/>
      <c r="I567" s="99"/>
      <c r="K567" s="84"/>
      <c r="L567" s="84"/>
      <c r="M567" s="84"/>
      <c r="N567" s="84"/>
      <c r="O567" s="84"/>
      <c r="P567" s="84"/>
      <c r="Q567" s="84"/>
      <c r="R567" s="84"/>
    </row>
    <row r="568" ht="15.75" customHeight="1">
      <c r="A568" s="85">
        <v>1.2043025E7</v>
      </c>
      <c r="B568" s="98" t="s">
        <v>845</v>
      </c>
      <c r="C568" s="59"/>
      <c r="D568" s="88"/>
      <c r="E568" s="92" t="s">
        <v>339</v>
      </c>
      <c r="F568" s="100"/>
      <c r="G568" s="85" t="s">
        <v>428</v>
      </c>
      <c r="H568" s="88"/>
      <c r="I568" s="99"/>
      <c r="K568" s="84"/>
      <c r="L568" s="84"/>
      <c r="M568" s="84"/>
      <c r="N568" s="84"/>
      <c r="O568" s="84"/>
      <c r="P568" s="84"/>
      <c r="Q568" s="84"/>
      <c r="R568" s="84"/>
    </row>
    <row r="569" ht="15.75" customHeight="1">
      <c r="A569" s="85">
        <v>1.2043026E7</v>
      </c>
      <c r="B569" s="98" t="s">
        <v>846</v>
      </c>
      <c r="C569" s="59"/>
      <c r="D569" s="88"/>
      <c r="E569" s="92" t="s">
        <v>740</v>
      </c>
      <c r="F569" s="100"/>
      <c r="G569" s="85" t="s">
        <v>428</v>
      </c>
      <c r="H569" s="88"/>
      <c r="I569" s="99"/>
      <c r="K569" s="84"/>
      <c r="L569" s="84"/>
      <c r="M569" s="84"/>
      <c r="N569" s="84"/>
      <c r="O569" s="84"/>
      <c r="P569" s="84"/>
      <c r="Q569" s="84"/>
      <c r="R569" s="84"/>
    </row>
    <row r="570" ht="15.75" customHeight="1">
      <c r="A570" s="85">
        <v>1.2043027E7</v>
      </c>
      <c r="B570" s="98" t="s">
        <v>847</v>
      </c>
      <c r="C570" s="59"/>
      <c r="D570" s="88"/>
      <c r="E570" s="100"/>
      <c r="F570" s="92" t="s">
        <v>235</v>
      </c>
      <c r="G570" s="93"/>
      <c r="H570" s="88"/>
      <c r="I570" s="99"/>
      <c r="K570" s="84"/>
      <c r="L570" s="84"/>
      <c r="M570" s="84"/>
      <c r="N570" s="84"/>
      <c r="O570" s="84"/>
      <c r="P570" s="84"/>
      <c r="Q570" s="84"/>
      <c r="R570" s="84"/>
    </row>
    <row r="571" ht="15.75" customHeight="1">
      <c r="A571" s="85">
        <v>1.2043028E7</v>
      </c>
      <c r="B571" s="98" t="s">
        <v>848</v>
      </c>
      <c r="C571" s="59"/>
      <c r="D571" s="88"/>
      <c r="E571" s="92" t="s">
        <v>736</v>
      </c>
      <c r="F571" s="100"/>
      <c r="G571" s="85" t="s">
        <v>428</v>
      </c>
      <c r="H571" s="88"/>
      <c r="I571" s="99"/>
      <c r="K571" s="84"/>
      <c r="L571" s="84"/>
      <c r="M571" s="84"/>
      <c r="N571" s="84"/>
      <c r="O571" s="84"/>
      <c r="P571" s="84"/>
      <c r="Q571" s="84"/>
      <c r="R571" s="84"/>
    </row>
    <row r="572" ht="15.75" customHeight="1">
      <c r="A572" s="85">
        <v>1.2043029E7</v>
      </c>
      <c r="B572" s="98" t="s">
        <v>849</v>
      </c>
      <c r="C572" s="59"/>
      <c r="D572" s="88"/>
      <c r="E572" s="100"/>
      <c r="F572" s="92" t="s">
        <v>247</v>
      </c>
      <c r="G572" s="93"/>
      <c r="H572" s="88"/>
      <c r="I572" s="99"/>
      <c r="K572" s="84"/>
      <c r="L572" s="84"/>
      <c r="M572" s="84"/>
      <c r="N572" s="84"/>
      <c r="O572" s="84"/>
      <c r="P572" s="84"/>
      <c r="Q572" s="84"/>
      <c r="R572" s="84"/>
    </row>
    <row r="573" ht="15.75" customHeight="1">
      <c r="A573" s="85">
        <v>1.204303E7</v>
      </c>
      <c r="B573" s="98" t="s">
        <v>850</v>
      </c>
      <c r="C573" s="59"/>
      <c r="D573" s="88"/>
      <c r="E573" s="92" t="s">
        <v>339</v>
      </c>
      <c r="F573" s="100"/>
      <c r="G573" s="85" t="s">
        <v>428</v>
      </c>
      <c r="H573" s="88"/>
      <c r="I573" s="99"/>
      <c r="K573" s="84"/>
      <c r="L573" s="84"/>
      <c r="M573" s="84"/>
      <c r="N573" s="84"/>
      <c r="O573" s="84"/>
      <c r="P573" s="84"/>
      <c r="Q573" s="84"/>
      <c r="R573" s="84"/>
    </row>
    <row r="574" ht="15.75" customHeight="1">
      <c r="A574" s="85">
        <v>1.2043031E7</v>
      </c>
      <c r="B574" s="98" t="s">
        <v>851</v>
      </c>
      <c r="C574" s="59"/>
      <c r="D574" s="88"/>
      <c r="E574" s="92" t="s">
        <v>740</v>
      </c>
      <c r="F574" s="100"/>
      <c r="G574" s="85" t="s">
        <v>428</v>
      </c>
      <c r="H574" s="88"/>
      <c r="I574" s="99"/>
      <c r="K574" s="84"/>
      <c r="L574" s="84"/>
      <c r="M574" s="84"/>
      <c r="N574" s="84"/>
      <c r="O574" s="84"/>
      <c r="P574" s="84"/>
      <c r="Q574" s="84"/>
      <c r="R574" s="84"/>
    </row>
    <row r="575" ht="15.75" customHeight="1">
      <c r="A575" s="85">
        <v>1.2043032E7</v>
      </c>
      <c r="B575" s="98" t="s">
        <v>852</v>
      </c>
      <c r="C575" s="59"/>
      <c r="D575" s="88"/>
      <c r="E575" s="100"/>
      <c r="F575" s="92" t="s">
        <v>235</v>
      </c>
      <c r="G575" s="93"/>
      <c r="H575" s="88"/>
      <c r="I575" s="99"/>
      <c r="K575" s="84"/>
      <c r="L575" s="84"/>
      <c r="M575" s="84"/>
      <c r="N575" s="84"/>
      <c r="O575" s="84"/>
      <c r="P575" s="84"/>
      <c r="Q575" s="84"/>
      <c r="R575" s="84"/>
    </row>
    <row r="576" ht="15.75" customHeight="1">
      <c r="A576" s="85">
        <v>1.2043033E7</v>
      </c>
      <c r="B576" s="98" t="s">
        <v>853</v>
      </c>
      <c r="C576" s="59"/>
      <c r="D576" s="88"/>
      <c r="E576" s="92" t="s">
        <v>736</v>
      </c>
      <c r="F576" s="100"/>
      <c r="G576" s="85" t="s">
        <v>428</v>
      </c>
      <c r="H576" s="88"/>
      <c r="I576" s="99"/>
      <c r="K576" s="84"/>
      <c r="L576" s="84"/>
      <c r="M576" s="84"/>
      <c r="N576" s="84"/>
      <c r="O576" s="84"/>
      <c r="P576" s="84"/>
      <c r="Q576" s="84"/>
      <c r="R576" s="84"/>
    </row>
    <row r="577" ht="15.75" customHeight="1">
      <c r="A577" s="85">
        <v>1.2043034E7</v>
      </c>
      <c r="B577" s="98" t="s">
        <v>854</v>
      </c>
      <c r="C577" s="59"/>
      <c r="D577" s="88"/>
      <c r="E577" s="100"/>
      <c r="F577" s="92" t="s">
        <v>247</v>
      </c>
      <c r="G577" s="93"/>
      <c r="H577" s="88"/>
      <c r="I577" s="99"/>
      <c r="K577" s="84"/>
      <c r="L577" s="84"/>
      <c r="M577" s="84"/>
      <c r="N577" s="84"/>
      <c r="O577" s="84"/>
      <c r="P577" s="84"/>
      <c r="Q577" s="84"/>
      <c r="R577" s="84"/>
    </row>
    <row r="578" ht="15.75" customHeight="1">
      <c r="A578" s="85">
        <v>1.2043035E7</v>
      </c>
      <c r="B578" s="98" t="s">
        <v>855</v>
      </c>
      <c r="C578" s="59"/>
      <c r="D578" s="88"/>
      <c r="E578" s="92" t="s">
        <v>339</v>
      </c>
      <c r="F578" s="100"/>
      <c r="G578" s="85" t="s">
        <v>428</v>
      </c>
      <c r="H578" s="88"/>
      <c r="I578" s="99"/>
      <c r="K578" s="84"/>
      <c r="L578" s="122"/>
      <c r="M578" s="84"/>
      <c r="N578" s="84"/>
      <c r="O578" s="84"/>
      <c r="P578" s="84"/>
      <c r="Q578" s="84"/>
      <c r="R578" s="84"/>
    </row>
    <row r="579" ht="15.75" customHeight="1">
      <c r="A579" s="85">
        <v>1.2043036E7</v>
      </c>
      <c r="B579" s="98" t="s">
        <v>856</v>
      </c>
      <c r="C579" s="59"/>
      <c r="D579" s="88"/>
      <c r="E579" s="92" t="s">
        <v>740</v>
      </c>
      <c r="F579" s="100"/>
      <c r="G579" s="85" t="s">
        <v>428</v>
      </c>
      <c r="H579" s="88"/>
      <c r="I579" s="99"/>
      <c r="K579" s="84"/>
      <c r="L579" s="122"/>
      <c r="M579" s="84"/>
      <c r="N579" s="84"/>
      <c r="O579" s="84"/>
      <c r="P579" s="84"/>
      <c r="Q579" s="84"/>
      <c r="R579" s="84"/>
    </row>
    <row r="580" ht="15.75" customHeight="1">
      <c r="A580" s="85">
        <v>1.2043037E7</v>
      </c>
      <c r="B580" s="98" t="s">
        <v>857</v>
      </c>
      <c r="C580" s="59"/>
      <c r="D580" s="88"/>
      <c r="E580" s="100"/>
      <c r="F580" s="92" t="s">
        <v>235</v>
      </c>
      <c r="G580" s="93"/>
      <c r="H580" s="88"/>
      <c r="I580" s="99"/>
      <c r="K580" s="84"/>
      <c r="L580" s="122"/>
      <c r="M580" s="84"/>
      <c r="N580" s="84"/>
      <c r="O580" s="84"/>
      <c r="P580" s="84"/>
      <c r="Q580" s="84"/>
      <c r="R580" s="84"/>
    </row>
    <row r="581" ht="15.75" customHeight="1">
      <c r="A581" s="85">
        <v>1.2043038E7</v>
      </c>
      <c r="B581" s="98" t="s">
        <v>858</v>
      </c>
      <c r="C581" s="59"/>
      <c r="D581" s="88"/>
      <c r="E581" s="92" t="s">
        <v>736</v>
      </c>
      <c r="F581" s="100"/>
      <c r="G581" s="85" t="s">
        <v>428</v>
      </c>
      <c r="H581" s="88"/>
      <c r="I581" s="99"/>
      <c r="K581" s="84"/>
      <c r="L581" s="122"/>
      <c r="M581" s="84"/>
      <c r="N581" s="84"/>
      <c r="O581" s="84"/>
      <c r="P581" s="84"/>
      <c r="Q581" s="84"/>
      <c r="R581" s="84"/>
    </row>
    <row r="582" ht="15.75" customHeight="1">
      <c r="A582" s="85">
        <v>1.2043039E7</v>
      </c>
      <c r="B582" s="98" t="s">
        <v>859</v>
      </c>
      <c r="C582" s="59"/>
      <c r="D582" s="88"/>
      <c r="E582" s="100"/>
      <c r="F582" s="92" t="s">
        <v>247</v>
      </c>
      <c r="G582" s="93"/>
      <c r="H582" s="88"/>
      <c r="I582" s="99"/>
      <c r="K582" s="84"/>
      <c r="L582" s="122"/>
      <c r="M582" s="84"/>
      <c r="N582" s="84"/>
      <c r="O582" s="84"/>
      <c r="P582" s="84"/>
      <c r="Q582" s="84"/>
      <c r="R582" s="84"/>
    </row>
    <row r="583" ht="15.75" customHeight="1">
      <c r="A583" s="85">
        <v>1.204304E7</v>
      </c>
      <c r="B583" s="98" t="s">
        <v>860</v>
      </c>
      <c r="C583" s="59"/>
      <c r="D583" s="88"/>
      <c r="E583" s="92" t="s">
        <v>339</v>
      </c>
      <c r="F583" s="100"/>
      <c r="G583" s="85" t="s">
        <v>428</v>
      </c>
      <c r="H583" s="88"/>
      <c r="I583" s="99"/>
      <c r="K583" s="84"/>
      <c r="L583" s="122"/>
      <c r="M583" s="84"/>
      <c r="N583" s="84"/>
      <c r="O583" s="84"/>
      <c r="P583" s="84"/>
      <c r="Q583" s="84"/>
      <c r="R583" s="84"/>
    </row>
    <row r="584" ht="15.75" customHeight="1">
      <c r="A584" s="85">
        <v>1.2043041E7</v>
      </c>
      <c r="B584" s="98" t="s">
        <v>861</v>
      </c>
      <c r="C584" s="59"/>
      <c r="D584" s="88"/>
      <c r="E584" s="92" t="s">
        <v>740</v>
      </c>
      <c r="F584" s="100"/>
      <c r="G584" s="85" t="s">
        <v>428</v>
      </c>
      <c r="H584" s="88"/>
      <c r="I584" s="99"/>
      <c r="K584" s="84"/>
      <c r="L584" s="122"/>
      <c r="M584" s="84"/>
      <c r="N584" s="84"/>
      <c r="O584" s="84"/>
      <c r="P584" s="84"/>
      <c r="Q584" s="84"/>
      <c r="R584" s="84"/>
    </row>
    <row r="585" ht="15.75" customHeight="1">
      <c r="A585" s="85">
        <v>1.2043042E7</v>
      </c>
      <c r="B585" s="98" t="s">
        <v>852</v>
      </c>
      <c r="C585" s="59"/>
      <c r="D585" s="88"/>
      <c r="E585" s="100"/>
      <c r="F585" s="92" t="s">
        <v>235</v>
      </c>
      <c r="G585" s="93"/>
      <c r="H585" s="88"/>
      <c r="I585" s="99"/>
      <c r="K585" s="84"/>
      <c r="L585" s="122"/>
      <c r="M585" s="84"/>
      <c r="N585" s="84"/>
      <c r="O585" s="84"/>
      <c r="P585" s="84"/>
      <c r="Q585" s="84"/>
      <c r="R585" s="84"/>
    </row>
    <row r="586" ht="15.75" customHeight="1">
      <c r="A586" s="85">
        <v>1.2043043E7</v>
      </c>
      <c r="B586" s="98" t="s">
        <v>853</v>
      </c>
      <c r="C586" s="59"/>
      <c r="D586" s="88"/>
      <c r="E586" s="92" t="s">
        <v>736</v>
      </c>
      <c r="F586" s="100"/>
      <c r="G586" s="85" t="s">
        <v>428</v>
      </c>
      <c r="H586" s="88"/>
      <c r="I586" s="99"/>
      <c r="K586" s="84"/>
      <c r="L586" s="122"/>
      <c r="M586" s="84"/>
      <c r="N586" s="84"/>
      <c r="O586" s="84"/>
      <c r="P586" s="84"/>
      <c r="Q586" s="84"/>
      <c r="R586" s="84"/>
    </row>
    <row r="587" ht="15.75" customHeight="1">
      <c r="A587" s="85">
        <v>1.2043044E7</v>
      </c>
      <c r="B587" s="98" t="s">
        <v>854</v>
      </c>
      <c r="C587" s="59"/>
      <c r="D587" s="88"/>
      <c r="E587" s="100"/>
      <c r="F587" s="92" t="s">
        <v>247</v>
      </c>
      <c r="G587" s="93"/>
      <c r="H587" s="88"/>
      <c r="I587" s="99"/>
      <c r="K587" s="84"/>
      <c r="L587" s="122"/>
      <c r="M587" s="84"/>
      <c r="N587" s="84"/>
      <c r="O587" s="84"/>
      <c r="P587" s="84"/>
      <c r="Q587" s="84"/>
      <c r="R587" s="84"/>
    </row>
    <row r="588" ht="15.75" customHeight="1">
      <c r="A588" s="85">
        <v>1.2043045E7</v>
      </c>
      <c r="B588" s="98" t="s">
        <v>855</v>
      </c>
      <c r="C588" s="59"/>
      <c r="D588" s="88"/>
      <c r="E588" s="92" t="s">
        <v>339</v>
      </c>
      <c r="F588" s="100"/>
      <c r="G588" s="85" t="s">
        <v>428</v>
      </c>
      <c r="H588" s="88"/>
      <c r="I588" s="99"/>
      <c r="K588" s="84"/>
      <c r="L588" s="123"/>
      <c r="M588" s="84"/>
      <c r="N588" s="84"/>
      <c r="O588" s="84"/>
      <c r="P588" s="84"/>
      <c r="Q588" s="84"/>
      <c r="R588" s="84"/>
    </row>
    <row r="589" ht="15.75" customHeight="1">
      <c r="A589" s="85">
        <v>1.2043046E7</v>
      </c>
      <c r="B589" s="98" t="s">
        <v>856</v>
      </c>
      <c r="C589" s="73"/>
      <c r="D589" s="88"/>
      <c r="E589" s="92" t="s">
        <v>740</v>
      </c>
      <c r="F589" s="100"/>
      <c r="G589" s="85" t="s">
        <v>428</v>
      </c>
      <c r="H589" s="88"/>
      <c r="I589" s="99"/>
      <c r="K589" s="122"/>
      <c r="L589" s="84"/>
      <c r="M589" s="122"/>
      <c r="N589" s="122"/>
      <c r="O589" s="122"/>
      <c r="P589" s="122"/>
      <c r="Q589" s="122"/>
      <c r="R589" s="122"/>
    </row>
    <row r="590" ht="15.75" customHeight="1">
      <c r="A590" s="85">
        <v>1.2044001E7</v>
      </c>
      <c r="B590" s="98" t="s">
        <v>862</v>
      </c>
      <c r="C590" s="86" t="s">
        <v>863</v>
      </c>
      <c r="D590" s="88"/>
      <c r="E590" s="92" t="s">
        <v>864</v>
      </c>
      <c r="F590" s="100"/>
      <c r="G590" s="93"/>
      <c r="H590" s="88"/>
      <c r="I590" s="99"/>
      <c r="K590" s="122"/>
      <c r="L590" s="84"/>
      <c r="M590" s="122"/>
      <c r="N590" s="122"/>
      <c r="O590" s="122"/>
      <c r="P590" s="122"/>
      <c r="Q590" s="122"/>
      <c r="R590" s="122"/>
    </row>
    <row r="591" ht="15.75" customHeight="1">
      <c r="A591" s="85">
        <v>1.2044002E7</v>
      </c>
      <c r="B591" s="98" t="s">
        <v>865</v>
      </c>
      <c r="C591" s="59"/>
      <c r="D591" s="88"/>
      <c r="E591" s="92" t="s">
        <v>866</v>
      </c>
      <c r="F591" s="100"/>
      <c r="G591" s="93"/>
      <c r="H591" s="88"/>
      <c r="I591" s="99"/>
      <c r="K591" s="122"/>
      <c r="L591" s="84"/>
      <c r="M591" s="122"/>
      <c r="N591" s="122"/>
      <c r="O591" s="122"/>
      <c r="P591" s="122"/>
      <c r="Q591" s="122"/>
      <c r="R591" s="122"/>
    </row>
    <row r="592" ht="15.75" customHeight="1">
      <c r="A592" s="85">
        <v>1.2044003E7</v>
      </c>
      <c r="B592" s="98" t="s">
        <v>867</v>
      </c>
      <c r="C592" s="59"/>
      <c r="D592" s="88"/>
      <c r="E592" s="100"/>
      <c r="F592" s="100"/>
      <c r="G592" s="93"/>
      <c r="H592" s="88"/>
      <c r="I592" s="99"/>
      <c r="K592" s="122"/>
      <c r="L592" s="84"/>
      <c r="M592" s="122"/>
      <c r="N592" s="122"/>
      <c r="O592" s="122"/>
      <c r="P592" s="122"/>
      <c r="Q592" s="122"/>
      <c r="R592" s="122"/>
    </row>
    <row r="593" ht="15.75" customHeight="1">
      <c r="A593" s="85">
        <v>1.2099201E7</v>
      </c>
      <c r="B593" s="98" t="s">
        <v>868</v>
      </c>
      <c r="C593" s="59"/>
      <c r="D593" s="88"/>
      <c r="E593" s="100"/>
      <c r="F593" s="100"/>
      <c r="G593" s="93"/>
      <c r="H593" s="88"/>
      <c r="I593" s="99"/>
      <c r="K593" s="122"/>
      <c r="L593" s="84"/>
      <c r="M593" s="122"/>
      <c r="N593" s="122"/>
      <c r="O593" s="122"/>
      <c r="P593" s="122"/>
      <c r="Q593" s="122"/>
      <c r="R593" s="122"/>
    </row>
    <row r="594" ht="15.75" customHeight="1">
      <c r="A594" s="85">
        <v>1.2045001E7</v>
      </c>
      <c r="B594" s="98" t="s">
        <v>869</v>
      </c>
      <c r="C594" s="59"/>
      <c r="D594" s="88"/>
      <c r="E594" s="92" t="s">
        <v>864</v>
      </c>
      <c r="F594" s="100"/>
      <c r="G594" s="93"/>
      <c r="H594" s="88"/>
      <c r="I594" s="99"/>
      <c r="K594" s="122"/>
      <c r="L594" s="84"/>
      <c r="M594" s="122"/>
      <c r="N594" s="122"/>
      <c r="O594" s="122"/>
      <c r="P594" s="122"/>
      <c r="Q594" s="122"/>
      <c r="R594" s="122"/>
    </row>
    <row r="595" ht="15.75" customHeight="1">
      <c r="A595" s="85">
        <v>1.2045002E7</v>
      </c>
      <c r="B595" s="98" t="s">
        <v>870</v>
      </c>
      <c r="C595" s="59"/>
      <c r="D595" s="88"/>
      <c r="E595" s="92" t="s">
        <v>866</v>
      </c>
      <c r="F595" s="100"/>
      <c r="G595" s="93"/>
      <c r="H595" s="88"/>
      <c r="I595" s="99"/>
      <c r="K595" s="122"/>
      <c r="L595" s="84"/>
      <c r="M595" s="122"/>
      <c r="N595" s="122"/>
      <c r="O595" s="122"/>
      <c r="P595" s="122"/>
      <c r="Q595" s="122"/>
      <c r="R595" s="122"/>
    </row>
    <row r="596" ht="15.75" customHeight="1">
      <c r="A596" s="85">
        <v>1.2045003E7</v>
      </c>
      <c r="B596" s="98" t="s">
        <v>871</v>
      </c>
      <c r="C596" s="59"/>
      <c r="D596" s="88"/>
      <c r="E596" s="100"/>
      <c r="F596" s="100"/>
      <c r="G596" s="93"/>
      <c r="H596" s="88"/>
      <c r="I596" s="99"/>
      <c r="K596" s="122"/>
      <c r="L596" s="84"/>
      <c r="M596" s="122"/>
      <c r="N596" s="122"/>
      <c r="O596" s="122"/>
      <c r="P596" s="122"/>
      <c r="Q596" s="122"/>
      <c r="R596" s="122"/>
    </row>
    <row r="597" ht="15.75" customHeight="1">
      <c r="A597" s="85">
        <v>1.2099202E7</v>
      </c>
      <c r="B597" s="98" t="s">
        <v>872</v>
      </c>
      <c r="C597" s="59"/>
      <c r="D597" s="88"/>
      <c r="E597" s="100"/>
      <c r="F597" s="100"/>
      <c r="G597" s="93"/>
      <c r="H597" s="88"/>
      <c r="I597" s="99"/>
      <c r="K597" s="122"/>
      <c r="L597" s="84"/>
      <c r="M597" s="122"/>
      <c r="N597" s="122"/>
      <c r="O597" s="122"/>
      <c r="P597" s="122"/>
      <c r="Q597" s="122"/>
      <c r="R597" s="122"/>
    </row>
    <row r="598" ht="15.75" customHeight="1">
      <c r="A598" s="85">
        <v>1.2046001E7</v>
      </c>
      <c r="B598" s="98" t="s">
        <v>873</v>
      </c>
      <c r="C598" s="59"/>
      <c r="D598" s="88"/>
      <c r="E598" s="92" t="s">
        <v>864</v>
      </c>
      <c r="F598" s="100"/>
      <c r="G598" s="93"/>
      <c r="H598" s="88"/>
      <c r="I598" s="99"/>
      <c r="K598" s="122"/>
      <c r="L598" s="84"/>
      <c r="M598" s="122"/>
      <c r="N598" s="122"/>
      <c r="O598" s="122"/>
      <c r="P598" s="122"/>
      <c r="Q598" s="122"/>
      <c r="R598" s="122"/>
    </row>
    <row r="599" ht="15.75" customHeight="1">
      <c r="A599" s="85">
        <v>1.2046002E7</v>
      </c>
      <c r="B599" s="98" t="s">
        <v>874</v>
      </c>
      <c r="C599" s="59"/>
      <c r="D599" s="88"/>
      <c r="E599" s="92" t="s">
        <v>866</v>
      </c>
      <c r="F599" s="100"/>
      <c r="G599" s="93"/>
      <c r="H599" s="88"/>
      <c r="I599" s="99"/>
      <c r="K599" s="123"/>
      <c r="L599" s="84"/>
      <c r="M599" s="123"/>
      <c r="N599" s="123"/>
      <c r="O599" s="123"/>
      <c r="P599" s="123"/>
      <c r="Q599" s="123"/>
      <c r="R599" s="123"/>
    </row>
    <row r="600" ht="15.75" customHeight="1">
      <c r="A600" s="85">
        <v>1.2046003E7</v>
      </c>
      <c r="B600" s="98" t="s">
        <v>875</v>
      </c>
      <c r="C600" s="59"/>
      <c r="D600" s="88"/>
      <c r="E600" s="100"/>
      <c r="F600" s="100"/>
      <c r="G600" s="93"/>
      <c r="H600" s="88"/>
      <c r="I600" s="99"/>
      <c r="K600" s="84"/>
      <c r="L600" s="84"/>
      <c r="M600" s="84"/>
      <c r="N600" s="84"/>
      <c r="O600" s="84"/>
      <c r="P600" s="84"/>
      <c r="Q600" s="84"/>
      <c r="R600" s="84"/>
    </row>
    <row r="601" ht="15.75" customHeight="1">
      <c r="A601" s="85">
        <v>1.2099203E7</v>
      </c>
      <c r="B601" s="98" t="s">
        <v>876</v>
      </c>
      <c r="C601" s="73"/>
      <c r="D601" s="88"/>
      <c r="E601" s="100"/>
      <c r="F601" s="100"/>
      <c r="G601" s="93"/>
      <c r="H601" s="88"/>
      <c r="I601" s="99"/>
      <c r="K601" s="84"/>
      <c r="L601" s="84"/>
      <c r="M601" s="84"/>
      <c r="N601" s="84"/>
      <c r="O601" s="84"/>
      <c r="P601" s="84"/>
      <c r="Q601" s="84"/>
      <c r="R601" s="84"/>
    </row>
    <row r="602" ht="15.75" customHeight="1">
      <c r="A602" s="105">
        <v>1.2047001E7</v>
      </c>
      <c r="B602" s="105" t="s">
        <v>877</v>
      </c>
      <c r="C602" s="124" t="s">
        <v>878</v>
      </c>
      <c r="D602" s="88"/>
      <c r="E602" s="104" t="s">
        <v>879</v>
      </c>
      <c r="F602" s="104" t="s">
        <v>880</v>
      </c>
      <c r="G602" s="93"/>
      <c r="H602" s="88"/>
      <c r="I602" s="99"/>
      <c r="K602" s="84"/>
      <c r="L602" s="84"/>
      <c r="M602" s="84"/>
      <c r="N602" s="84"/>
      <c r="O602" s="84"/>
      <c r="P602" s="84"/>
      <c r="Q602" s="84"/>
      <c r="R602" s="84"/>
    </row>
    <row r="603" ht="15.75" customHeight="1">
      <c r="A603" s="105">
        <v>1.2047002E7</v>
      </c>
      <c r="B603" s="105" t="s">
        <v>881</v>
      </c>
      <c r="C603" s="124"/>
      <c r="D603" s="88"/>
      <c r="E603" s="104" t="s">
        <v>879</v>
      </c>
      <c r="F603" s="104" t="s">
        <v>880</v>
      </c>
      <c r="G603" s="93"/>
      <c r="H603" s="88"/>
      <c r="I603" s="99"/>
      <c r="K603" s="84"/>
      <c r="L603" s="84"/>
      <c r="M603" s="84"/>
      <c r="N603" s="84"/>
      <c r="O603" s="84"/>
      <c r="P603" s="84"/>
      <c r="Q603" s="84"/>
      <c r="R603" s="84"/>
    </row>
    <row r="604" ht="15.75" customHeight="1">
      <c r="A604" s="105">
        <v>1.2047003E7</v>
      </c>
      <c r="B604" s="105" t="s">
        <v>882</v>
      </c>
      <c r="C604" s="124"/>
      <c r="D604" s="88"/>
      <c r="E604" s="104" t="s">
        <v>879</v>
      </c>
      <c r="F604" s="104" t="s">
        <v>880</v>
      </c>
      <c r="G604" s="93"/>
      <c r="H604" s="88"/>
      <c r="I604" s="99"/>
      <c r="K604" s="84"/>
      <c r="L604" s="84"/>
      <c r="M604" s="84"/>
      <c r="N604" s="84"/>
      <c r="O604" s="84"/>
      <c r="P604" s="84"/>
      <c r="Q604" s="84"/>
      <c r="R604" s="84"/>
    </row>
    <row r="605" ht="15.75" customHeight="1">
      <c r="A605" s="105">
        <v>1.2048001E7</v>
      </c>
      <c r="B605" s="105" t="s">
        <v>883</v>
      </c>
      <c r="C605" s="124" t="s">
        <v>884</v>
      </c>
      <c r="D605" s="88"/>
      <c r="E605" s="100"/>
      <c r="F605" s="100"/>
      <c r="G605" s="105" t="s">
        <v>420</v>
      </c>
      <c r="H605" s="88"/>
      <c r="I605" s="99"/>
      <c r="K605" s="84"/>
      <c r="L605" s="84"/>
      <c r="M605" s="84"/>
      <c r="N605" s="84"/>
      <c r="O605" s="84"/>
      <c r="P605" s="84"/>
      <c r="Q605" s="84"/>
      <c r="R605" s="84"/>
    </row>
    <row r="606" ht="15.75" customHeight="1">
      <c r="A606" s="105">
        <v>1.2048002E7</v>
      </c>
      <c r="B606" s="105" t="s">
        <v>885</v>
      </c>
      <c r="C606" s="124"/>
      <c r="D606" s="88"/>
      <c r="E606" s="100"/>
      <c r="F606" s="100"/>
      <c r="G606" s="105" t="s">
        <v>420</v>
      </c>
      <c r="H606" s="88"/>
      <c r="I606" s="99"/>
      <c r="K606" s="84"/>
      <c r="L606" s="84"/>
      <c r="M606" s="84"/>
      <c r="N606" s="84"/>
      <c r="O606" s="84"/>
      <c r="P606" s="84"/>
      <c r="Q606" s="84"/>
      <c r="R606" s="84"/>
    </row>
    <row r="607" ht="15.75" customHeight="1">
      <c r="A607" s="105">
        <v>1.2048003E7</v>
      </c>
      <c r="B607" s="105" t="s">
        <v>886</v>
      </c>
      <c r="C607" s="124"/>
      <c r="D607" s="88"/>
      <c r="E607" s="100"/>
      <c r="F607" s="100"/>
      <c r="G607" s="105" t="s">
        <v>420</v>
      </c>
      <c r="H607" s="88"/>
      <c r="I607" s="99"/>
      <c r="K607" s="84"/>
      <c r="L607" s="84"/>
      <c r="M607" s="84"/>
      <c r="N607" s="84"/>
      <c r="O607" s="84"/>
      <c r="P607" s="84"/>
      <c r="Q607" s="84"/>
      <c r="R607" s="84"/>
    </row>
    <row r="608" ht="15.75" customHeight="1">
      <c r="A608" s="105">
        <v>1.2048004E7</v>
      </c>
      <c r="B608" s="105" t="s">
        <v>887</v>
      </c>
      <c r="C608" s="124"/>
      <c r="D608" s="88"/>
      <c r="E608" s="100"/>
      <c r="F608" s="100"/>
      <c r="G608" s="105" t="s">
        <v>420</v>
      </c>
      <c r="H608" s="88"/>
      <c r="I608" s="99"/>
      <c r="K608" s="84"/>
      <c r="L608" s="84"/>
      <c r="M608" s="84"/>
      <c r="N608" s="84"/>
      <c r="O608" s="84"/>
      <c r="P608" s="84"/>
      <c r="Q608" s="84"/>
      <c r="R608" s="84"/>
    </row>
    <row r="609" ht="15.75" customHeight="1">
      <c r="A609" s="105">
        <v>1.2048005E7</v>
      </c>
      <c r="B609" s="105" t="s">
        <v>888</v>
      </c>
      <c r="C609" s="124"/>
      <c r="D609" s="88"/>
      <c r="E609" s="100"/>
      <c r="F609" s="100"/>
      <c r="G609" s="105" t="s">
        <v>420</v>
      </c>
      <c r="H609" s="88"/>
      <c r="I609" s="99"/>
      <c r="K609" s="84"/>
      <c r="L609" s="84"/>
      <c r="M609" s="84"/>
      <c r="N609" s="84"/>
      <c r="O609" s="84"/>
      <c r="P609" s="84"/>
      <c r="Q609" s="84"/>
      <c r="R609" s="84"/>
    </row>
    <row r="610" ht="15.75" customHeight="1">
      <c r="A610" s="105">
        <v>1.2048006E7</v>
      </c>
      <c r="B610" s="105" t="s">
        <v>889</v>
      </c>
      <c r="C610" s="124"/>
      <c r="D610" s="88"/>
      <c r="E610" s="100"/>
      <c r="F610" s="100"/>
      <c r="G610" s="105" t="s">
        <v>420</v>
      </c>
      <c r="H610" s="88"/>
      <c r="I610" s="99"/>
      <c r="K610" s="84"/>
      <c r="L610" s="84"/>
      <c r="M610" s="84"/>
      <c r="N610" s="84"/>
      <c r="O610" s="84"/>
      <c r="P610" s="84"/>
      <c r="Q610" s="84"/>
      <c r="R610" s="84"/>
    </row>
    <row r="611" ht="15.75" customHeight="1">
      <c r="A611" s="105">
        <v>1.2048007E7</v>
      </c>
      <c r="B611" s="105" t="s">
        <v>890</v>
      </c>
      <c r="C611" s="124"/>
      <c r="D611" s="88"/>
      <c r="E611" s="100"/>
      <c r="F611" s="100"/>
      <c r="G611" s="105" t="s">
        <v>420</v>
      </c>
      <c r="H611" s="88"/>
      <c r="I611" s="99"/>
      <c r="K611" s="84"/>
      <c r="L611" s="84"/>
      <c r="M611" s="84"/>
      <c r="N611" s="84"/>
      <c r="O611" s="84"/>
      <c r="P611" s="84"/>
      <c r="Q611" s="84"/>
      <c r="R611" s="84"/>
    </row>
    <row r="612" ht="15.75" customHeight="1">
      <c r="A612" s="105">
        <v>1.2048008E7</v>
      </c>
      <c r="B612" s="105" t="s">
        <v>891</v>
      </c>
      <c r="C612" s="124"/>
      <c r="D612" s="88"/>
      <c r="E612" s="100"/>
      <c r="F612" s="100"/>
      <c r="G612" s="105" t="s">
        <v>420</v>
      </c>
      <c r="H612" s="88"/>
      <c r="I612" s="99"/>
      <c r="K612" s="84"/>
      <c r="L612" s="84"/>
      <c r="M612" s="84"/>
      <c r="N612" s="84"/>
      <c r="O612" s="84"/>
      <c r="P612" s="84"/>
      <c r="Q612" s="84"/>
      <c r="R612" s="84"/>
    </row>
    <row r="613" ht="15.75" customHeight="1">
      <c r="A613" s="105">
        <v>1.2048009E7</v>
      </c>
      <c r="B613" s="105" t="s">
        <v>892</v>
      </c>
      <c r="C613" s="124"/>
      <c r="D613" s="88"/>
      <c r="E613" s="100"/>
      <c r="F613" s="100"/>
      <c r="G613" s="105" t="s">
        <v>420</v>
      </c>
      <c r="H613" s="88"/>
      <c r="I613" s="99"/>
      <c r="K613" s="84"/>
      <c r="L613" s="84"/>
      <c r="M613" s="84"/>
      <c r="N613" s="84"/>
      <c r="O613" s="84"/>
      <c r="P613" s="84"/>
      <c r="Q613" s="84"/>
      <c r="R613" s="84"/>
    </row>
    <row r="614" ht="15.75" customHeight="1">
      <c r="A614" s="105">
        <v>1.204801E7</v>
      </c>
      <c r="B614" s="105" t="s">
        <v>893</v>
      </c>
      <c r="C614" s="124"/>
      <c r="D614" s="88"/>
      <c r="E614" s="100"/>
      <c r="F614" s="100"/>
      <c r="G614" s="105" t="s">
        <v>420</v>
      </c>
      <c r="H614" s="88"/>
      <c r="I614" s="99"/>
      <c r="K614" s="84"/>
      <c r="L614" s="84"/>
      <c r="M614" s="84"/>
      <c r="N614" s="84"/>
      <c r="O614" s="84"/>
      <c r="P614" s="84"/>
      <c r="Q614" s="84"/>
      <c r="R614" s="84"/>
    </row>
    <row r="615" ht="15.75" customHeight="1">
      <c r="A615" s="105">
        <v>1.2048011E7</v>
      </c>
      <c r="B615" s="105" t="s">
        <v>894</v>
      </c>
      <c r="C615" s="124"/>
      <c r="D615" s="88"/>
      <c r="E615" s="100"/>
      <c r="F615" s="100"/>
      <c r="G615" s="105" t="s">
        <v>420</v>
      </c>
      <c r="H615" s="88"/>
      <c r="I615" s="99"/>
      <c r="K615" s="84"/>
      <c r="L615" s="84"/>
      <c r="M615" s="84"/>
      <c r="N615" s="84"/>
      <c r="O615" s="84"/>
      <c r="P615" s="84"/>
      <c r="Q615" s="84"/>
      <c r="R615" s="84"/>
    </row>
    <row r="616" ht="15.75" customHeight="1">
      <c r="A616" s="105">
        <v>1.2048012E7</v>
      </c>
      <c r="B616" s="105" t="s">
        <v>895</v>
      </c>
      <c r="C616" s="124"/>
      <c r="D616" s="88"/>
      <c r="E616" s="100"/>
      <c r="F616" s="100"/>
      <c r="G616" s="105" t="s">
        <v>420</v>
      </c>
      <c r="H616" s="88"/>
      <c r="I616" s="99"/>
      <c r="K616" s="84"/>
      <c r="L616" s="84"/>
      <c r="M616" s="84"/>
      <c r="N616" s="84"/>
      <c r="O616" s="84"/>
      <c r="P616" s="84"/>
      <c r="Q616" s="84"/>
      <c r="R616" s="84"/>
    </row>
    <row r="617" ht="15.75" customHeight="1">
      <c r="A617" s="105">
        <v>1.2048013E7</v>
      </c>
      <c r="B617" s="105" t="s">
        <v>896</v>
      </c>
      <c r="C617" s="124"/>
      <c r="D617" s="88"/>
      <c r="E617" s="100"/>
      <c r="F617" s="100"/>
      <c r="G617" s="105" t="s">
        <v>420</v>
      </c>
      <c r="H617" s="88"/>
      <c r="I617" s="99"/>
      <c r="K617" s="84"/>
      <c r="L617" s="84"/>
      <c r="M617" s="84"/>
      <c r="N617" s="84"/>
      <c r="O617" s="84"/>
      <c r="P617" s="84"/>
      <c r="Q617" s="84"/>
      <c r="R617" s="84"/>
    </row>
    <row r="618" ht="15.75" customHeight="1">
      <c r="A618" s="105">
        <v>1.2048014E7</v>
      </c>
      <c r="B618" s="105" t="s">
        <v>897</v>
      </c>
      <c r="C618" s="124"/>
      <c r="D618" s="88"/>
      <c r="E618" s="100"/>
      <c r="F618" s="100"/>
      <c r="G618" s="105" t="s">
        <v>420</v>
      </c>
      <c r="H618" s="88"/>
      <c r="I618" s="99"/>
      <c r="K618" s="84"/>
      <c r="L618" s="84"/>
      <c r="M618" s="84"/>
      <c r="N618" s="84"/>
      <c r="O618" s="84"/>
      <c r="P618" s="84"/>
      <c r="Q618" s="84"/>
      <c r="R618" s="84"/>
    </row>
    <row r="619" ht="15.75" customHeight="1">
      <c r="A619" s="105">
        <v>1.2048015E7</v>
      </c>
      <c r="B619" s="105" t="s">
        <v>898</v>
      </c>
      <c r="C619" s="124"/>
      <c r="D619" s="88"/>
      <c r="E619" s="100"/>
      <c r="F619" s="100"/>
      <c r="G619" s="105" t="s">
        <v>420</v>
      </c>
      <c r="H619" s="88"/>
      <c r="I619" s="99"/>
      <c r="K619" s="84"/>
      <c r="L619" s="84"/>
      <c r="M619" s="84"/>
      <c r="N619" s="84"/>
      <c r="O619" s="84"/>
      <c r="P619" s="84"/>
      <c r="Q619" s="84"/>
      <c r="R619" s="84"/>
    </row>
    <row r="620" ht="15.75" customHeight="1">
      <c r="A620" s="105">
        <v>1.2048016E7</v>
      </c>
      <c r="B620" s="105" t="s">
        <v>899</v>
      </c>
      <c r="C620" s="124"/>
      <c r="D620" s="88"/>
      <c r="E620" s="100"/>
      <c r="F620" s="100"/>
      <c r="G620" s="105" t="s">
        <v>420</v>
      </c>
      <c r="H620" s="88"/>
      <c r="I620" s="99"/>
      <c r="K620" s="84"/>
      <c r="L620" s="84"/>
      <c r="M620" s="84"/>
      <c r="N620" s="84"/>
      <c r="O620" s="84"/>
      <c r="P620" s="84"/>
      <c r="Q620" s="84"/>
      <c r="R620" s="84"/>
    </row>
    <row r="621" ht="15.75" customHeight="1">
      <c r="A621" s="105">
        <v>1.2048017E7</v>
      </c>
      <c r="B621" s="105" t="s">
        <v>900</v>
      </c>
      <c r="C621" s="124"/>
      <c r="D621" s="88"/>
      <c r="E621" s="100"/>
      <c r="F621" s="100"/>
      <c r="G621" s="105" t="s">
        <v>420</v>
      </c>
      <c r="H621" s="88"/>
      <c r="I621" s="99"/>
      <c r="K621" s="84"/>
      <c r="L621" s="84"/>
      <c r="M621" s="84"/>
      <c r="N621" s="84"/>
      <c r="O621" s="84"/>
      <c r="P621" s="84"/>
      <c r="Q621" s="84"/>
      <c r="R621" s="84"/>
    </row>
    <row r="622" ht="15.75" customHeight="1">
      <c r="A622" s="105">
        <v>1.2048018E7</v>
      </c>
      <c r="B622" s="105" t="s">
        <v>901</v>
      </c>
      <c r="C622" s="124"/>
      <c r="D622" s="88"/>
      <c r="E622" s="100"/>
      <c r="F622" s="100"/>
      <c r="G622" s="105" t="s">
        <v>420</v>
      </c>
      <c r="H622" s="88"/>
      <c r="I622" s="99"/>
      <c r="K622" s="84"/>
      <c r="L622" s="84"/>
      <c r="M622" s="84"/>
      <c r="N622" s="84"/>
      <c r="O622" s="84"/>
      <c r="P622" s="84"/>
      <c r="Q622" s="84"/>
      <c r="R622" s="84"/>
    </row>
    <row r="623" ht="15.75" customHeight="1">
      <c r="A623" s="105">
        <v>1.2048019E7</v>
      </c>
      <c r="B623" s="105" t="s">
        <v>902</v>
      </c>
      <c r="C623" s="124"/>
      <c r="D623" s="88"/>
      <c r="E623" s="100"/>
      <c r="F623" s="100"/>
      <c r="G623" s="105" t="s">
        <v>420</v>
      </c>
      <c r="H623" s="88"/>
      <c r="I623" s="99"/>
      <c r="K623" s="84"/>
      <c r="L623" s="84"/>
      <c r="M623" s="84"/>
      <c r="N623" s="84"/>
      <c r="O623" s="84"/>
      <c r="P623" s="84"/>
      <c r="Q623" s="84"/>
      <c r="R623" s="84"/>
    </row>
    <row r="624" ht="15.75" customHeight="1">
      <c r="A624" s="105">
        <v>1.204802E7</v>
      </c>
      <c r="B624" s="105" t="s">
        <v>903</v>
      </c>
      <c r="C624" s="124"/>
      <c r="D624" s="88"/>
      <c r="E624" s="100"/>
      <c r="F624" s="100"/>
      <c r="G624" s="105" t="s">
        <v>420</v>
      </c>
      <c r="H624" s="88"/>
      <c r="I624" s="99"/>
      <c r="K624" s="84"/>
      <c r="L624" s="84"/>
      <c r="M624" s="84"/>
      <c r="N624" s="84"/>
      <c r="O624" s="84"/>
      <c r="P624" s="84"/>
      <c r="Q624" s="84"/>
      <c r="R624" s="84"/>
    </row>
    <row r="625" ht="15.75" customHeight="1">
      <c r="A625" s="105">
        <v>1.2048021E7</v>
      </c>
      <c r="B625" s="105" t="s">
        <v>904</v>
      </c>
      <c r="C625" s="124"/>
      <c r="D625" s="88"/>
      <c r="E625" s="100"/>
      <c r="F625" s="100"/>
      <c r="G625" s="105" t="s">
        <v>420</v>
      </c>
      <c r="H625" s="88"/>
      <c r="I625" s="99"/>
      <c r="K625" s="84"/>
      <c r="L625" s="84"/>
      <c r="M625" s="84"/>
      <c r="N625" s="84"/>
      <c r="O625" s="84"/>
      <c r="P625" s="84"/>
      <c r="Q625" s="84"/>
      <c r="R625" s="84"/>
    </row>
    <row r="626" ht="15.75" customHeight="1">
      <c r="A626" s="105">
        <v>1.2048022E7</v>
      </c>
      <c r="B626" s="105" t="s">
        <v>905</v>
      </c>
      <c r="C626" s="124"/>
      <c r="D626" s="88"/>
      <c r="E626" s="100"/>
      <c r="F626" s="100"/>
      <c r="G626" s="105" t="s">
        <v>420</v>
      </c>
      <c r="H626" s="88"/>
      <c r="I626" s="99"/>
      <c r="K626" s="84"/>
      <c r="L626" s="84"/>
      <c r="M626" s="84"/>
      <c r="N626" s="84"/>
      <c r="O626" s="84"/>
      <c r="P626" s="84"/>
      <c r="Q626" s="84"/>
      <c r="R626" s="84"/>
    </row>
    <row r="627" ht="15.75" customHeight="1">
      <c r="A627" s="105">
        <v>1.2048023E7</v>
      </c>
      <c r="B627" s="105" t="s">
        <v>906</v>
      </c>
      <c r="C627" s="124"/>
      <c r="D627" s="88"/>
      <c r="E627" s="100"/>
      <c r="F627" s="100"/>
      <c r="G627" s="105" t="s">
        <v>420</v>
      </c>
      <c r="H627" s="88"/>
      <c r="I627" s="99"/>
      <c r="K627" s="84"/>
      <c r="L627" s="84"/>
      <c r="M627" s="84"/>
      <c r="N627" s="84"/>
      <c r="O627" s="84"/>
      <c r="P627" s="84"/>
      <c r="Q627" s="84"/>
      <c r="R627" s="84"/>
    </row>
    <row r="628" ht="15.75" customHeight="1">
      <c r="A628" s="105">
        <v>1.2048024E7</v>
      </c>
      <c r="B628" s="105" t="s">
        <v>907</v>
      </c>
      <c r="C628" s="124"/>
      <c r="D628" s="88"/>
      <c r="E628" s="100"/>
      <c r="F628" s="100"/>
      <c r="G628" s="105" t="s">
        <v>420</v>
      </c>
      <c r="H628" s="88"/>
      <c r="I628" s="99"/>
      <c r="K628" s="84"/>
      <c r="L628" s="84"/>
      <c r="M628" s="84"/>
      <c r="N628" s="84"/>
      <c r="O628" s="84"/>
      <c r="P628" s="84"/>
      <c r="Q628" s="84"/>
      <c r="R628" s="84"/>
    </row>
    <row r="629" ht="15.75" customHeight="1">
      <c r="A629" s="105">
        <v>1.2048025E7</v>
      </c>
      <c r="B629" s="105" t="s">
        <v>908</v>
      </c>
      <c r="C629" s="124"/>
      <c r="D629" s="88"/>
      <c r="E629" s="100"/>
      <c r="F629" s="100"/>
      <c r="G629" s="105" t="s">
        <v>420</v>
      </c>
      <c r="H629" s="88"/>
      <c r="I629" s="99"/>
      <c r="K629" s="84"/>
      <c r="L629" s="84"/>
      <c r="M629" s="84"/>
      <c r="N629" s="84"/>
      <c r="O629" s="84"/>
      <c r="P629" s="84"/>
      <c r="Q629" s="84"/>
      <c r="R629" s="84"/>
    </row>
    <row r="630" ht="15.75" customHeight="1">
      <c r="A630" s="105">
        <v>1.2048026E7</v>
      </c>
      <c r="B630" s="105" t="s">
        <v>909</v>
      </c>
      <c r="C630" s="124"/>
      <c r="D630" s="88"/>
      <c r="E630" s="100"/>
      <c r="F630" s="100"/>
      <c r="G630" s="105" t="s">
        <v>420</v>
      </c>
      <c r="H630" s="88"/>
      <c r="I630" s="99"/>
      <c r="K630" s="84"/>
      <c r="L630" s="84"/>
      <c r="M630" s="84"/>
      <c r="N630" s="84"/>
      <c r="O630" s="84"/>
      <c r="P630" s="84"/>
      <c r="Q630" s="84"/>
      <c r="R630" s="84"/>
    </row>
    <row r="631" ht="15.75" customHeight="1">
      <c r="A631" s="105">
        <v>1.2048027E7</v>
      </c>
      <c r="B631" s="105" t="s">
        <v>910</v>
      </c>
      <c r="C631" s="124"/>
      <c r="D631" s="88"/>
      <c r="E631" s="100"/>
      <c r="F631" s="100"/>
      <c r="G631" s="105" t="s">
        <v>420</v>
      </c>
      <c r="H631" s="88"/>
      <c r="I631" s="99"/>
      <c r="K631" s="84"/>
      <c r="L631" s="84"/>
      <c r="M631" s="84"/>
      <c r="N631" s="84"/>
      <c r="O631" s="84"/>
      <c r="P631" s="84"/>
      <c r="Q631" s="84"/>
      <c r="R631" s="84"/>
    </row>
    <row r="632" ht="15.75" customHeight="1">
      <c r="A632" s="105">
        <v>1.2048028E7</v>
      </c>
      <c r="B632" s="105" t="s">
        <v>911</v>
      </c>
      <c r="C632" s="124"/>
      <c r="D632" s="88"/>
      <c r="E632" s="100"/>
      <c r="F632" s="100"/>
      <c r="G632" s="105" t="s">
        <v>420</v>
      </c>
      <c r="H632" s="88"/>
      <c r="I632" s="99"/>
      <c r="K632" s="84"/>
      <c r="L632" s="84"/>
      <c r="M632" s="84"/>
      <c r="N632" s="84"/>
      <c r="O632" s="84"/>
      <c r="P632" s="84"/>
      <c r="Q632" s="84"/>
      <c r="R632" s="84"/>
    </row>
    <row r="633" ht="15.75" customHeight="1">
      <c r="A633" s="105">
        <v>1.2048029E7</v>
      </c>
      <c r="B633" s="105" t="s">
        <v>912</v>
      </c>
      <c r="C633" s="124"/>
      <c r="D633" s="88"/>
      <c r="E633" s="100"/>
      <c r="F633" s="100"/>
      <c r="G633" s="105" t="s">
        <v>420</v>
      </c>
      <c r="H633" s="88"/>
      <c r="I633" s="99"/>
      <c r="K633" s="84"/>
      <c r="L633" s="84"/>
      <c r="M633" s="84"/>
      <c r="N633" s="84"/>
      <c r="O633" s="84"/>
      <c r="P633" s="84"/>
      <c r="Q633" s="84"/>
      <c r="R633" s="84"/>
    </row>
    <row r="634" ht="15.75" customHeight="1">
      <c r="A634" s="105">
        <v>1.204803E7</v>
      </c>
      <c r="B634" s="105" t="s">
        <v>913</v>
      </c>
      <c r="C634" s="124"/>
      <c r="D634" s="88"/>
      <c r="E634" s="100"/>
      <c r="F634" s="100"/>
      <c r="G634" s="105" t="s">
        <v>420</v>
      </c>
      <c r="H634" s="88"/>
      <c r="I634" s="99"/>
      <c r="K634" s="84"/>
      <c r="L634" s="84"/>
      <c r="M634" s="84"/>
      <c r="N634" s="84"/>
      <c r="O634" s="84"/>
      <c r="P634" s="84"/>
      <c r="Q634" s="84"/>
      <c r="R634" s="84"/>
    </row>
    <row r="635" ht="15.75" customHeight="1">
      <c r="A635" s="105">
        <v>1.2048031E7</v>
      </c>
      <c r="B635" s="105" t="s">
        <v>914</v>
      </c>
      <c r="C635" s="124"/>
      <c r="D635" s="88"/>
      <c r="E635" s="100"/>
      <c r="F635" s="100"/>
      <c r="G635" s="105" t="s">
        <v>420</v>
      </c>
      <c r="H635" s="88"/>
      <c r="I635" s="99"/>
      <c r="K635" s="84"/>
      <c r="L635" s="84"/>
      <c r="M635" s="84"/>
      <c r="N635" s="84"/>
      <c r="O635" s="84"/>
      <c r="P635" s="84"/>
      <c r="Q635" s="84"/>
      <c r="R635" s="84"/>
    </row>
    <row r="636" ht="15.75" customHeight="1">
      <c r="A636" s="105">
        <v>1.2048032E7</v>
      </c>
      <c r="B636" s="105" t="s">
        <v>915</v>
      </c>
      <c r="C636" s="124"/>
      <c r="D636" s="88"/>
      <c r="E636" s="100"/>
      <c r="F636" s="100"/>
      <c r="G636" s="105" t="s">
        <v>420</v>
      </c>
      <c r="H636" s="88"/>
      <c r="I636" s="99"/>
      <c r="K636" s="84"/>
      <c r="L636" s="84"/>
      <c r="M636" s="84"/>
      <c r="N636" s="84"/>
      <c r="O636" s="84"/>
      <c r="P636" s="84"/>
      <c r="Q636" s="84"/>
      <c r="R636" s="84"/>
    </row>
    <row r="637" ht="15.75" customHeight="1">
      <c r="A637" s="105">
        <v>1.2048033E7</v>
      </c>
      <c r="B637" s="105" t="s">
        <v>916</v>
      </c>
      <c r="C637" s="124"/>
      <c r="D637" s="88"/>
      <c r="E637" s="100"/>
      <c r="F637" s="100"/>
      <c r="G637" s="105" t="s">
        <v>420</v>
      </c>
      <c r="H637" s="88"/>
      <c r="I637" s="99"/>
      <c r="K637" s="84"/>
      <c r="L637" s="84"/>
      <c r="M637" s="84"/>
      <c r="N637" s="84"/>
      <c r="O637" s="84"/>
      <c r="P637" s="84"/>
      <c r="Q637" s="84"/>
      <c r="R637" s="84"/>
    </row>
    <row r="638" ht="15.75" customHeight="1">
      <c r="A638" s="105">
        <v>1.2048034E7</v>
      </c>
      <c r="B638" s="105" t="s">
        <v>917</v>
      </c>
      <c r="C638" s="124"/>
      <c r="D638" s="88"/>
      <c r="E638" s="100"/>
      <c r="F638" s="100"/>
      <c r="G638" s="105" t="s">
        <v>420</v>
      </c>
      <c r="H638" s="88"/>
      <c r="I638" s="99"/>
      <c r="K638" s="84"/>
      <c r="L638" s="84"/>
      <c r="M638" s="84"/>
      <c r="N638" s="84"/>
      <c r="O638" s="84"/>
      <c r="P638" s="84"/>
      <c r="Q638" s="84"/>
      <c r="R638" s="84"/>
    </row>
    <row r="639" ht="15.75" customHeight="1">
      <c r="A639" s="105">
        <v>1.2048035E7</v>
      </c>
      <c r="B639" s="105" t="s">
        <v>918</v>
      </c>
      <c r="C639" s="124"/>
      <c r="D639" s="88"/>
      <c r="E639" s="100"/>
      <c r="F639" s="100"/>
      <c r="G639" s="105" t="s">
        <v>420</v>
      </c>
      <c r="H639" s="88"/>
      <c r="I639" s="99"/>
      <c r="K639" s="84"/>
      <c r="L639" s="84"/>
      <c r="M639" s="84"/>
      <c r="N639" s="84"/>
      <c r="O639" s="84"/>
      <c r="P639" s="84"/>
      <c r="Q639" s="84"/>
      <c r="R639" s="84"/>
    </row>
    <row r="640" ht="15.75" customHeight="1">
      <c r="A640" s="105">
        <v>1.2049001E7</v>
      </c>
      <c r="B640" s="98" t="s">
        <v>919</v>
      </c>
      <c r="C640" s="124"/>
      <c r="D640" s="88"/>
      <c r="E640" s="100"/>
      <c r="F640" s="100"/>
      <c r="G640" s="105" t="s">
        <v>420</v>
      </c>
      <c r="H640" s="88"/>
      <c r="I640" s="99"/>
      <c r="K640" s="84"/>
      <c r="L640" s="84"/>
      <c r="M640" s="84"/>
      <c r="N640" s="84"/>
      <c r="O640" s="84"/>
      <c r="P640" s="84"/>
      <c r="Q640" s="84"/>
      <c r="R640" s="84"/>
    </row>
    <row r="641" ht="15.75" customHeight="1">
      <c r="A641" s="105">
        <v>1.2049002E7</v>
      </c>
      <c r="B641" s="98" t="s">
        <v>920</v>
      </c>
      <c r="C641" s="124"/>
      <c r="D641" s="88"/>
      <c r="E641" s="100"/>
      <c r="F641" s="100"/>
      <c r="G641" s="105" t="s">
        <v>420</v>
      </c>
      <c r="H641" s="88"/>
      <c r="I641" s="99"/>
      <c r="K641" s="84"/>
      <c r="L641" s="84"/>
      <c r="M641" s="84"/>
      <c r="N641" s="84"/>
      <c r="O641" s="84"/>
      <c r="P641" s="84"/>
      <c r="Q641" s="84"/>
      <c r="R641" s="84"/>
    </row>
    <row r="642" ht="15.75" customHeight="1">
      <c r="A642" s="105">
        <v>1.2049003E7</v>
      </c>
      <c r="B642" s="98" t="s">
        <v>921</v>
      </c>
      <c r="C642" s="124"/>
      <c r="D642" s="88"/>
      <c r="E642" s="100"/>
      <c r="F642" s="100"/>
      <c r="G642" s="105" t="s">
        <v>420</v>
      </c>
      <c r="H642" s="88"/>
      <c r="I642" s="99"/>
      <c r="K642" s="84"/>
      <c r="L642" s="84"/>
      <c r="M642" s="84"/>
      <c r="N642" s="84"/>
      <c r="O642" s="84"/>
      <c r="P642" s="84"/>
      <c r="Q642" s="84"/>
      <c r="R642" s="84"/>
    </row>
    <row r="643" ht="15.75" customHeight="1">
      <c r="A643" s="105">
        <v>1.2049004E7</v>
      </c>
      <c r="B643" s="98" t="s">
        <v>922</v>
      </c>
      <c r="C643" s="124"/>
      <c r="D643" s="88"/>
      <c r="E643" s="100"/>
      <c r="F643" s="100"/>
      <c r="G643" s="105" t="s">
        <v>420</v>
      </c>
      <c r="H643" s="88"/>
      <c r="I643" s="99"/>
      <c r="K643" s="84"/>
      <c r="L643" s="84"/>
      <c r="M643" s="84"/>
      <c r="N643" s="84"/>
      <c r="O643" s="84"/>
      <c r="P643" s="84"/>
      <c r="Q643" s="84"/>
      <c r="R643" s="84"/>
    </row>
    <row r="644" ht="15.75" customHeight="1">
      <c r="A644" s="105">
        <v>1.2049005E7</v>
      </c>
      <c r="B644" s="98" t="s">
        <v>923</v>
      </c>
      <c r="C644" s="124"/>
      <c r="D644" s="88"/>
      <c r="E644" s="100"/>
      <c r="F644" s="100"/>
      <c r="G644" s="105" t="s">
        <v>420</v>
      </c>
      <c r="H644" s="88"/>
      <c r="I644" s="99"/>
      <c r="K644" s="84"/>
      <c r="L644" s="84"/>
      <c r="M644" s="84"/>
      <c r="N644" s="84"/>
      <c r="O644" s="84"/>
      <c r="P644" s="84"/>
      <c r="Q644" s="84"/>
      <c r="R644" s="84"/>
    </row>
    <row r="645" ht="15.75" customHeight="1">
      <c r="A645" s="105">
        <v>1.2049006E7</v>
      </c>
      <c r="B645" s="98" t="s">
        <v>924</v>
      </c>
      <c r="C645" s="124"/>
      <c r="D645" s="88"/>
      <c r="E645" s="100"/>
      <c r="F645" s="100"/>
      <c r="G645" s="105" t="s">
        <v>420</v>
      </c>
      <c r="H645" s="88"/>
      <c r="I645" s="99"/>
      <c r="K645" s="84"/>
      <c r="L645" s="84"/>
      <c r="M645" s="84"/>
      <c r="N645" s="84"/>
      <c r="O645" s="84"/>
      <c r="P645" s="84"/>
      <c r="Q645" s="84"/>
      <c r="R645" s="84"/>
    </row>
    <row r="646" ht="15.75" customHeight="1">
      <c r="A646" s="105">
        <v>1.2049007E7</v>
      </c>
      <c r="B646" s="98" t="s">
        <v>925</v>
      </c>
      <c r="C646" s="124"/>
      <c r="D646" s="88"/>
      <c r="E646" s="100"/>
      <c r="F646" s="100"/>
      <c r="G646" s="105" t="s">
        <v>420</v>
      </c>
      <c r="H646" s="88"/>
      <c r="I646" s="99"/>
      <c r="K646" s="84"/>
      <c r="L646" s="84"/>
      <c r="M646" s="84"/>
      <c r="N646" s="84"/>
      <c r="O646" s="84"/>
      <c r="P646" s="84"/>
      <c r="Q646" s="84"/>
      <c r="R646" s="84"/>
    </row>
    <row r="647" ht="15.75" customHeight="1">
      <c r="A647" s="105">
        <v>1.2049008E7</v>
      </c>
      <c r="B647" s="98" t="s">
        <v>926</v>
      </c>
      <c r="C647" s="124"/>
      <c r="D647" s="88"/>
      <c r="E647" s="100"/>
      <c r="F647" s="100"/>
      <c r="G647" s="105" t="s">
        <v>420</v>
      </c>
      <c r="H647" s="88"/>
      <c r="I647" s="99"/>
      <c r="K647" s="84"/>
      <c r="L647" s="84"/>
      <c r="M647" s="84"/>
      <c r="N647" s="84"/>
      <c r="O647" s="84"/>
      <c r="P647" s="84"/>
      <c r="Q647" s="84"/>
      <c r="R647" s="84"/>
    </row>
    <row r="648" ht="15.75" customHeight="1">
      <c r="A648" s="105">
        <v>1.2049009E7</v>
      </c>
      <c r="B648" s="98" t="s">
        <v>927</v>
      </c>
      <c r="C648" s="124"/>
      <c r="D648" s="88"/>
      <c r="E648" s="100"/>
      <c r="F648" s="100"/>
      <c r="G648" s="105" t="s">
        <v>420</v>
      </c>
      <c r="H648" s="88"/>
      <c r="I648" s="99"/>
      <c r="K648" s="84"/>
      <c r="L648" s="84"/>
      <c r="M648" s="84"/>
      <c r="N648" s="84"/>
      <c r="O648" s="84"/>
      <c r="P648" s="84"/>
      <c r="Q648" s="84"/>
      <c r="R648" s="84"/>
    </row>
    <row r="649" ht="15.75" customHeight="1">
      <c r="A649" s="105">
        <v>1.204901E7</v>
      </c>
      <c r="B649" s="98" t="s">
        <v>928</v>
      </c>
      <c r="C649" s="124"/>
      <c r="D649" s="88"/>
      <c r="E649" s="100"/>
      <c r="F649" s="100"/>
      <c r="G649" s="105" t="s">
        <v>420</v>
      </c>
      <c r="H649" s="88"/>
      <c r="I649" s="99"/>
      <c r="K649" s="84"/>
      <c r="L649" s="84"/>
      <c r="M649" s="84"/>
      <c r="N649" s="84"/>
      <c r="O649" s="84"/>
      <c r="P649" s="84"/>
      <c r="Q649" s="84"/>
      <c r="R649" s="84"/>
    </row>
    <row r="650" ht="15.75" customHeight="1">
      <c r="A650" s="105">
        <v>1.2049011E7</v>
      </c>
      <c r="B650" s="98" t="s">
        <v>929</v>
      </c>
      <c r="C650" s="124"/>
      <c r="D650" s="88"/>
      <c r="E650" s="100"/>
      <c r="F650" s="100"/>
      <c r="G650" s="105" t="s">
        <v>420</v>
      </c>
      <c r="H650" s="88"/>
      <c r="I650" s="99"/>
      <c r="K650" s="84"/>
      <c r="L650" s="84"/>
      <c r="M650" s="84"/>
      <c r="N650" s="84"/>
      <c r="O650" s="84"/>
      <c r="P650" s="84"/>
      <c r="Q650" s="84"/>
      <c r="R650" s="84"/>
    </row>
    <row r="651" ht="15.75" customHeight="1">
      <c r="A651" s="105">
        <v>1.2049012E7</v>
      </c>
      <c r="B651" s="98" t="s">
        <v>930</v>
      </c>
      <c r="C651" s="124"/>
      <c r="D651" s="88"/>
      <c r="E651" s="100"/>
      <c r="F651" s="100"/>
      <c r="G651" s="105" t="s">
        <v>420</v>
      </c>
      <c r="H651" s="88"/>
      <c r="I651" s="99"/>
      <c r="K651" s="84"/>
      <c r="L651" s="84"/>
      <c r="M651" s="84"/>
      <c r="N651" s="84"/>
      <c r="O651" s="84"/>
      <c r="P651" s="84"/>
      <c r="Q651" s="84"/>
      <c r="R651" s="84"/>
    </row>
    <row r="652" ht="15.75" customHeight="1">
      <c r="A652" s="105">
        <v>1.2049013E7</v>
      </c>
      <c r="B652" s="98" t="s">
        <v>931</v>
      </c>
      <c r="C652" s="124"/>
      <c r="D652" s="88"/>
      <c r="E652" s="100"/>
      <c r="F652" s="100"/>
      <c r="G652" s="105" t="s">
        <v>420</v>
      </c>
      <c r="H652" s="88"/>
      <c r="I652" s="99"/>
      <c r="K652" s="84"/>
      <c r="L652" s="84"/>
      <c r="M652" s="84"/>
      <c r="N652" s="84"/>
      <c r="O652" s="84"/>
      <c r="P652" s="84"/>
      <c r="Q652" s="84"/>
      <c r="R652" s="84"/>
    </row>
    <row r="653" ht="15.75" customHeight="1">
      <c r="A653" s="105">
        <v>1.2049014E7</v>
      </c>
      <c r="B653" s="98" t="s">
        <v>932</v>
      </c>
      <c r="C653" s="124"/>
      <c r="D653" s="88"/>
      <c r="E653" s="100"/>
      <c r="F653" s="100"/>
      <c r="G653" s="105" t="s">
        <v>420</v>
      </c>
      <c r="H653" s="88"/>
      <c r="I653" s="99"/>
      <c r="K653" s="84"/>
      <c r="L653" s="84"/>
      <c r="M653" s="84"/>
      <c r="N653" s="84"/>
      <c r="O653" s="84"/>
      <c r="P653" s="84"/>
      <c r="Q653" s="84"/>
      <c r="R653" s="84"/>
    </row>
    <row r="654" ht="15.75" customHeight="1">
      <c r="A654" s="105">
        <v>1.2049015E7</v>
      </c>
      <c r="B654" s="98" t="s">
        <v>933</v>
      </c>
      <c r="C654" s="124"/>
      <c r="D654" s="88"/>
      <c r="E654" s="100"/>
      <c r="F654" s="100"/>
      <c r="G654" s="105" t="s">
        <v>420</v>
      </c>
      <c r="H654" s="88"/>
      <c r="I654" s="99"/>
      <c r="K654" s="84"/>
      <c r="L654" s="84"/>
      <c r="M654" s="84"/>
      <c r="N654" s="84"/>
      <c r="O654" s="84"/>
      <c r="P654" s="84"/>
      <c r="Q654" s="84"/>
      <c r="R654" s="84"/>
    </row>
    <row r="655" ht="15.75" customHeight="1">
      <c r="A655" s="105">
        <v>1.2049016E7</v>
      </c>
      <c r="B655" s="98" t="s">
        <v>934</v>
      </c>
      <c r="C655" s="124"/>
      <c r="D655" s="88"/>
      <c r="E655" s="100"/>
      <c r="F655" s="100"/>
      <c r="G655" s="105" t="s">
        <v>420</v>
      </c>
      <c r="H655" s="88"/>
      <c r="I655" s="99"/>
      <c r="K655" s="84"/>
      <c r="L655" s="84"/>
      <c r="M655" s="84"/>
      <c r="N655" s="84"/>
      <c r="O655" s="84"/>
      <c r="P655" s="84"/>
      <c r="Q655" s="84"/>
      <c r="R655" s="84"/>
    </row>
    <row r="656" ht="15.75" customHeight="1">
      <c r="A656" s="105">
        <v>1.2049017E7</v>
      </c>
      <c r="B656" s="98" t="s">
        <v>935</v>
      </c>
      <c r="C656" s="124"/>
      <c r="D656" s="88"/>
      <c r="E656" s="100"/>
      <c r="F656" s="100"/>
      <c r="G656" s="105" t="s">
        <v>420</v>
      </c>
      <c r="H656" s="88"/>
      <c r="I656" s="99"/>
      <c r="K656" s="84"/>
      <c r="L656" s="84"/>
      <c r="M656" s="84"/>
      <c r="N656" s="84"/>
      <c r="O656" s="84"/>
      <c r="P656" s="84"/>
      <c r="Q656" s="84"/>
      <c r="R656" s="84"/>
    </row>
    <row r="657" ht="15.75" customHeight="1">
      <c r="A657" s="105">
        <v>1.2049018E7</v>
      </c>
      <c r="B657" s="98" t="s">
        <v>936</v>
      </c>
      <c r="C657" s="124"/>
      <c r="D657" s="88"/>
      <c r="E657" s="100"/>
      <c r="F657" s="100"/>
      <c r="G657" s="105" t="s">
        <v>420</v>
      </c>
      <c r="H657" s="88"/>
      <c r="I657" s="99"/>
      <c r="K657" s="84"/>
      <c r="L657" s="84"/>
      <c r="M657" s="84"/>
      <c r="N657" s="84"/>
      <c r="O657" s="84"/>
      <c r="P657" s="84"/>
      <c r="Q657" s="84"/>
      <c r="R657" s="84"/>
    </row>
    <row r="658" ht="15.75" customHeight="1">
      <c r="A658" s="105">
        <v>1.2049019E7</v>
      </c>
      <c r="B658" s="98" t="s">
        <v>937</v>
      </c>
      <c r="C658" s="124"/>
      <c r="D658" s="88"/>
      <c r="E658" s="100"/>
      <c r="F658" s="100"/>
      <c r="G658" s="105" t="s">
        <v>420</v>
      </c>
      <c r="H658" s="88"/>
      <c r="I658" s="99"/>
      <c r="K658" s="84"/>
      <c r="L658" s="84"/>
      <c r="M658" s="84"/>
      <c r="N658" s="84"/>
      <c r="O658" s="84"/>
      <c r="P658" s="84"/>
      <c r="Q658" s="84"/>
      <c r="R658" s="84"/>
    </row>
    <row r="659" ht="15.75" customHeight="1">
      <c r="A659" s="105">
        <v>1.204902E7</v>
      </c>
      <c r="B659" s="98" t="s">
        <v>938</v>
      </c>
      <c r="C659" s="124"/>
      <c r="D659" s="88"/>
      <c r="E659" s="100"/>
      <c r="F659" s="100"/>
      <c r="G659" s="105" t="s">
        <v>420</v>
      </c>
      <c r="H659" s="88"/>
      <c r="I659" s="99"/>
      <c r="K659" s="84"/>
      <c r="L659" s="84"/>
      <c r="M659" s="84"/>
      <c r="N659" s="84"/>
      <c r="O659" s="84"/>
      <c r="P659" s="84"/>
      <c r="Q659" s="84"/>
      <c r="R659" s="84"/>
    </row>
    <row r="660" ht="15.75" customHeight="1">
      <c r="A660" s="105">
        <v>1.2049021E7</v>
      </c>
      <c r="B660" s="98" t="s">
        <v>939</v>
      </c>
      <c r="C660" s="124"/>
      <c r="D660" s="88"/>
      <c r="E660" s="100"/>
      <c r="F660" s="100"/>
      <c r="G660" s="105" t="s">
        <v>420</v>
      </c>
      <c r="H660" s="88"/>
      <c r="I660" s="99"/>
      <c r="K660" s="84"/>
      <c r="L660" s="84"/>
      <c r="M660" s="84"/>
      <c r="N660" s="84"/>
      <c r="O660" s="84"/>
      <c r="P660" s="84"/>
      <c r="Q660" s="84"/>
      <c r="R660" s="84"/>
    </row>
    <row r="661" ht="15.75" customHeight="1">
      <c r="A661" s="105">
        <v>1.2049022E7</v>
      </c>
      <c r="B661" s="98" t="s">
        <v>940</v>
      </c>
      <c r="C661" s="124"/>
      <c r="D661" s="88"/>
      <c r="E661" s="100"/>
      <c r="F661" s="100"/>
      <c r="G661" s="105" t="s">
        <v>420</v>
      </c>
      <c r="H661" s="88"/>
      <c r="I661" s="99"/>
      <c r="K661" s="84"/>
      <c r="L661" s="84"/>
      <c r="M661" s="84"/>
      <c r="N661" s="84"/>
      <c r="O661" s="84"/>
      <c r="P661" s="84"/>
      <c r="Q661" s="84"/>
      <c r="R661" s="84"/>
    </row>
    <row r="662" ht="15.75" customHeight="1">
      <c r="A662" s="105">
        <v>1.2049023E7</v>
      </c>
      <c r="B662" s="98" t="s">
        <v>941</v>
      </c>
      <c r="C662" s="124"/>
      <c r="D662" s="88"/>
      <c r="E662" s="100"/>
      <c r="F662" s="100"/>
      <c r="G662" s="105" t="s">
        <v>420</v>
      </c>
      <c r="H662" s="88"/>
      <c r="I662" s="99"/>
      <c r="K662" s="84"/>
      <c r="L662" s="84"/>
      <c r="M662" s="84"/>
      <c r="N662" s="84"/>
      <c r="O662" s="84"/>
      <c r="P662" s="84"/>
      <c r="Q662" s="84"/>
      <c r="R662" s="84"/>
    </row>
    <row r="663" ht="15.75" customHeight="1">
      <c r="A663" s="105">
        <v>1.2049024E7</v>
      </c>
      <c r="B663" s="98" t="s">
        <v>942</v>
      </c>
      <c r="C663" s="124"/>
      <c r="D663" s="88"/>
      <c r="E663" s="100"/>
      <c r="F663" s="100"/>
      <c r="G663" s="105" t="s">
        <v>420</v>
      </c>
      <c r="H663" s="88"/>
      <c r="I663" s="99"/>
      <c r="K663" s="84"/>
      <c r="L663" s="84"/>
      <c r="M663" s="84"/>
      <c r="N663" s="84"/>
      <c r="O663" s="84"/>
      <c r="P663" s="84"/>
      <c r="Q663" s="84"/>
      <c r="R663" s="84"/>
    </row>
    <row r="664" ht="15.75" customHeight="1">
      <c r="A664" s="105">
        <v>1.2049025E7</v>
      </c>
      <c r="B664" s="98" t="s">
        <v>943</v>
      </c>
      <c r="C664" s="124"/>
      <c r="D664" s="88"/>
      <c r="E664" s="100"/>
      <c r="F664" s="100"/>
      <c r="G664" s="105" t="s">
        <v>420</v>
      </c>
      <c r="H664" s="88"/>
      <c r="I664" s="99"/>
      <c r="K664" s="84"/>
      <c r="L664" s="84"/>
      <c r="M664" s="84"/>
      <c r="N664" s="84"/>
      <c r="O664" s="84"/>
      <c r="P664" s="84"/>
      <c r="Q664" s="84"/>
      <c r="R664" s="84"/>
    </row>
    <row r="665" ht="15.75" customHeight="1">
      <c r="A665" s="105">
        <v>1.2049026E7</v>
      </c>
      <c r="B665" s="98" t="s">
        <v>944</v>
      </c>
      <c r="C665" s="124"/>
      <c r="D665" s="88"/>
      <c r="E665" s="100"/>
      <c r="F665" s="100"/>
      <c r="G665" s="105" t="s">
        <v>420</v>
      </c>
      <c r="H665" s="88"/>
      <c r="I665" s="99"/>
      <c r="K665" s="84"/>
      <c r="L665" s="84"/>
      <c r="M665" s="84"/>
      <c r="N665" s="84"/>
      <c r="O665" s="84"/>
      <c r="P665" s="84"/>
      <c r="Q665" s="84"/>
      <c r="R665" s="84"/>
    </row>
    <row r="666" ht="15.75" customHeight="1">
      <c r="A666" s="105">
        <v>1.2049027E7</v>
      </c>
      <c r="B666" s="98" t="s">
        <v>945</v>
      </c>
      <c r="C666" s="124"/>
      <c r="D666" s="88"/>
      <c r="E666" s="100"/>
      <c r="F666" s="100"/>
      <c r="G666" s="105" t="s">
        <v>420</v>
      </c>
      <c r="H666" s="88"/>
      <c r="I666" s="99"/>
      <c r="K666" s="84"/>
      <c r="L666" s="84"/>
      <c r="M666" s="84"/>
      <c r="N666" s="84"/>
      <c r="O666" s="84"/>
      <c r="P666" s="84"/>
      <c r="Q666" s="84"/>
      <c r="R666" s="84"/>
    </row>
    <row r="667" ht="15.75" customHeight="1">
      <c r="A667" s="105">
        <v>1.2049028E7</v>
      </c>
      <c r="B667" s="98" t="s">
        <v>946</v>
      </c>
      <c r="C667" s="124"/>
      <c r="D667" s="88"/>
      <c r="E667" s="100"/>
      <c r="F667" s="100"/>
      <c r="G667" s="105" t="s">
        <v>420</v>
      </c>
      <c r="H667" s="88"/>
      <c r="I667" s="99"/>
      <c r="K667" s="84"/>
      <c r="L667" s="84"/>
      <c r="M667" s="84"/>
      <c r="N667" s="84"/>
      <c r="O667" s="84"/>
      <c r="P667" s="84"/>
      <c r="Q667" s="84"/>
      <c r="R667" s="84"/>
    </row>
    <row r="668" ht="15.75" customHeight="1">
      <c r="A668" s="105">
        <v>1.2049029E7</v>
      </c>
      <c r="B668" s="98" t="s">
        <v>947</v>
      </c>
      <c r="C668" s="124"/>
      <c r="D668" s="88"/>
      <c r="E668" s="100"/>
      <c r="F668" s="100"/>
      <c r="G668" s="105" t="s">
        <v>420</v>
      </c>
      <c r="H668" s="88"/>
      <c r="I668" s="99"/>
      <c r="K668" s="84"/>
      <c r="L668" s="84"/>
      <c r="M668" s="84"/>
      <c r="N668" s="84"/>
      <c r="O668" s="84"/>
      <c r="P668" s="84"/>
      <c r="Q668" s="84"/>
      <c r="R668" s="84"/>
    </row>
    <row r="669" ht="15.75" customHeight="1">
      <c r="A669" s="105">
        <v>1.204903E7</v>
      </c>
      <c r="B669" s="98" t="s">
        <v>948</v>
      </c>
      <c r="C669" s="124"/>
      <c r="D669" s="88"/>
      <c r="E669" s="100"/>
      <c r="F669" s="100"/>
      <c r="G669" s="105" t="s">
        <v>420</v>
      </c>
      <c r="H669" s="88"/>
      <c r="I669" s="99"/>
      <c r="K669" s="84"/>
      <c r="L669" s="84"/>
      <c r="M669" s="84"/>
      <c r="N669" s="84"/>
      <c r="O669" s="84"/>
      <c r="P669" s="84"/>
      <c r="Q669" s="84"/>
      <c r="R669" s="84"/>
    </row>
    <row r="670" ht="15.75" customHeight="1">
      <c r="A670" s="105">
        <v>1.2049031E7</v>
      </c>
      <c r="B670" s="98" t="s">
        <v>949</v>
      </c>
      <c r="C670" s="124"/>
      <c r="D670" s="88"/>
      <c r="E670" s="100"/>
      <c r="F670" s="100"/>
      <c r="G670" s="105" t="s">
        <v>420</v>
      </c>
      <c r="H670" s="88"/>
      <c r="I670" s="99"/>
      <c r="K670" s="84"/>
      <c r="L670" s="84"/>
      <c r="M670" s="84"/>
      <c r="N670" s="84"/>
      <c r="O670" s="84"/>
      <c r="P670" s="84"/>
      <c r="Q670" s="84"/>
      <c r="R670" s="84"/>
    </row>
    <row r="671" ht="15.75" customHeight="1">
      <c r="A671" s="105">
        <v>1.2049032E7</v>
      </c>
      <c r="B671" s="98" t="s">
        <v>950</v>
      </c>
      <c r="C671" s="124"/>
      <c r="D671" s="88"/>
      <c r="E671" s="100"/>
      <c r="F671" s="100"/>
      <c r="G671" s="105" t="s">
        <v>420</v>
      </c>
      <c r="H671" s="88"/>
      <c r="I671" s="99"/>
      <c r="K671" s="84"/>
      <c r="L671" s="84"/>
      <c r="M671" s="84"/>
      <c r="N671" s="84"/>
      <c r="O671" s="84"/>
      <c r="P671" s="84"/>
      <c r="Q671" s="84"/>
      <c r="R671" s="84"/>
    </row>
    <row r="672" ht="15.75" customHeight="1">
      <c r="A672" s="105">
        <v>1.2049033E7</v>
      </c>
      <c r="B672" s="98" t="s">
        <v>951</v>
      </c>
      <c r="C672" s="124"/>
      <c r="D672" s="88"/>
      <c r="E672" s="100"/>
      <c r="F672" s="100"/>
      <c r="G672" s="105" t="s">
        <v>420</v>
      </c>
      <c r="H672" s="88"/>
      <c r="I672" s="99"/>
      <c r="K672" s="84"/>
      <c r="L672" s="84"/>
      <c r="M672" s="84"/>
      <c r="N672" s="84"/>
      <c r="O672" s="84"/>
      <c r="P672" s="84"/>
      <c r="Q672" s="84"/>
      <c r="R672" s="84"/>
    </row>
    <row r="673" ht="15.75" customHeight="1">
      <c r="A673" s="105">
        <v>1.2049034E7</v>
      </c>
      <c r="B673" s="98" t="s">
        <v>952</v>
      </c>
      <c r="C673" s="124"/>
      <c r="D673" s="88"/>
      <c r="E673" s="100"/>
      <c r="F673" s="100"/>
      <c r="G673" s="105" t="s">
        <v>420</v>
      </c>
      <c r="H673" s="88"/>
      <c r="I673" s="99"/>
      <c r="K673" s="84"/>
      <c r="L673" s="84"/>
      <c r="M673" s="84"/>
      <c r="N673" s="84"/>
      <c r="O673" s="84"/>
      <c r="P673" s="84"/>
      <c r="Q673" s="84"/>
      <c r="R673" s="84"/>
    </row>
    <row r="674" ht="15.75" customHeight="1">
      <c r="A674" s="105">
        <v>1.2049035E7</v>
      </c>
      <c r="B674" s="98" t="s">
        <v>953</v>
      </c>
      <c r="C674" s="124"/>
      <c r="D674" s="88"/>
      <c r="E674" s="100"/>
      <c r="F674" s="100"/>
      <c r="G674" s="105" t="s">
        <v>420</v>
      </c>
      <c r="H674" s="88"/>
      <c r="I674" s="99"/>
      <c r="K674" s="84"/>
      <c r="L674" s="84"/>
      <c r="M674" s="84"/>
      <c r="N674" s="84"/>
      <c r="O674" s="84"/>
      <c r="P674" s="84"/>
      <c r="Q674" s="84"/>
      <c r="R674" s="84"/>
    </row>
    <row r="675" ht="15.75" customHeight="1">
      <c r="A675" s="105">
        <v>1.2050001E7</v>
      </c>
      <c r="B675" s="98" t="s">
        <v>954</v>
      </c>
      <c r="C675" s="124"/>
      <c r="D675" s="88"/>
      <c r="E675" s="100"/>
      <c r="F675" s="100"/>
      <c r="G675" s="105" t="s">
        <v>420</v>
      </c>
      <c r="H675" s="88"/>
      <c r="I675" s="99"/>
      <c r="K675" s="84"/>
      <c r="L675" s="84"/>
      <c r="M675" s="84"/>
      <c r="N675" s="84"/>
      <c r="O675" s="84"/>
      <c r="P675" s="84"/>
      <c r="Q675" s="84"/>
      <c r="R675" s="84"/>
    </row>
    <row r="676" ht="15.75" customHeight="1">
      <c r="A676" s="105">
        <v>1.2050002E7</v>
      </c>
      <c r="B676" s="98" t="s">
        <v>955</v>
      </c>
      <c r="C676" s="124"/>
      <c r="D676" s="88"/>
      <c r="E676" s="100"/>
      <c r="F676" s="100"/>
      <c r="G676" s="105" t="s">
        <v>420</v>
      </c>
      <c r="H676" s="88"/>
      <c r="I676" s="99"/>
      <c r="K676" s="84"/>
      <c r="L676" s="84"/>
      <c r="M676" s="84"/>
      <c r="N676" s="84"/>
      <c r="O676" s="84"/>
      <c r="P676" s="84"/>
      <c r="Q676" s="84"/>
      <c r="R676" s="84"/>
    </row>
    <row r="677" ht="15.75" customHeight="1">
      <c r="A677" s="105">
        <v>1.2050003E7</v>
      </c>
      <c r="B677" s="98" t="s">
        <v>956</v>
      </c>
      <c r="C677" s="124"/>
      <c r="D677" s="88"/>
      <c r="E677" s="100"/>
      <c r="F677" s="100"/>
      <c r="G677" s="105" t="s">
        <v>420</v>
      </c>
      <c r="H677" s="88"/>
      <c r="I677" s="99"/>
      <c r="K677" s="84"/>
      <c r="L677" s="84"/>
      <c r="M677" s="84"/>
      <c r="N677" s="84"/>
      <c r="O677" s="84"/>
      <c r="P677" s="84"/>
      <c r="Q677" s="84"/>
      <c r="R677" s="84"/>
    </row>
    <row r="678" ht="15.75" customHeight="1">
      <c r="A678" s="105">
        <v>1.2050004E7</v>
      </c>
      <c r="B678" s="98" t="s">
        <v>957</v>
      </c>
      <c r="C678" s="124"/>
      <c r="D678" s="88"/>
      <c r="E678" s="100"/>
      <c r="F678" s="100"/>
      <c r="G678" s="105" t="s">
        <v>420</v>
      </c>
      <c r="H678" s="88"/>
      <c r="I678" s="99"/>
      <c r="K678" s="84"/>
      <c r="L678" s="84"/>
      <c r="M678" s="84"/>
      <c r="N678" s="84"/>
      <c r="O678" s="84"/>
      <c r="P678" s="84"/>
      <c r="Q678" s="84"/>
      <c r="R678" s="84"/>
    </row>
    <row r="679" ht="15.75" customHeight="1">
      <c r="A679" s="105">
        <v>1.2050005E7</v>
      </c>
      <c r="B679" s="98" t="s">
        <v>958</v>
      </c>
      <c r="C679" s="124"/>
      <c r="D679" s="88"/>
      <c r="E679" s="100"/>
      <c r="F679" s="100"/>
      <c r="G679" s="105" t="s">
        <v>420</v>
      </c>
      <c r="H679" s="88"/>
      <c r="I679" s="99"/>
      <c r="K679" s="84"/>
      <c r="L679" s="84"/>
      <c r="M679" s="84"/>
      <c r="N679" s="84"/>
      <c r="O679" s="84"/>
      <c r="P679" s="84"/>
      <c r="Q679" s="84"/>
      <c r="R679" s="84"/>
    </row>
    <row r="680" ht="15.75" customHeight="1">
      <c r="A680" s="105">
        <v>1.2050006E7</v>
      </c>
      <c r="B680" s="98" t="s">
        <v>959</v>
      </c>
      <c r="C680" s="124"/>
      <c r="D680" s="88"/>
      <c r="E680" s="100"/>
      <c r="F680" s="100"/>
      <c r="G680" s="105" t="s">
        <v>420</v>
      </c>
      <c r="H680" s="88"/>
      <c r="I680" s="99"/>
      <c r="K680" s="84"/>
      <c r="L680" s="84"/>
      <c r="M680" s="84"/>
      <c r="N680" s="84"/>
      <c r="O680" s="84"/>
      <c r="P680" s="84"/>
      <c r="Q680" s="84"/>
      <c r="R680" s="84"/>
    </row>
    <row r="681" ht="15.75" customHeight="1">
      <c r="A681" s="105">
        <v>1.2050007E7</v>
      </c>
      <c r="B681" s="98" t="s">
        <v>960</v>
      </c>
      <c r="C681" s="124"/>
      <c r="D681" s="88"/>
      <c r="E681" s="100"/>
      <c r="F681" s="100"/>
      <c r="G681" s="105" t="s">
        <v>420</v>
      </c>
      <c r="H681" s="88"/>
      <c r="I681" s="99"/>
      <c r="K681" s="84"/>
      <c r="L681" s="84"/>
      <c r="M681" s="84"/>
      <c r="N681" s="84"/>
      <c r="O681" s="84"/>
      <c r="P681" s="84"/>
      <c r="Q681" s="84"/>
      <c r="R681" s="84"/>
    </row>
    <row r="682" ht="15.75" customHeight="1">
      <c r="A682" s="105">
        <v>1.2050008E7</v>
      </c>
      <c r="B682" s="98" t="s">
        <v>961</v>
      </c>
      <c r="C682" s="124"/>
      <c r="D682" s="88"/>
      <c r="E682" s="100"/>
      <c r="F682" s="100"/>
      <c r="G682" s="105" t="s">
        <v>420</v>
      </c>
      <c r="H682" s="88"/>
      <c r="I682" s="99"/>
      <c r="K682" s="84"/>
      <c r="L682" s="84"/>
      <c r="M682" s="84"/>
      <c r="N682" s="84"/>
      <c r="O682" s="84"/>
      <c r="P682" s="84"/>
      <c r="Q682" s="84"/>
      <c r="R682" s="84"/>
    </row>
    <row r="683" ht="15.75" customHeight="1">
      <c r="A683" s="105">
        <v>1.2050009E7</v>
      </c>
      <c r="B683" s="98" t="s">
        <v>962</v>
      </c>
      <c r="C683" s="124"/>
      <c r="D683" s="88"/>
      <c r="E683" s="100"/>
      <c r="F683" s="100"/>
      <c r="G683" s="105" t="s">
        <v>420</v>
      </c>
      <c r="H683" s="88"/>
      <c r="I683" s="99"/>
      <c r="K683" s="84"/>
      <c r="L683" s="84"/>
      <c r="M683" s="84"/>
      <c r="N683" s="84"/>
      <c r="O683" s="84"/>
      <c r="P683" s="84"/>
      <c r="Q683" s="84"/>
      <c r="R683" s="84"/>
    </row>
    <row r="684" ht="15.75" customHeight="1">
      <c r="A684" s="105">
        <v>1.205001E7</v>
      </c>
      <c r="B684" s="98" t="s">
        <v>963</v>
      </c>
      <c r="C684" s="124"/>
      <c r="D684" s="88"/>
      <c r="E684" s="100"/>
      <c r="F684" s="100"/>
      <c r="G684" s="105" t="s">
        <v>420</v>
      </c>
      <c r="H684" s="88"/>
      <c r="I684" s="99"/>
      <c r="K684" s="84"/>
      <c r="L684" s="84"/>
      <c r="M684" s="84"/>
      <c r="N684" s="84"/>
      <c r="O684" s="84"/>
      <c r="P684" s="84"/>
      <c r="Q684" s="84"/>
      <c r="R684" s="84"/>
    </row>
    <row r="685" ht="15.75" customHeight="1">
      <c r="A685" s="105">
        <v>1.2050011E7</v>
      </c>
      <c r="B685" s="98" t="s">
        <v>964</v>
      </c>
      <c r="C685" s="124"/>
      <c r="D685" s="88"/>
      <c r="E685" s="100"/>
      <c r="F685" s="100"/>
      <c r="G685" s="105" t="s">
        <v>420</v>
      </c>
      <c r="H685" s="88"/>
      <c r="I685" s="99"/>
      <c r="K685" s="84"/>
      <c r="L685" s="84"/>
      <c r="M685" s="84"/>
      <c r="N685" s="84"/>
      <c r="O685" s="84"/>
      <c r="P685" s="84"/>
      <c r="Q685" s="84"/>
      <c r="R685" s="84"/>
    </row>
    <row r="686" ht="15.75" customHeight="1">
      <c r="A686" s="105">
        <v>1.2050012E7</v>
      </c>
      <c r="B686" s="98" t="s">
        <v>965</v>
      </c>
      <c r="C686" s="124"/>
      <c r="D686" s="88"/>
      <c r="E686" s="100"/>
      <c r="F686" s="100"/>
      <c r="G686" s="105" t="s">
        <v>420</v>
      </c>
      <c r="H686" s="88"/>
      <c r="I686" s="99"/>
      <c r="K686" s="84"/>
      <c r="L686" s="84"/>
      <c r="M686" s="84"/>
      <c r="N686" s="84"/>
      <c r="O686" s="84"/>
      <c r="P686" s="84"/>
      <c r="Q686" s="84"/>
      <c r="R686" s="84"/>
    </row>
    <row r="687" ht="15.75" customHeight="1">
      <c r="A687" s="105">
        <v>1.2050013E7</v>
      </c>
      <c r="B687" s="98" t="s">
        <v>966</v>
      </c>
      <c r="C687" s="124"/>
      <c r="D687" s="88"/>
      <c r="E687" s="100"/>
      <c r="F687" s="100"/>
      <c r="G687" s="105" t="s">
        <v>420</v>
      </c>
      <c r="H687" s="88"/>
      <c r="I687" s="99"/>
      <c r="K687" s="84"/>
      <c r="L687" s="84"/>
      <c r="M687" s="84"/>
      <c r="N687" s="84"/>
      <c r="O687" s="84"/>
      <c r="P687" s="84"/>
      <c r="Q687" s="84"/>
      <c r="R687" s="84"/>
    </row>
    <row r="688" ht="15.75" customHeight="1">
      <c r="A688" s="105">
        <v>1.2050014E7</v>
      </c>
      <c r="B688" s="98" t="s">
        <v>967</v>
      </c>
      <c r="C688" s="124"/>
      <c r="D688" s="88"/>
      <c r="E688" s="100"/>
      <c r="F688" s="100"/>
      <c r="G688" s="105" t="s">
        <v>420</v>
      </c>
      <c r="H688" s="88"/>
      <c r="I688" s="99"/>
      <c r="K688" s="84"/>
      <c r="L688" s="84"/>
      <c r="M688" s="84"/>
      <c r="N688" s="84"/>
      <c r="O688" s="84"/>
      <c r="P688" s="84"/>
      <c r="Q688" s="84"/>
      <c r="R688" s="84"/>
    </row>
    <row r="689" ht="15.75" customHeight="1">
      <c r="A689" s="105">
        <v>1.2050015E7</v>
      </c>
      <c r="B689" s="98" t="s">
        <v>968</v>
      </c>
      <c r="C689" s="124"/>
      <c r="D689" s="88"/>
      <c r="E689" s="100"/>
      <c r="F689" s="100"/>
      <c r="G689" s="105" t="s">
        <v>420</v>
      </c>
      <c r="H689" s="88"/>
      <c r="I689" s="99"/>
      <c r="K689" s="84"/>
      <c r="L689" s="84"/>
      <c r="M689" s="84"/>
      <c r="N689" s="84"/>
      <c r="O689" s="84"/>
      <c r="P689" s="84"/>
      <c r="Q689" s="84"/>
      <c r="R689" s="84"/>
    </row>
    <row r="690" ht="15.75" customHeight="1">
      <c r="A690" s="105">
        <v>1.2050016E7</v>
      </c>
      <c r="B690" s="98" t="s">
        <v>969</v>
      </c>
      <c r="C690" s="124"/>
      <c r="D690" s="88"/>
      <c r="E690" s="100"/>
      <c r="F690" s="100"/>
      <c r="G690" s="105" t="s">
        <v>420</v>
      </c>
      <c r="H690" s="88"/>
      <c r="I690" s="99"/>
      <c r="K690" s="84"/>
      <c r="L690" s="84"/>
      <c r="M690" s="84"/>
      <c r="N690" s="84"/>
      <c r="O690" s="84"/>
      <c r="P690" s="84"/>
      <c r="Q690" s="84"/>
      <c r="R690" s="84"/>
    </row>
    <row r="691" ht="15.75" customHeight="1">
      <c r="A691" s="105">
        <v>1.2050017E7</v>
      </c>
      <c r="B691" s="98" t="s">
        <v>970</v>
      </c>
      <c r="C691" s="124"/>
      <c r="D691" s="88"/>
      <c r="E691" s="100"/>
      <c r="F691" s="100"/>
      <c r="G691" s="105" t="s">
        <v>420</v>
      </c>
      <c r="H691" s="88"/>
      <c r="I691" s="99"/>
      <c r="K691" s="84"/>
      <c r="L691" s="84"/>
      <c r="M691" s="84"/>
      <c r="N691" s="84"/>
      <c r="O691" s="84"/>
      <c r="P691" s="84"/>
      <c r="Q691" s="84"/>
      <c r="R691" s="84"/>
    </row>
    <row r="692" ht="15.75" customHeight="1">
      <c r="A692" s="105">
        <v>1.2050018E7</v>
      </c>
      <c r="B692" s="98" t="s">
        <v>971</v>
      </c>
      <c r="C692" s="124"/>
      <c r="D692" s="88"/>
      <c r="E692" s="100"/>
      <c r="F692" s="100"/>
      <c r="G692" s="105" t="s">
        <v>420</v>
      </c>
      <c r="H692" s="88"/>
      <c r="I692" s="99"/>
      <c r="K692" s="84"/>
      <c r="L692" s="84"/>
      <c r="M692" s="84"/>
      <c r="N692" s="84"/>
      <c r="O692" s="84"/>
      <c r="P692" s="84"/>
      <c r="Q692" s="84"/>
      <c r="R692" s="84"/>
    </row>
    <row r="693" ht="15.75" customHeight="1">
      <c r="A693" s="105">
        <v>1.2050019E7</v>
      </c>
      <c r="B693" s="98" t="s">
        <v>972</v>
      </c>
      <c r="C693" s="124"/>
      <c r="D693" s="88"/>
      <c r="E693" s="100"/>
      <c r="F693" s="100"/>
      <c r="G693" s="105" t="s">
        <v>420</v>
      </c>
      <c r="H693" s="88"/>
      <c r="I693" s="99"/>
      <c r="K693" s="84"/>
      <c r="L693" s="84"/>
      <c r="M693" s="84"/>
      <c r="N693" s="84"/>
      <c r="O693" s="84"/>
      <c r="P693" s="84"/>
      <c r="Q693" s="84"/>
      <c r="R693" s="84"/>
    </row>
    <row r="694" ht="15.75" customHeight="1">
      <c r="A694" s="105">
        <v>1.205002E7</v>
      </c>
      <c r="B694" s="98" t="s">
        <v>973</v>
      </c>
      <c r="C694" s="124"/>
      <c r="D694" s="88"/>
      <c r="E694" s="100"/>
      <c r="F694" s="100"/>
      <c r="G694" s="105" t="s">
        <v>420</v>
      </c>
      <c r="H694" s="88"/>
      <c r="I694" s="99"/>
      <c r="K694" s="84"/>
      <c r="L694" s="84"/>
      <c r="M694" s="84"/>
      <c r="N694" s="84"/>
      <c r="O694" s="84"/>
      <c r="P694" s="84"/>
      <c r="Q694" s="84"/>
      <c r="R694" s="84"/>
    </row>
    <row r="695" ht="15.75" customHeight="1">
      <c r="A695" s="105">
        <v>1.2050021E7</v>
      </c>
      <c r="B695" s="98" t="s">
        <v>974</v>
      </c>
      <c r="C695" s="124"/>
      <c r="D695" s="88"/>
      <c r="E695" s="100"/>
      <c r="F695" s="100"/>
      <c r="G695" s="105" t="s">
        <v>420</v>
      </c>
      <c r="H695" s="88"/>
      <c r="I695" s="99"/>
      <c r="K695" s="84"/>
      <c r="L695" s="84"/>
      <c r="M695" s="84"/>
      <c r="N695" s="84"/>
      <c r="O695" s="84"/>
      <c r="P695" s="84"/>
      <c r="Q695" s="84"/>
      <c r="R695" s="84"/>
    </row>
    <row r="696" ht="15.75" customHeight="1">
      <c r="A696" s="105">
        <v>1.2050022E7</v>
      </c>
      <c r="B696" s="98" t="s">
        <v>975</v>
      </c>
      <c r="C696" s="124"/>
      <c r="D696" s="88"/>
      <c r="E696" s="100"/>
      <c r="F696" s="100"/>
      <c r="G696" s="105" t="s">
        <v>420</v>
      </c>
      <c r="H696" s="88"/>
      <c r="I696" s="99"/>
      <c r="K696" s="84"/>
      <c r="L696" s="84"/>
      <c r="M696" s="84"/>
      <c r="N696" s="84"/>
      <c r="O696" s="84"/>
      <c r="P696" s="84"/>
      <c r="Q696" s="84"/>
      <c r="R696" s="84"/>
    </row>
    <row r="697" ht="15.75" customHeight="1">
      <c r="A697" s="105">
        <v>1.2050023E7</v>
      </c>
      <c r="B697" s="98" t="s">
        <v>976</v>
      </c>
      <c r="C697" s="124"/>
      <c r="D697" s="88"/>
      <c r="E697" s="100"/>
      <c r="F697" s="100"/>
      <c r="G697" s="105" t="s">
        <v>420</v>
      </c>
      <c r="H697" s="88"/>
      <c r="I697" s="99"/>
      <c r="K697" s="84"/>
      <c r="L697" s="84"/>
      <c r="M697" s="84"/>
      <c r="N697" s="84"/>
      <c r="O697" s="84"/>
      <c r="P697" s="84"/>
      <c r="Q697" s="84"/>
      <c r="R697" s="84"/>
    </row>
    <row r="698" ht="15.75" customHeight="1">
      <c r="A698" s="105">
        <v>1.2050024E7</v>
      </c>
      <c r="B698" s="98" t="s">
        <v>977</v>
      </c>
      <c r="C698" s="124"/>
      <c r="D698" s="88"/>
      <c r="E698" s="100"/>
      <c r="F698" s="100"/>
      <c r="G698" s="105" t="s">
        <v>420</v>
      </c>
      <c r="H698" s="88"/>
      <c r="I698" s="99"/>
      <c r="K698" s="84"/>
      <c r="L698" s="84"/>
      <c r="M698" s="84"/>
      <c r="N698" s="84"/>
      <c r="O698" s="84"/>
      <c r="P698" s="84"/>
      <c r="Q698" s="84"/>
      <c r="R698" s="84"/>
    </row>
    <row r="699" ht="15.75" customHeight="1">
      <c r="A699" s="105">
        <v>1.2050025E7</v>
      </c>
      <c r="B699" s="98" t="s">
        <v>978</v>
      </c>
      <c r="C699" s="124"/>
      <c r="D699" s="88"/>
      <c r="E699" s="100"/>
      <c r="F699" s="100"/>
      <c r="G699" s="105" t="s">
        <v>420</v>
      </c>
      <c r="H699" s="88"/>
      <c r="I699" s="99"/>
      <c r="K699" s="84"/>
      <c r="L699" s="84"/>
      <c r="M699" s="84"/>
      <c r="N699" s="84"/>
      <c r="O699" s="84"/>
      <c r="P699" s="84"/>
      <c r="Q699" s="84"/>
      <c r="R699" s="84"/>
    </row>
    <row r="700" ht="15.75" customHeight="1">
      <c r="A700" s="105">
        <v>1.2050026E7</v>
      </c>
      <c r="B700" s="98" t="s">
        <v>979</v>
      </c>
      <c r="C700" s="124"/>
      <c r="D700" s="88"/>
      <c r="E700" s="100"/>
      <c r="F700" s="100"/>
      <c r="G700" s="105" t="s">
        <v>420</v>
      </c>
      <c r="H700" s="88"/>
      <c r="I700" s="99"/>
      <c r="K700" s="84"/>
      <c r="L700" s="84"/>
      <c r="M700" s="84"/>
      <c r="N700" s="84"/>
      <c r="O700" s="84"/>
      <c r="P700" s="84"/>
      <c r="Q700" s="84"/>
      <c r="R700" s="84"/>
    </row>
    <row r="701" ht="15.75" customHeight="1">
      <c r="A701" s="105">
        <v>1.2050027E7</v>
      </c>
      <c r="B701" s="98" t="s">
        <v>980</v>
      </c>
      <c r="C701" s="124"/>
      <c r="D701" s="88"/>
      <c r="E701" s="100"/>
      <c r="F701" s="100"/>
      <c r="G701" s="105" t="s">
        <v>420</v>
      </c>
      <c r="H701" s="88"/>
      <c r="I701" s="99"/>
      <c r="K701" s="84"/>
      <c r="L701" s="84"/>
      <c r="M701" s="84"/>
      <c r="N701" s="84"/>
      <c r="O701" s="84"/>
      <c r="P701" s="84"/>
      <c r="Q701" s="84"/>
      <c r="R701" s="84"/>
    </row>
    <row r="702" ht="15.75" customHeight="1">
      <c r="A702" s="105">
        <v>1.2050028E7</v>
      </c>
      <c r="B702" s="98" t="s">
        <v>981</v>
      </c>
      <c r="C702" s="124"/>
      <c r="D702" s="88"/>
      <c r="E702" s="100"/>
      <c r="F702" s="100"/>
      <c r="G702" s="105" t="s">
        <v>420</v>
      </c>
      <c r="H702" s="88"/>
      <c r="I702" s="99"/>
      <c r="K702" s="84"/>
      <c r="L702" s="84"/>
      <c r="M702" s="84"/>
      <c r="N702" s="84"/>
      <c r="O702" s="84"/>
      <c r="P702" s="84"/>
      <c r="Q702" s="84"/>
      <c r="R702" s="84"/>
    </row>
    <row r="703" ht="15.75" customHeight="1">
      <c r="A703" s="105">
        <v>1.2050029E7</v>
      </c>
      <c r="B703" s="98" t="s">
        <v>982</v>
      </c>
      <c r="C703" s="124"/>
      <c r="D703" s="88"/>
      <c r="E703" s="100"/>
      <c r="F703" s="100"/>
      <c r="G703" s="105" t="s">
        <v>420</v>
      </c>
      <c r="H703" s="88"/>
      <c r="I703" s="99"/>
      <c r="K703" s="84"/>
      <c r="L703" s="84"/>
      <c r="M703" s="84"/>
      <c r="N703" s="84"/>
      <c r="O703" s="84"/>
      <c r="P703" s="84"/>
      <c r="Q703" s="84"/>
      <c r="R703" s="84"/>
    </row>
    <row r="704" ht="15.75" customHeight="1">
      <c r="A704" s="105">
        <v>1.205003E7</v>
      </c>
      <c r="B704" s="98" t="s">
        <v>983</v>
      </c>
      <c r="C704" s="124"/>
      <c r="D704" s="88"/>
      <c r="E704" s="100"/>
      <c r="F704" s="100"/>
      <c r="G704" s="105" t="s">
        <v>420</v>
      </c>
      <c r="H704" s="88"/>
      <c r="I704" s="99"/>
      <c r="K704" s="84"/>
      <c r="L704" s="84"/>
      <c r="M704" s="84"/>
      <c r="N704" s="84"/>
      <c r="O704" s="84"/>
      <c r="P704" s="84"/>
      <c r="Q704" s="84"/>
      <c r="R704" s="84"/>
    </row>
    <row r="705" ht="15.75" customHeight="1">
      <c r="A705" s="105">
        <v>1.2050031E7</v>
      </c>
      <c r="B705" s="98" t="s">
        <v>984</v>
      </c>
      <c r="C705" s="124"/>
      <c r="D705" s="88"/>
      <c r="E705" s="100"/>
      <c r="F705" s="100"/>
      <c r="G705" s="105" t="s">
        <v>420</v>
      </c>
      <c r="H705" s="88"/>
      <c r="I705" s="99"/>
      <c r="K705" s="84"/>
      <c r="L705" s="84"/>
      <c r="M705" s="84"/>
      <c r="N705" s="84"/>
      <c r="O705" s="84"/>
      <c r="P705" s="84"/>
      <c r="Q705" s="84"/>
      <c r="R705" s="84"/>
    </row>
    <row r="706" ht="15.75" customHeight="1">
      <c r="A706" s="105">
        <v>1.2050032E7</v>
      </c>
      <c r="B706" s="98" t="s">
        <v>985</v>
      </c>
      <c r="C706" s="124"/>
      <c r="D706" s="88"/>
      <c r="E706" s="100"/>
      <c r="F706" s="100"/>
      <c r="G706" s="105" t="s">
        <v>420</v>
      </c>
      <c r="H706" s="88"/>
      <c r="I706" s="99"/>
      <c r="K706" s="84"/>
      <c r="L706" s="84"/>
      <c r="M706" s="84"/>
      <c r="N706" s="84"/>
      <c r="O706" s="84"/>
      <c r="P706" s="84"/>
      <c r="Q706" s="84"/>
      <c r="R706" s="84"/>
    </row>
    <row r="707" ht="15.75" customHeight="1">
      <c r="A707" s="105">
        <v>1.2050033E7</v>
      </c>
      <c r="B707" s="98" t="s">
        <v>986</v>
      </c>
      <c r="C707" s="124"/>
      <c r="D707" s="88"/>
      <c r="E707" s="100"/>
      <c r="F707" s="100"/>
      <c r="G707" s="105" t="s">
        <v>420</v>
      </c>
      <c r="H707" s="88"/>
      <c r="I707" s="99"/>
      <c r="K707" s="84"/>
      <c r="L707" s="84"/>
      <c r="M707" s="84"/>
      <c r="N707" s="84"/>
      <c r="O707" s="84"/>
      <c r="P707" s="84"/>
      <c r="Q707" s="84"/>
      <c r="R707" s="84"/>
    </row>
    <row r="708" ht="15.75" customHeight="1">
      <c r="A708" s="105">
        <v>1.2050034E7</v>
      </c>
      <c r="B708" s="98" t="s">
        <v>987</v>
      </c>
      <c r="C708" s="124"/>
      <c r="D708" s="88"/>
      <c r="E708" s="100"/>
      <c r="F708" s="100"/>
      <c r="G708" s="105" t="s">
        <v>420</v>
      </c>
      <c r="H708" s="88"/>
      <c r="I708" s="99"/>
      <c r="K708" s="84"/>
      <c r="L708" s="84"/>
      <c r="M708" s="84"/>
      <c r="N708" s="84"/>
      <c r="O708" s="84"/>
      <c r="P708" s="84"/>
      <c r="Q708" s="84"/>
      <c r="R708" s="84"/>
    </row>
    <row r="709" ht="15.75" customHeight="1">
      <c r="A709" s="105">
        <v>1.2050035E7</v>
      </c>
      <c r="B709" s="98" t="s">
        <v>988</v>
      </c>
      <c r="C709" s="124"/>
      <c r="D709" s="88"/>
      <c r="E709" s="100"/>
      <c r="F709" s="100"/>
      <c r="G709" s="105" t="s">
        <v>420</v>
      </c>
      <c r="H709" s="88"/>
      <c r="I709" s="99"/>
      <c r="K709" s="84"/>
      <c r="L709" s="84"/>
      <c r="M709" s="84"/>
      <c r="N709" s="84"/>
      <c r="O709" s="84"/>
      <c r="P709" s="84"/>
      <c r="Q709" s="84"/>
      <c r="R709" s="84"/>
    </row>
    <row r="710" ht="15.75" customHeight="1">
      <c r="A710" s="105">
        <v>1.2051001E7</v>
      </c>
      <c r="B710" s="98" t="s">
        <v>989</v>
      </c>
      <c r="C710" s="124"/>
      <c r="D710" s="88"/>
      <c r="E710" s="100"/>
      <c r="F710" s="100"/>
      <c r="G710" s="105" t="s">
        <v>420</v>
      </c>
      <c r="H710" s="88"/>
      <c r="I710" s="99"/>
      <c r="K710" s="84"/>
      <c r="L710" s="84"/>
      <c r="M710" s="84"/>
      <c r="N710" s="84"/>
      <c r="O710" s="84"/>
      <c r="P710" s="84"/>
      <c r="Q710" s="84"/>
      <c r="R710" s="84"/>
    </row>
    <row r="711" ht="15.75" customHeight="1">
      <c r="A711" s="105">
        <v>1.2051002E7</v>
      </c>
      <c r="B711" s="98" t="s">
        <v>990</v>
      </c>
      <c r="C711" s="124"/>
      <c r="D711" s="88"/>
      <c r="E711" s="100"/>
      <c r="F711" s="100"/>
      <c r="G711" s="105" t="s">
        <v>420</v>
      </c>
      <c r="H711" s="88"/>
      <c r="I711" s="99"/>
      <c r="K711" s="84"/>
      <c r="L711" s="84"/>
      <c r="M711" s="84"/>
      <c r="N711" s="84"/>
      <c r="O711" s="84"/>
      <c r="P711" s="84"/>
      <c r="Q711" s="84"/>
      <c r="R711" s="84"/>
    </row>
    <row r="712" ht="15.75" customHeight="1">
      <c r="A712" s="105">
        <v>1.2051003E7</v>
      </c>
      <c r="B712" s="98" t="s">
        <v>991</v>
      </c>
      <c r="C712" s="124"/>
      <c r="D712" s="88"/>
      <c r="E712" s="100"/>
      <c r="F712" s="100"/>
      <c r="G712" s="105" t="s">
        <v>420</v>
      </c>
      <c r="H712" s="88"/>
      <c r="I712" s="99"/>
      <c r="K712" s="84"/>
      <c r="L712" s="84"/>
      <c r="M712" s="84"/>
      <c r="N712" s="84"/>
      <c r="O712" s="84"/>
      <c r="P712" s="84"/>
      <c r="Q712" s="84"/>
      <c r="R712" s="84"/>
    </row>
    <row r="713" ht="15.75" customHeight="1">
      <c r="A713" s="105">
        <v>1.2051004E7</v>
      </c>
      <c r="B713" s="98" t="s">
        <v>992</v>
      </c>
      <c r="C713" s="124"/>
      <c r="D713" s="88"/>
      <c r="E713" s="100"/>
      <c r="F713" s="100"/>
      <c r="G713" s="105" t="s">
        <v>420</v>
      </c>
      <c r="H713" s="88"/>
      <c r="I713" s="99"/>
      <c r="K713" s="84"/>
      <c r="L713" s="84"/>
      <c r="M713" s="84"/>
      <c r="N713" s="84"/>
      <c r="O713" s="84"/>
      <c r="P713" s="84"/>
      <c r="Q713" s="84"/>
      <c r="R713" s="84"/>
    </row>
    <row r="714" ht="15.75" customHeight="1">
      <c r="A714" s="105">
        <v>1.2051005E7</v>
      </c>
      <c r="B714" s="98" t="s">
        <v>993</v>
      </c>
      <c r="C714" s="124"/>
      <c r="D714" s="88"/>
      <c r="E714" s="100"/>
      <c r="F714" s="100"/>
      <c r="G714" s="105" t="s">
        <v>420</v>
      </c>
      <c r="H714" s="88"/>
      <c r="I714" s="99"/>
      <c r="K714" s="84"/>
      <c r="L714" s="84"/>
      <c r="M714" s="84"/>
      <c r="N714" s="84"/>
      <c r="O714" s="84"/>
      <c r="P714" s="84"/>
      <c r="Q714" s="84"/>
      <c r="R714" s="84"/>
    </row>
    <row r="715" ht="15.75" customHeight="1">
      <c r="A715" s="105">
        <v>1.2051006E7</v>
      </c>
      <c r="B715" s="98" t="s">
        <v>994</v>
      </c>
      <c r="C715" s="124"/>
      <c r="D715" s="88"/>
      <c r="E715" s="100"/>
      <c r="F715" s="100"/>
      <c r="G715" s="105" t="s">
        <v>420</v>
      </c>
      <c r="H715" s="88"/>
      <c r="I715" s="99"/>
      <c r="K715" s="84"/>
      <c r="L715" s="84"/>
      <c r="M715" s="84"/>
      <c r="N715" s="84"/>
      <c r="O715" s="84"/>
      <c r="P715" s="84"/>
      <c r="Q715" s="84"/>
      <c r="R715" s="84"/>
    </row>
    <row r="716" ht="15.75" customHeight="1">
      <c r="A716" s="105">
        <v>1.2051007E7</v>
      </c>
      <c r="B716" s="98" t="s">
        <v>995</v>
      </c>
      <c r="C716" s="124"/>
      <c r="D716" s="88"/>
      <c r="E716" s="100"/>
      <c r="F716" s="100"/>
      <c r="G716" s="105" t="s">
        <v>420</v>
      </c>
      <c r="H716" s="88"/>
      <c r="I716" s="99"/>
      <c r="K716" s="84"/>
      <c r="L716" s="84"/>
      <c r="M716" s="84"/>
      <c r="N716" s="84"/>
      <c r="O716" s="84"/>
      <c r="P716" s="84"/>
      <c r="Q716" s="84"/>
      <c r="R716" s="84"/>
    </row>
    <row r="717" ht="15.75" customHeight="1">
      <c r="A717" s="105">
        <v>1.2051008E7</v>
      </c>
      <c r="B717" s="98" t="s">
        <v>996</v>
      </c>
      <c r="C717" s="124"/>
      <c r="D717" s="88"/>
      <c r="E717" s="100"/>
      <c r="F717" s="100"/>
      <c r="G717" s="105" t="s">
        <v>420</v>
      </c>
      <c r="H717" s="88"/>
      <c r="I717" s="99"/>
      <c r="K717" s="84"/>
      <c r="L717" s="84"/>
      <c r="M717" s="84"/>
      <c r="N717" s="84"/>
      <c r="O717" s="84"/>
      <c r="P717" s="84"/>
      <c r="Q717" s="84"/>
      <c r="R717" s="84"/>
    </row>
    <row r="718" ht="15.75" customHeight="1">
      <c r="A718" s="105">
        <v>1.2051009E7</v>
      </c>
      <c r="B718" s="98" t="s">
        <v>997</v>
      </c>
      <c r="C718" s="124"/>
      <c r="D718" s="88"/>
      <c r="E718" s="100"/>
      <c r="F718" s="100"/>
      <c r="G718" s="105" t="s">
        <v>420</v>
      </c>
      <c r="H718" s="88"/>
      <c r="I718" s="99"/>
      <c r="K718" s="84"/>
      <c r="L718" s="84"/>
      <c r="M718" s="84"/>
      <c r="N718" s="84"/>
      <c r="O718" s="84"/>
      <c r="P718" s="84"/>
      <c r="Q718" s="84"/>
      <c r="R718" s="84"/>
    </row>
    <row r="719" ht="15.75" customHeight="1">
      <c r="A719" s="105">
        <v>1.205101E7</v>
      </c>
      <c r="B719" s="98" t="s">
        <v>998</v>
      </c>
      <c r="C719" s="124"/>
      <c r="D719" s="88"/>
      <c r="E719" s="100"/>
      <c r="F719" s="100"/>
      <c r="G719" s="105" t="s">
        <v>420</v>
      </c>
      <c r="H719" s="88"/>
      <c r="I719" s="99"/>
      <c r="K719" s="84"/>
      <c r="L719" s="84"/>
      <c r="M719" s="84"/>
      <c r="N719" s="84"/>
      <c r="O719" s="84"/>
      <c r="P719" s="84"/>
      <c r="Q719" s="84"/>
      <c r="R719" s="84"/>
    </row>
    <row r="720" ht="15.75" customHeight="1">
      <c r="A720" s="105">
        <v>1.2051011E7</v>
      </c>
      <c r="B720" s="98" t="s">
        <v>999</v>
      </c>
      <c r="C720" s="124"/>
      <c r="D720" s="88"/>
      <c r="E720" s="100"/>
      <c r="F720" s="100"/>
      <c r="G720" s="105" t="s">
        <v>420</v>
      </c>
      <c r="H720" s="88"/>
      <c r="I720" s="99"/>
      <c r="K720" s="84"/>
      <c r="L720" s="84"/>
      <c r="M720" s="84"/>
      <c r="N720" s="84"/>
      <c r="O720" s="84"/>
      <c r="P720" s="84"/>
      <c r="Q720" s="84"/>
      <c r="R720" s="84"/>
    </row>
    <row r="721" ht="15.75" customHeight="1">
      <c r="A721" s="105">
        <v>1.2051012E7</v>
      </c>
      <c r="B721" s="98" t="s">
        <v>1000</v>
      </c>
      <c r="C721" s="124"/>
      <c r="D721" s="88"/>
      <c r="E721" s="100"/>
      <c r="F721" s="100"/>
      <c r="G721" s="105" t="s">
        <v>420</v>
      </c>
      <c r="H721" s="88"/>
      <c r="I721" s="99"/>
      <c r="K721" s="84"/>
      <c r="L721" s="84"/>
      <c r="M721" s="84"/>
      <c r="N721" s="84"/>
      <c r="O721" s="84"/>
      <c r="P721" s="84"/>
      <c r="Q721" s="84"/>
      <c r="R721" s="84"/>
    </row>
    <row r="722" ht="15.75" customHeight="1">
      <c r="A722" s="105">
        <v>1.2051013E7</v>
      </c>
      <c r="B722" s="98" t="s">
        <v>1001</v>
      </c>
      <c r="C722" s="124"/>
      <c r="D722" s="88"/>
      <c r="E722" s="100"/>
      <c r="F722" s="100"/>
      <c r="G722" s="105" t="s">
        <v>420</v>
      </c>
      <c r="H722" s="88"/>
      <c r="I722" s="99"/>
      <c r="K722" s="84"/>
      <c r="L722" s="84"/>
      <c r="M722" s="84"/>
      <c r="N722" s="84"/>
      <c r="O722" s="84"/>
      <c r="P722" s="84"/>
      <c r="Q722" s="84"/>
      <c r="R722" s="84"/>
    </row>
    <row r="723" ht="15.75" customHeight="1">
      <c r="A723" s="105">
        <v>1.2051014E7</v>
      </c>
      <c r="B723" s="98" t="s">
        <v>1002</v>
      </c>
      <c r="C723" s="124"/>
      <c r="D723" s="88"/>
      <c r="E723" s="100"/>
      <c r="F723" s="100"/>
      <c r="G723" s="105" t="s">
        <v>420</v>
      </c>
      <c r="H723" s="88"/>
      <c r="I723" s="99"/>
      <c r="K723" s="84"/>
      <c r="L723" s="84"/>
      <c r="M723" s="84"/>
      <c r="N723" s="84"/>
      <c r="O723" s="84"/>
      <c r="P723" s="84"/>
      <c r="Q723" s="84"/>
      <c r="R723" s="84"/>
    </row>
    <row r="724" ht="15.75" customHeight="1">
      <c r="A724" s="105">
        <v>1.2051015E7</v>
      </c>
      <c r="B724" s="98" t="s">
        <v>1003</v>
      </c>
      <c r="C724" s="124"/>
      <c r="D724" s="88"/>
      <c r="E724" s="100"/>
      <c r="F724" s="100"/>
      <c r="G724" s="105" t="s">
        <v>420</v>
      </c>
      <c r="H724" s="88"/>
      <c r="I724" s="99"/>
      <c r="K724" s="84"/>
      <c r="L724" s="84"/>
      <c r="M724" s="84"/>
      <c r="N724" s="84"/>
      <c r="O724" s="84"/>
      <c r="P724" s="84"/>
      <c r="Q724" s="84"/>
      <c r="R724" s="84"/>
    </row>
    <row r="725" ht="15.75" customHeight="1">
      <c r="A725" s="105">
        <v>1.2051016E7</v>
      </c>
      <c r="B725" s="98" t="s">
        <v>1004</v>
      </c>
      <c r="C725" s="124"/>
      <c r="D725" s="88"/>
      <c r="E725" s="100"/>
      <c r="F725" s="100"/>
      <c r="G725" s="105" t="s">
        <v>420</v>
      </c>
      <c r="H725" s="88"/>
      <c r="I725" s="99"/>
      <c r="K725" s="84"/>
      <c r="L725" s="84"/>
      <c r="M725" s="84"/>
      <c r="N725" s="84"/>
      <c r="O725" s="84"/>
      <c r="P725" s="84"/>
      <c r="Q725" s="84"/>
      <c r="R725" s="84"/>
    </row>
    <row r="726" ht="15.75" customHeight="1">
      <c r="A726" s="105">
        <v>1.2051017E7</v>
      </c>
      <c r="B726" s="98" t="s">
        <v>1005</v>
      </c>
      <c r="C726" s="124"/>
      <c r="D726" s="88"/>
      <c r="E726" s="100"/>
      <c r="F726" s="100"/>
      <c r="G726" s="105" t="s">
        <v>420</v>
      </c>
      <c r="H726" s="88"/>
      <c r="I726" s="99"/>
      <c r="K726" s="84"/>
      <c r="L726" s="84"/>
      <c r="M726" s="84"/>
      <c r="N726" s="84"/>
      <c r="O726" s="84"/>
      <c r="P726" s="84"/>
      <c r="Q726" s="84"/>
      <c r="R726" s="84"/>
    </row>
    <row r="727" ht="15.75" customHeight="1">
      <c r="A727" s="105">
        <v>1.2051018E7</v>
      </c>
      <c r="B727" s="98" t="s">
        <v>1006</v>
      </c>
      <c r="C727" s="124"/>
      <c r="D727" s="88"/>
      <c r="E727" s="100"/>
      <c r="F727" s="100"/>
      <c r="G727" s="105" t="s">
        <v>420</v>
      </c>
      <c r="H727" s="88"/>
      <c r="I727" s="99"/>
      <c r="K727" s="84"/>
      <c r="L727" s="84"/>
      <c r="M727" s="84"/>
      <c r="N727" s="84"/>
      <c r="O727" s="84"/>
      <c r="P727" s="84"/>
      <c r="Q727" s="84"/>
      <c r="R727" s="84"/>
    </row>
    <row r="728" ht="15.75" customHeight="1">
      <c r="A728" s="105">
        <v>1.2051019E7</v>
      </c>
      <c r="B728" s="98" t="s">
        <v>1007</v>
      </c>
      <c r="C728" s="124"/>
      <c r="D728" s="88"/>
      <c r="E728" s="100"/>
      <c r="F728" s="100"/>
      <c r="G728" s="105" t="s">
        <v>420</v>
      </c>
      <c r="H728" s="88"/>
      <c r="I728" s="99"/>
      <c r="K728" s="84"/>
      <c r="L728" s="84"/>
      <c r="M728" s="84"/>
      <c r="N728" s="84"/>
      <c r="O728" s="84"/>
      <c r="P728" s="84"/>
      <c r="Q728" s="84"/>
      <c r="R728" s="84"/>
    </row>
    <row r="729" ht="15.75" customHeight="1">
      <c r="A729" s="105">
        <v>1.205102E7</v>
      </c>
      <c r="B729" s="98" t="s">
        <v>1008</v>
      </c>
      <c r="C729" s="124"/>
      <c r="D729" s="88"/>
      <c r="E729" s="100"/>
      <c r="F729" s="100"/>
      <c r="G729" s="105" t="s">
        <v>420</v>
      </c>
      <c r="H729" s="88"/>
      <c r="I729" s="99"/>
      <c r="K729" s="84"/>
      <c r="L729" s="84"/>
      <c r="M729" s="84"/>
      <c r="N729" s="84"/>
      <c r="O729" s="84"/>
      <c r="P729" s="84"/>
      <c r="Q729" s="84"/>
      <c r="R729" s="84"/>
    </row>
    <row r="730" ht="15.75" customHeight="1">
      <c r="A730" s="105">
        <v>1.2051021E7</v>
      </c>
      <c r="B730" s="98" t="s">
        <v>1009</v>
      </c>
      <c r="C730" s="124"/>
      <c r="D730" s="88"/>
      <c r="E730" s="100"/>
      <c r="F730" s="100"/>
      <c r="G730" s="105" t="s">
        <v>420</v>
      </c>
      <c r="H730" s="88"/>
      <c r="I730" s="99"/>
      <c r="K730" s="84"/>
      <c r="L730" s="84"/>
      <c r="M730" s="84"/>
      <c r="N730" s="84"/>
      <c r="O730" s="84"/>
      <c r="P730" s="84"/>
      <c r="Q730" s="84"/>
      <c r="R730" s="84"/>
    </row>
    <row r="731" ht="15.75" customHeight="1">
      <c r="A731" s="105">
        <v>1.2051022E7</v>
      </c>
      <c r="B731" s="98" t="s">
        <v>1010</v>
      </c>
      <c r="C731" s="124"/>
      <c r="D731" s="88"/>
      <c r="E731" s="100"/>
      <c r="F731" s="100"/>
      <c r="G731" s="105" t="s">
        <v>420</v>
      </c>
      <c r="H731" s="88"/>
      <c r="I731" s="99"/>
      <c r="K731" s="84"/>
      <c r="L731" s="84"/>
      <c r="M731" s="84"/>
      <c r="N731" s="84"/>
      <c r="O731" s="84"/>
      <c r="P731" s="84"/>
      <c r="Q731" s="84"/>
      <c r="R731" s="84"/>
    </row>
    <row r="732" ht="15.75" customHeight="1">
      <c r="A732" s="105">
        <v>1.2051023E7</v>
      </c>
      <c r="B732" s="98" t="s">
        <v>1011</v>
      </c>
      <c r="C732" s="124"/>
      <c r="D732" s="88"/>
      <c r="E732" s="100"/>
      <c r="F732" s="100"/>
      <c r="G732" s="105" t="s">
        <v>420</v>
      </c>
      <c r="H732" s="88"/>
      <c r="I732" s="99"/>
      <c r="K732" s="84"/>
      <c r="L732" s="84"/>
      <c r="M732" s="84"/>
      <c r="N732" s="84"/>
      <c r="O732" s="84"/>
      <c r="P732" s="84"/>
      <c r="Q732" s="84"/>
      <c r="R732" s="84"/>
    </row>
    <row r="733" ht="15.75" customHeight="1">
      <c r="A733" s="105">
        <v>1.2051024E7</v>
      </c>
      <c r="B733" s="98" t="s">
        <v>1012</v>
      </c>
      <c r="C733" s="124"/>
      <c r="D733" s="88"/>
      <c r="E733" s="100"/>
      <c r="F733" s="100"/>
      <c r="G733" s="105" t="s">
        <v>420</v>
      </c>
      <c r="H733" s="88"/>
      <c r="I733" s="99"/>
      <c r="K733" s="84"/>
      <c r="L733" s="84"/>
      <c r="M733" s="84"/>
      <c r="N733" s="84"/>
      <c r="O733" s="84"/>
      <c r="P733" s="84"/>
      <c r="Q733" s="84"/>
      <c r="R733" s="84"/>
    </row>
    <row r="734" ht="15.75" customHeight="1">
      <c r="A734" s="105">
        <v>1.2051025E7</v>
      </c>
      <c r="B734" s="98" t="s">
        <v>1013</v>
      </c>
      <c r="C734" s="124"/>
      <c r="D734" s="88"/>
      <c r="E734" s="100"/>
      <c r="F734" s="100"/>
      <c r="G734" s="105" t="s">
        <v>420</v>
      </c>
      <c r="H734" s="88"/>
      <c r="I734" s="99"/>
      <c r="K734" s="84"/>
      <c r="L734" s="84"/>
      <c r="M734" s="84"/>
      <c r="N734" s="84"/>
      <c r="O734" s="84"/>
      <c r="P734" s="84"/>
      <c r="Q734" s="84"/>
      <c r="R734" s="84"/>
    </row>
    <row r="735" ht="15.75" customHeight="1">
      <c r="A735" s="105">
        <v>1.2051026E7</v>
      </c>
      <c r="B735" s="98" t="s">
        <v>1014</v>
      </c>
      <c r="C735" s="124"/>
      <c r="D735" s="88"/>
      <c r="E735" s="100"/>
      <c r="F735" s="100"/>
      <c r="G735" s="105" t="s">
        <v>420</v>
      </c>
      <c r="H735" s="88"/>
      <c r="I735" s="99"/>
      <c r="K735" s="84"/>
      <c r="L735" s="84"/>
      <c r="M735" s="84"/>
      <c r="N735" s="84"/>
      <c r="O735" s="84"/>
      <c r="P735" s="84"/>
      <c r="Q735" s="84"/>
      <c r="R735" s="84"/>
    </row>
    <row r="736" ht="15.75" customHeight="1">
      <c r="A736" s="105">
        <v>1.2051027E7</v>
      </c>
      <c r="B736" s="98" t="s">
        <v>1015</v>
      </c>
      <c r="C736" s="124"/>
      <c r="D736" s="88"/>
      <c r="E736" s="100"/>
      <c r="F736" s="100"/>
      <c r="G736" s="105" t="s">
        <v>420</v>
      </c>
      <c r="H736" s="88"/>
      <c r="I736" s="99"/>
      <c r="K736" s="84"/>
      <c r="L736" s="84"/>
      <c r="M736" s="84"/>
      <c r="N736" s="84"/>
      <c r="O736" s="84"/>
      <c r="P736" s="84"/>
      <c r="Q736" s="84"/>
      <c r="R736" s="84"/>
    </row>
    <row r="737" ht="15.75" customHeight="1">
      <c r="A737" s="105">
        <v>1.2051028E7</v>
      </c>
      <c r="B737" s="98" t="s">
        <v>1016</v>
      </c>
      <c r="C737" s="124"/>
      <c r="D737" s="88"/>
      <c r="E737" s="100"/>
      <c r="F737" s="100"/>
      <c r="G737" s="105" t="s">
        <v>420</v>
      </c>
      <c r="H737" s="88"/>
      <c r="I737" s="99"/>
      <c r="K737" s="84"/>
      <c r="L737" s="84"/>
      <c r="M737" s="84"/>
      <c r="N737" s="84"/>
      <c r="O737" s="84"/>
      <c r="P737" s="84"/>
      <c r="Q737" s="84"/>
      <c r="R737" s="84"/>
    </row>
    <row r="738" ht="15.75" customHeight="1">
      <c r="A738" s="105">
        <v>1.2051029E7</v>
      </c>
      <c r="B738" s="98" t="s">
        <v>1017</v>
      </c>
      <c r="C738" s="124"/>
      <c r="D738" s="88"/>
      <c r="E738" s="100"/>
      <c r="F738" s="100"/>
      <c r="G738" s="105" t="s">
        <v>420</v>
      </c>
      <c r="H738" s="88"/>
      <c r="I738" s="99"/>
      <c r="K738" s="84"/>
      <c r="L738" s="84"/>
      <c r="M738" s="84"/>
      <c r="N738" s="84"/>
      <c r="O738" s="84"/>
      <c r="P738" s="84"/>
      <c r="Q738" s="84"/>
      <c r="R738" s="84"/>
    </row>
    <row r="739" ht="15.75" customHeight="1">
      <c r="A739" s="105">
        <v>1.205103E7</v>
      </c>
      <c r="B739" s="98" t="s">
        <v>1018</v>
      </c>
      <c r="C739" s="124"/>
      <c r="D739" s="88"/>
      <c r="E739" s="100"/>
      <c r="F739" s="100"/>
      <c r="G739" s="105" t="s">
        <v>420</v>
      </c>
      <c r="H739" s="88"/>
      <c r="I739" s="99"/>
      <c r="K739" s="84"/>
      <c r="L739" s="84"/>
      <c r="M739" s="84"/>
      <c r="N739" s="84"/>
      <c r="O739" s="84"/>
      <c r="P739" s="84"/>
      <c r="Q739" s="84"/>
      <c r="R739" s="84"/>
    </row>
    <row r="740" ht="15.75" customHeight="1">
      <c r="A740" s="105">
        <v>1.2051031E7</v>
      </c>
      <c r="B740" s="98" t="s">
        <v>1019</v>
      </c>
      <c r="C740" s="124"/>
      <c r="D740" s="88"/>
      <c r="E740" s="100"/>
      <c r="F740" s="100"/>
      <c r="G740" s="105" t="s">
        <v>420</v>
      </c>
      <c r="H740" s="88"/>
      <c r="I740" s="99"/>
      <c r="K740" s="84"/>
      <c r="L740" s="84"/>
      <c r="M740" s="84"/>
      <c r="N740" s="84"/>
      <c r="O740" s="84"/>
      <c r="P740" s="84"/>
      <c r="Q740" s="84"/>
      <c r="R740" s="84"/>
    </row>
    <row r="741" ht="15.75" customHeight="1">
      <c r="A741" s="105">
        <v>1.2051032E7</v>
      </c>
      <c r="B741" s="98" t="s">
        <v>1020</v>
      </c>
      <c r="C741" s="124"/>
      <c r="D741" s="88"/>
      <c r="E741" s="100"/>
      <c r="F741" s="100"/>
      <c r="G741" s="105" t="s">
        <v>420</v>
      </c>
      <c r="H741" s="88"/>
      <c r="I741" s="99"/>
      <c r="K741" s="84"/>
      <c r="L741" s="84"/>
      <c r="M741" s="84"/>
      <c r="N741" s="84"/>
      <c r="O741" s="84"/>
      <c r="P741" s="84"/>
      <c r="Q741" s="84"/>
      <c r="R741" s="84"/>
    </row>
    <row r="742" ht="15.75" customHeight="1">
      <c r="A742" s="105">
        <v>1.2051033E7</v>
      </c>
      <c r="B742" s="98" t="s">
        <v>1021</v>
      </c>
      <c r="C742" s="124"/>
      <c r="D742" s="88"/>
      <c r="E742" s="100"/>
      <c r="F742" s="100"/>
      <c r="G742" s="105" t="s">
        <v>420</v>
      </c>
      <c r="H742" s="88"/>
      <c r="I742" s="99"/>
      <c r="K742" s="84"/>
      <c r="L742" s="84"/>
      <c r="M742" s="84"/>
      <c r="N742" s="84"/>
      <c r="O742" s="84"/>
      <c r="P742" s="84"/>
      <c r="Q742" s="84"/>
      <c r="R742" s="84"/>
    </row>
    <row r="743" ht="15.75" customHeight="1">
      <c r="A743" s="105">
        <v>1.2051034E7</v>
      </c>
      <c r="B743" s="98" t="s">
        <v>1022</v>
      </c>
      <c r="C743" s="124"/>
      <c r="D743" s="88"/>
      <c r="E743" s="100"/>
      <c r="F743" s="100"/>
      <c r="G743" s="105" t="s">
        <v>420</v>
      </c>
      <c r="H743" s="88"/>
      <c r="I743" s="99"/>
      <c r="K743" s="84"/>
      <c r="L743" s="84"/>
      <c r="M743" s="84"/>
      <c r="N743" s="84"/>
      <c r="O743" s="84"/>
      <c r="P743" s="84"/>
      <c r="Q743" s="84"/>
      <c r="R743" s="84"/>
    </row>
    <row r="744" ht="15.75" customHeight="1">
      <c r="A744" s="105">
        <v>1.2051035E7</v>
      </c>
      <c r="B744" s="98" t="s">
        <v>1023</v>
      </c>
      <c r="C744" s="124"/>
      <c r="D744" s="88"/>
      <c r="E744" s="100"/>
      <c r="F744" s="100"/>
      <c r="G744" s="105" t="s">
        <v>420</v>
      </c>
      <c r="H744" s="88"/>
      <c r="I744" s="99"/>
      <c r="K744" s="84"/>
      <c r="L744" s="84"/>
      <c r="M744" s="84"/>
      <c r="N744" s="84"/>
      <c r="O744" s="84"/>
      <c r="P744" s="84"/>
      <c r="Q744" s="84"/>
      <c r="R744" s="84"/>
    </row>
    <row r="745" ht="15.75" customHeight="1">
      <c r="A745" s="105">
        <v>1.2052001E7</v>
      </c>
      <c r="B745" s="98" t="s">
        <v>1024</v>
      </c>
      <c r="C745" s="124"/>
      <c r="D745" s="88"/>
      <c r="E745" s="100"/>
      <c r="F745" s="100"/>
      <c r="G745" s="105" t="s">
        <v>420</v>
      </c>
      <c r="H745" s="88"/>
      <c r="I745" s="99"/>
      <c r="K745" s="84"/>
      <c r="L745" s="84"/>
      <c r="M745" s="84"/>
      <c r="N745" s="84"/>
      <c r="O745" s="84"/>
      <c r="P745" s="84"/>
      <c r="Q745" s="84"/>
      <c r="R745" s="84"/>
    </row>
    <row r="746" ht="15.75" customHeight="1">
      <c r="A746" s="105">
        <v>1.2052002E7</v>
      </c>
      <c r="B746" s="98" t="s">
        <v>1025</v>
      </c>
      <c r="C746" s="124"/>
      <c r="D746" s="88"/>
      <c r="E746" s="100"/>
      <c r="F746" s="100"/>
      <c r="G746" s="105" t="s">
        <v>420</v>
      </c>
      <c r="H746" s="88"/>
      <c r="I746" s="99"/>
      <c r="K746" s="84"/>
      <c r="L746" s="84"/>
      <c r="M746" s="84"/>
      <c r="N746" s="84"/>
      <c r="O746" s="84"/>
      <c r="P746" s="84"/>
      <c r="Q746" s="84"/>
      <c r="R746" s="84"/>
    </row>
    <row r="747" ht="15.75" customHeight="1">
      <c r="A747" s="105">
        <v>1.2052003E7</v>
      </c>
      <c r="B747" s="98" t="s">
        <v>1026</v>
      </c>
      <c r="C747" s="124"/>
      <c r="D747" s="88"/>
      <c r="E747" s="100"/>
      <c r="F747" s="100"/>
      <c r="G747" s="105" t="s">
        <v>420</v>
      </c>
      <c r="H747" s="88"/>
      <c r="I747" s="99"/>
      <c r="K747" s="84"/>
      <c r="L747" s="84"/>
      <c r="M747" s="84"/>
      <c r="N747" s="84"/>
      <c r="O747" s="84"/>
      <c r="P747" s="84"/>
      <c r="Q747" s="84"/>
      <c r="R747" s="84"/>
    </row>
    <row r="748" ht="15.75" customHeight="1">
      <c r="A748" s="105">
        <v>1.2052004E7</v>
      </c>
      <c r="B748" s="98" t="s">
        <v>1027</v>
      </c>
      <c r="C748" s="124"/>
      <c r="D748" s="88"/>
      <c r="E748" s="100"/>
      <c r="F748" s="100"/>
      <c r="G748" s="105" t="s">
        <v>420</v>
      </c>
      <c r="H748" s="88"/>
      <c r="I748" s="99"/>
      <c r="K748" s="84"/>
      <c r="L748" s="84"/>
      <c r="M748" s="84"/>
      <c r="N748" s="84"/>
      <c r="O748" s="84"/>
      <c r="P748" s="84"/>
      <c r="Q748" s="84"/>
      <c r="R748" s="84"/>
    </row>
    <row r="749" ht="15.75" customHeight="1">
      <c r="A749" s="105">
        <v>1.2052005E7</v>
      </c>
      <c r="B749" s="98" t="s">
        <v>1028</v>
      </c>
      <c r="C749" s="124"/>
      <c r="D749" s="88"/>
      <c r="E749" s="100"/>
      <c r="F749" s="100"/>
      <c r="G749" s="105" t="s">
        <v>420</v>
      </c>
      <c r="H749" s="88"/>
      <c r="I749" s="99"/>
      <c r="K749" s="84"/>
      <c r="L749" s="84"/>
      <c r="M749" s="84"/>
      <c r="N749" s="84"/>
      <c r="O749" s="84"/>
      <c r="P749" s="84"/>
      <c r="Q749" s="84"/>
      <c r="R749" s="84"/>
    </row>
    <row r="750" ht="15.75" customHeight="1">
      <c r="A750" s="105">
        <v>1.2052006E7</v>
      </c>
      <c r="B750" s="98" t="s">
        <v>1029</v>
      </c>
      <c r="C750" s="124"/>
      <c r="D750" s="88"/>
      <c r="E750" s="100"/>
      <c r="F750" s="100"/>
      <c r="G750" s="105" t="s">
        <v>420</v>
      </c>
      <c r="H750" s="88"/>
      <c r="I750" s="99"/>
      <c r="K750" s="84"/>
      <c r="L750" s="84"/>
      <c r="M750" s="84"/>
      <c r="N750" s="84"/>
      <c r="O750" s="84"/>
      <c r="P750" s="84"/>
      <c r="Q750" s="84"/>
      <c r="R750" s="84"/>
    </row>
    <row r="751" ht="15.75" customHeight="1">
      <c r="A751" s="105">
        <v>1.2052007E7</v>
      </c>
      <c r="B751" s="98" t="s">
        <v>1030</v>
      </c>
      <c r="C751" s="124"/>
      <c r="D751" s="88"/>
      <c r="E751" s="100"/>
      <c r="F751" s="100"/>
      <c r="G751" s="105" t="s">
        <v>420</v>
      </c>
      <c r="H751" s="88"/>
      <c r="I751" s="99"/>
      <c r="K751" s="84"/>
      <c r="L751" s="84"/>
      <c r="M751" s="84"/>
      <c r="N751" s="84"/>
      <c r="O751" s="84"/>
      <c r="P751" s="84"/>
      <c r="Q751" s="84"/>
      <c r="R751" s="84"/>
    </row>
    <row r="752" ht="15.75" customHeight="1">
      <c r="A752" s="105">
        <v>1.2052008E7</v>
      </c>
      <c r="B752" s="98" t="s">
        <v>1031</v>
      </c>
      <c r="C752" s="124"/>
      <c r="D752" s="88"/>
      <c r="E752" s="100"/>
      <c r="F752" s="100"/>
      <c r="G752" s="105" t="s">
        <v>420</v>
      </c>
      <c r="H752" s="88"/>
      <c r="I752" s="99"/>
      <c r="K752" s="84"/>
      <c r="L752" s="84"/>
      <c r="M752" s="84"/>
      <c r="N752" s="84"/>
      <c r="O752" s="84"/>
      <c r="P752" s="84"/>
      <c r="Q752" s="84"/>
      <c r="R752" s="84"/>
    </row>
    <row r="753" ht="15.75" customHeight="1">
      <c r="A753" s="105">
        <v>1.2052009E7</v>
      </c>
      <c r="B753" s="98" t="s">
        <v>1032</v>
      </c>
      <c r="C753" s="124"/>
      <c r="D753" s="88"/>
      <c r="E753" s="100"/>
      <c r="F753" s="100"/>
      <c r="G753" s="105" t="s">
        <v>420</v>
      </c>
      <c r="H753" s="88"/>
      <c r="I753" s="99"/>
      <c r="K753" s="84"/>
      <c r="L753" s="84"/>
      <c r="M753" s="84"/>
      <c r="N753" s="84"/>
      <c r="O753" s="84"/>
      <c r="P753" s="84"/>
      <c r="Q753" s="84"/>
      <c r="R753" s="84"/>
    </row>
    <row r="754" ht="15.75" customHeight="1">
      <c r="A754" s="105">
        <v>1.205201E7</v>
      </c>
      <c r="B754" s="98" t="s">
        <v>1033</v>
      </c>
      <c r="C754" s="124"/>
      <c r="D754" s="88"/>
      <c r="E754" s="100"/>
      <c r="F754" s="100"/>
      <c r="G754" s="105" t="s">
        <v>420</v>
      </c>
      <c r="H754" s="88"/>
      <c r="I754" s="99"/>
      <c r="K754" s="84"/>
      <c r="L754" s="84"/>
      <c r="M754" s="84"/>
      <c r="N754" s="84"/>
      <c r="O754" s="84"/>
      <c r="P754" s="84"/>
      <c r="Q754" s="84"/>
      <c r="R754" s="84"/>
    </row>
    <row r="755" ht="15.75" customHeight="1">
      <c r="A755" s="105">
        <v>1.2052011E7</v>
      </c>
      <c r="B755" s="98" t="s">
        <v>1034</v>
      </c>
      <c r="C755" s="124"/>
      <c r="D755" s="88"/>
      <c r="E755" s="100"/>
      <c r="F755" s="100"/>
      <c r="G755" s="105" t="s">
        <v>420</v>
      </c>
      <c r="H755" s="88"/>
      <c r="I755" s="99"/>
      <c r="K755" s="84"/>
      <c r="L755" s="84"/>
      <c r="M755" s="84"/>
      <c r="N755" s="84"/>
      <c r="O755" s="84"/>
      <c r="P755" s="84"/>
      <c r="Q755" s="84"/>
      <c r="R755" s="84"/>
    </row>
    <row r="756" ht="15.75" customHeight="1">
      <c r="A756" s="105">
        <v>1.2052012E7</v>
      </c>
      <c r="B756" s="98" t="s">
        <v>1035</v>
      </c>
      <c r="C756" s="124"/>
      <c r="D756" s="88"/>
      <c r="E756" s="100"/>
      <c r="F756" s="100"/>
      <c r="G756" s="105" t="s">
        <v>420</v>
      </c>
      <c r="H756" s="88"/>
      <c r="I756" s="99"/>
      <c r="K756" s="84"/>
      <c r="L756" s="84"/>
      <c r="M756" s="84"/>
      <c r="N756" s="84"/>
      <c r="O756" s="84"/>
      <c r="P756" s="84"/>
      <c r="Q756" s="84"/>
      <c r="R756" s="84"/>
    </row>
    <row r="757" ht="15.75" customHeight="1">
      <c r="A757" s="105">
        <v>1.2052013E7</v>
      </c>
      <c r="B757" s="98" t="s">
        <v>1036</v>
      </c>
      <c r="C757" s="124"/>
      <c r="D757" s="88"/>
      <c r="E757" s="100"/>
      <c r="F757" s="100"/>
      <c r="G757" s="105" t="s">
        <v>420</v>
      </c>
      <c r="H757" s="88"/>
      <c r="I757" s="99"/>
      <c r="K757" s="84"/>
      <c r="L757" s="84"/>
      <c r="M757" s="84"/>
      <c r="N757" s="84"/>
      <c r="O757" s="84"/>
      <c r="P757" s="84"/>
      <c r="Q757" s="84"/>
      <c r="R757" s="84"/>
    </row>
    <row r="758" ht="15.75" customHeight="1">
      <c r="A758" s="105">
        <v>1.2052014E7</v>
      </c>
      <c r="B758" s="98" t="s">
        <v>1037</v>
      </c>
      <c r="C758" s="124"/>
      <c r="D758" s="88"/>
      <c r="E758" s="100"/>
      <c r="F758" s="100"/>
      <c r="G758" s="105" t="s">
        <v>420</v>
      </c>
      <c r="H758" s="88"/>
      <c r="I758" s="99"/>
      <c r="K758" s="84"/>
      <c r="L758" s="84"/>
      <c r="M758" s="84"/>
      <c r="N758" s="84"/>
      <c r="O758" s="84"/>
      <c r="P758" s="84"/>
      <c r="Q758" s="84"/>
      <c r="R758" s="84"/>
    </row>
    <row r="759" ht="15.75" customHeight="1">
      <c r="A759" s="105">
        <v>1.2052015E7</v>
      </c>
      <c r="B759" s="98" t="s">
        <v>1038</v>
      </c>
      <c r="C759" s="124"/>
      <c r="D759" s="88"/>
      <c r="E759" s="100"/>
      <c r="F759" s="100"/>
      <c r="G759" s="105" t="s">
        <v>420</v>
      </c>
      <c r="H759" s="88"/>
      <c r="I759" s="99"/>
      <c r="K759" s="84"/>
      <c r="L759" s="84"/>
      <c r="M759" s="84"/>
      <c r="N759" s="84"/>
      <c r="O759" s="84"/>
      <c r="P759" s="84"/>
      <c r="Q759" s="84"/>
      <c r="R759" s="84"/>
    </row>
    <row r="760" ht="15.75" customHeight="1">
      <c r="A760" s="105">
        <v>1.2052016E7</v>
      </c>
      <c r="B760" s="98" t="s">
        <v>1039</v>
      </c>
      <c r="C760" s="124"/>
      <c r="D760" s="88"/>
      <c r="E760" s="100"/>
      <c r="F760" s="100"/>
      <c r="G760" s="105" t="s">
        <v>420</v>
      </c>
      <c r="H760" s="88"/>
      <c r="I760" s="99"/>
      <c r="K760" s="84"/>
      <c r="L760" s="84"/>
      <c r="M760" s="84"/>
      <c r="N760" s="84"/>
      <c r="O760" s="84"/>
      <c r="P760" s="84"/>
      <c r="Q760" s="84"/>
      <c r="R760" s="84"/>
    </row>
    <row r="761" ht="15.75" customHeight="1">
      <c r="A761" s="105">
        <v>1.2052017E7</v>
      </c>
      <c r="B761" s="98" t="s">
        <v>1040</v>
      </c>
      <c r="C761" s="124"/>
      <c r="D761" s="88"/>
      <c r="E761" s="100"/>
      <c r="F761" s="100"/>
      <c r="G761" s="105" t="s">
        <v>420</v>
      </c>
      <c r="H761" s="88"/>
      <c r="I761" s="99"/>
      <c r="K761" s="84"/>
      <c r="L761" s="84"/>
      <c r="M761" s="84"/>
      <c r="N761" s="84"/>
      <c r="O761" s="84"/>
      <c r="P761" s="84"/>
      <c r="Q761" s="84"/>
      <c r="R761" s="84"/>
    </row>
    <row r="762" ht="15.75" customHeight="1">
      <c r="A762" s="105">
        <v>1.2052018E7</v>
      </c>
      <c r="B762" s="98" t="s">
        <v>1041</v>
      </c>
      <c r="C762" s="124"/>
      <c r="D762" s="88"/>
      <c r="E762" s="100"/>
      <c r="F762" s="100"/>
      <c r="G762" s="105" t="s">
        <v>420</v>
      </c>
      <c r="H762" s="88"/>
      <c r="I762" s="99"/>
      <c r="K762" s="84"/>
      <c r="L762" s="84"/>
      <c r="M762" s="84"/>
      <c r="N762" s="84"/>
      <c r="O762" s="84"/>
      <c r="P762" s="84"/>
      <c r="Q762" s="84"/>
      <c r="R762" s="84"/>
    </row>
    <row r="763" ht="15.75" customHeight="1">
      <c r="A763" s="105">
        <v>1.2052019E7</v>
      </c>
      <c r="B763" s="98" t="s">
        <v>1042</v>
      </c>
      <c r="C763" s="124"/>
      <c r="D763" s="88"/>
      <c r="E763" s="100"/>
      <c r="F763" s="100"/>
      <c r="G763" s="105" t="s">
        <v>420</v>
      </c>
      <c r="H763" s="88"/>
      <c r="I763" s="99"/>
      <c r="K763" s="84"/>
      <c r="L763" s="84"/>
      <c r="M763" s="84"/>
      <c r="N763" s="84"/>
      <c r="O763" s="84"/>
      <c r="P763" s="84"/>
      <c r="Q763" s="84"/>
      <c r="R763" s="84"/>
    </row>
    <row r="764" ht="15.75" customHeight="1">
      <c r="A764" s="105">
        <v>1.205202E7</v>
      </c>
      <c r="B764" s="98" t="s">
        <v>1043</v>
      </c>
      <c r="C764" s="124"/>
      <c r="D764" s="88"/>
      <c r="E764" s="100"/>
      <c r="F764" s="100"/>
      <c r="G764" s="105" t="s">
        <v>420</v>
      </c>
      <c r="H764" s="88"/>
      <c r="I764" s="99"/>
      <c r="K764" s="84"/>
      <c r="L764" s="84"/>
      <c r="M764" s="84"/>
      <c r="N764" s="84"/>
      <c r="O764" s="84"/>
      <c r="P764" s="84"/>
      <c r="Q764" s="84"/>
      <c r="R764" s="84"/>
    </row>
    <row r="765" ht="15.75" customHeight="1">
      <c r="A765" s="105">
        <v>1.2052021E7</v>
      </c>
      <c r="B765" s="98" t="s">
        <v>1044</v>
      </c>
      <c r="C765" s="124"/>
      <c r="D765" s="88"/>
      <c r="E765" s="100"/>
      <c r="F765" s="100"/>
      <c r="G765" s="105" t="s">
        <v>420</v>
      </c>
      <c r="H765" s="88"/>
      <c r="I765" s="99"/>
      <c r="K765" s="84"/>
      <c r="L765" s="84"/>
      <c r="M765" s="84"/>
      <c r="N765" s="84"/>
      <c r="O765" s="84"/>
      <c r="P765" s="84"/>
      <c r="Q765" s="84"/>
      <c r="R765" s="84"/>
    </row>
    <row r="766" ht="15.75" customHeight="1">
      <c r="A766" s="105">
        <v>1.2052022E7</v>
      </c>
      <c r="B766" s="98" t="s">
        <v>1045</v>
      </c>
      <c r="C766" s="124"/>
      <c r="D766" s="88"/>
      <c r="E766" s="100"/>
      <c r="F766" s="100"/>
      <c r="G766" s="105" t="s">
        <v>420</v>
      </c>
      <c r="H766" s="88"/>
      <c r="I766" s="99"/>
      <c r="K766" s="84"/>
      <c r="L766" s="84"/>
      <c r="M766" s="84"/>
      <c r="N766" s="84"/>
      <c r="O766" s="84"/>
      <c r="P766" s="84"/>
      <c r="Q766" s="84"/>
      <c r="R766" s="84"/>
    </row>
    <row r="767" ht="15.75" customHeight="1">
      <c r="A767" s="105">
        <v>1.2052023E7</v>
      </c>
      <c r="B767" s="98" t="s">
        <v>1046</v>
      </c>
      <c r="C767" s="124"/>
      <c r="D767" s="88"/>
      <c r="E767" s="100"/>
      <c r="F767" s="100"/>
      <c r="G767" s="105" t="s">
        <v>420</v>
      </c>
      <c r="H767" s="88"/>
      <c r="I767" s="99"/>
      <c r="K767" s="84"/>
      <c r="L767" s="84"/>
      <c r="M767" s="84"/>
      <c r="N767" s="84"/>
      <c r="O767" s="84"/>
      <c r="P767" s="84"/>
      <c r="Q767" s="84"/>
      <c r="R767" s="84"/>
    </row>
    <row r="768" ht="15.75" customHeight="1">
      <c r="A768" s="105">
        <v>1.2052024E7</v>
      </c>
      <c r="B768" s="98" t="s">
        <v>1047</v>
      </c>
      <c r="C768" s="124"/>
      <c r="D768" s="88"/>
      <c r="E768" s="100"/>
      <c r="F768" s="100"/>
      <c r="G768" s="105" t="s">
        <v>420</v>
      </c>
      <c r="H768" s="88"/>
      <c r="I768" s="99"/>
      <c r="K768" s="84"/>
      <c r="L768" s="84"/>
      <c r="M768" s="84"/>
      <c r="N768" s="84"/>
      <c r="O768" s="84"/>
      <c r="P768" s="84"/>
      <c r="Q768" s="84"/>
      <c r="R768" s="84"/>
    </row>
    <row r="769" ht="15.75" customHeight="1">
      <c r="A769" s="105">
        <v>1.2052025E7</v>
      </c>
      <c r="B769" s="98" t="s">
        <v>1048</v>
      </c>
      <c r="C769" s="124"/>
      <c r="D769" s="88"/>
      <c r="E769" s="100"/>
      <c r="F769" s="100"/>
      <c r="G769" s="105" t="s">
        <v>420</v>
      </c>
      <c r="H769" s="88"/>
      <c r="I769" s="99"/>
      <c r="K769" s="84"/>
      <c r="L769" s="84"/>
      <c r="M769" s="84"/>
      <c r="N769" s="84"/>
      <c r="O769" s="84"/>
      <c r="P769" s="84"/>
      <c r="Q769" s="84"/>
      <c r="R769" s="84"/>
    </row>
    <row r="770" ht="15.75" customHeight="1">
      <c r="A770" s="105">
        <v>1.2052026E7</v>
      </c>
      <c r="B770" s="98" t="s">
        <v>1049</v>
      </c>
      <c r="C770" s="124"/>
      <c r="D770" s="88"/>
      <c r="E770" s="100"/>
      <c r="F770" s="100"/>
      <c r="G770" s="105" t="s">
        <v>420</v>
      </c>
      <c r="H770" s="88"/>
      <c r="I770" s="99"/>
      <c r="K770" s="84"/>
      <c r="L770" s="84"/>
      <c r="M770" s="84"/>
      <c r="N770" s="84"/>
      <c r="O770" s="84"/>
      <c r="P770" s="84"/>
      <c r="Q770" s="84"/>
      <c r="R770" s="84"/>
    </row>
    <row r="771" ht="15.75" customHeight="1">
      <c r="A771" s="105">
        <v>1.2052027E7</v>
      </c>
      <c r="B771" s="98" t="s">
        <v>1050</v>
      </c>
      <c r="C771" s="124"/>
      <c r="D771" s="88"/>
      <c r="E771" s="100"/>
      <c r="F771" s="100"/>
      <c r="G771" s="105" t="s">
        <v>420</v>
      </c>
      <c r="H771" s="88"/>
      <c r="I771" s="99"/>
      <c r="K771" s="84"/>
      <c r="L771" s="84"/>
      <c r="M771" s="84"/>
      <c r="N771" s="84"/>
      <c r="O771" s="84"/>
      <c r="P771" s="84"/>
      <c r="Q771" s="84"/>
      <c r="R771" s="84"/>
    </row>
    <row r="772" ht="15.75" customHeight="1">
      <c r="A772" s="105">
        <v>1.2052028E7</v>
      </c>
      <c r="B772" s="98" t="s">
        <v>1051</v>
      </c>
      <c r="C772" s="124"/>
      <c r="D772" s="88"/>
      <c r="E772" s="100"/>
      <c r="F772" s="100"/>
      <c r="G772" s="105" t="s">
        <v>420</v>
      </c>
      <c r="H772" s="88"/>
      <c r="I772" s="99"/>
      <c r="K772" s="84"/>
      <c r="L772" s="84"/>
      <c r="M772" s="84"/>
      <c r="N772" s="84"/>
      <c r="O772" s="84"/>
      <c r="P772" s="84"/>
      <c r="Q772" s="84"/>
      <c r="R772" s="84"/>
    </row>
    <row r="773" ht="15.75" customHeight="1">
      <c r="A773" s="105">
        <v>1.2052029E7</v>
      </c>
      <c r="B773" s="98" t="s">
        <v>1052</v>
      </c>
      <c r="C773" s="124"/>
      <c r="D773" s="88"/>
      <c r="E773" s="100"/>
      <c r="F773" s="100"/>
      <c r="G773" s="105" t="s">
        <v>420</v>
      </c>
      <c r="H773" s="88"/>
      <c r="I773" s="99"/>
      <c r="K773" s="84"/>
      <c r="L773" s="84"/>
      <c r="M773" s="84"/>
      <c r="N773" s="84"/>
      <c r="O773" s="84"/>
      <c r="P773" s="84"/>
      <c r="Q773" s="84"/>
      <c r="R773" s="84"/>
    </row>
    <row r="774" ht="15.75" customHeight="1">
      <c r="A774" s="105">
        <v>1.205203E7</v>
      </c>
      <c r="B774" s="98" t="s">
        <v>1053</v>
      </c>
      <c r="C774" s="124"/>
      <c r="D774" s="88"/>
      <c r="E774" s="100"/>
      <c r="F774" s="100"/>
      <c r="G774" s="105" t="s">
        <v>420</v>
      </c>
      <c r="H774" s="88"/>
      <c r="I774" s="99"/>
      <c r="K774" s="84"/>
      <c r="L774" s="84"/>
      <c r="M774" s="84"/>
      <c r="N774" s="84"/>
      <c r="O774" s="84"/>
      <c r="P774" s="84"/>
      <c r="Q774" s="84"/>
      <c r="R774" s="84"/>
    </row>
    <row r="775" ht="15.75" customHeight="1">
      <c r="A775" s="105">
        <v>1.2052031E7</v>
      </c>
      <c r="B775" s="98" t="s">
        <v>1054</v>
      </c>
      <c r="C775" s="124"/>
      <c r="D775" s="88"/>
      <c r="E775" s="100"/>
      <c r="F775" s="100"/>
      <c r="G775" s="105" t="s">
        <v>420</v>
      </c>
      <c r="H775" s="88"/>
      <c r="I775" s="99"/>
      <c r="K775" s="84"/>
      <c r="L775" s="84"/>
      <c r="M775" s="84"/>
      <c r="N775" s="84"/>
      <c r="O775" s="84"/>
      <c r="P775" s="84"/>
      <c r="Q775" s="84"/>
      <c r="R775" s="84"/>
    </row>
    <row r="776" ht="15.75" customHeight="1">
      <c r="A776" s="105">
        <v>1.2052032E7</v>
      </c>
      <c r="B776" s="98" t="s">
        <v>1055</v>
      </c>
      <c r="C776" s="124"/>
      <c r="D776" s="88"/>
      <c r="E776" s="100"/>
      <c r="F776" s="100"/>
      <c r="G776" s="105" t="s">
        <v>420</v>
      </c>
      <c r="H776" s="88"/>
      <c r="I776" s="99"/>
      <c r="K776" s="84"/>
      <c r="L776" s="84"/>
      <c r="M776" s="84"/>
      <c r="N776" s="84"/>
      <c r="O776" s="84"/>
      <c r="P776" s="84"/>
      <c r="Q776" s="84"/>
      <c r="R776" s="84"/>
    </row>
    <row r="777" ht="15.75" customHeight="1">
      <c r="A777" s="105">
        <v>1.2052033E7</v>
      </c>
      <c r="B777" s="98" t="s">
        <v>1056</v>
      </c>
      <c r="C777" s="124"/>
      <c r="D777" s="88"/>
      <c r="E777" s="100"/>
      <c r="F777" s="100"/>
      <c r="G777" s="105" t="s">
        <v>420</v>
      </c>
      <c r="H777" s="88"/>
      <c r="I777" s="99"/>
      <c r="K777" s="84"/>
      <c r="L777" s="84"/>
      <c r="M777" s="84"/>
      <c r="N777" s="84"/>
      <c r="O777" s="84"/>
      <c r="P777" s="84"/>
      <c r="Q777" s="84"/>
      <c r="R777" s="84"/>
    </row>
    <row r="778" ht="15.75" customHeight="1">
      <c r="A778" s="105">
        <v>1.2052034E7</v>
      </c>
      <c r="B778" s="98" t="s">
        <v>1057</v>
      </c>
      <c r="C778" s="124"/>
      <c r="D778" s="88"/>
      <c r="E778" s="100"/>
      <c r="F778" s="100"/>
      <c r="G778" s="105" t="s">
        <v>420</v>
      </c>
      <c r="H778" s="88"/>
      <c r="I778" s="99"/>
      <c r="K778" s="84"/>
      <c r="L778" s="84"/>
      <c r="M778" s="84"/>
      <c r="N778" s="84"/>
      <c r="O778" s="84"/>
      <c r="P778" s="84"/>
      <c r="Q778" s="84"/>
      <c r="R778" s="84"/>
    </row>
    <row r="779" ht="15.75" customHeight="1">
      <c r="A779" s="105">
        <v>1.2052035E7</v>
      </c>
      <c r="B779" s="98" t="s">
        <v>1058</v>
      </c>
      <c r="C779" s="124"/>
      <c r="D779" s="88"/>
      <c r="E779" s="100"/>
      <c r="F779" s="100"/>
      <c r="G779" s="105" t="s">
        <v>420</v>
      </c>
      <c r="H779" s="88"/>
      <c r="I779" s="99"/>
      <c r="K779" s="84"/>
      <c r="L779" s="84"/>
      <c r="M779" s="84"/>
      <c r="N779" s="84"/>
      <c r="O779" s="84"/>
      <c r="P779" s="84"/>
      <c r="Q779" s="84"/>
      <c r="R779" s="84"/>
    </row>
    <row r="780" ht="15.75" customHeight="1">
      <c r="A780" s="105">
        <v>1.2053001E7</v>
      </c>
      <c r="B780" s="98" t="s">
        <v>1059</v>
      </c>
      <c r="C780" s="124"/>
      <c r="D780" s="88"/>
      <c r="E780" s="100"/>
      <c r="F780" s="100"/>
      <c r="G780" s="105" t="s">
        <v>420</v>
      </c>
      <c r="H780" s="88"/>
      <c r="I780" s="99"/>
      <c r="K780" s="84"/>
      <c r="L780" s="84"/>
      <c r="M780" s="84"/>
      <c r="N780" s="84"/>
      <c r="O780" s="84"/>
      <c r="P780" s="84"/>
      <c r="Q780" s="84"/>
      <c r="R780" s="84"/>
    </row>
    <row r="781" ht="15.75" customHeight="1">
      <c r="A781" s="105">
        <v>1.2053002E7</v>
      </c>
      <c r="B781" s="98" t="s">
        <v>1060</v>
      </c>
      <c r="C781" s="124"/>
      <c r="D781" s="88"/>
      <c r="E781" s="100"/>
      <c r="F781" s="100"/>
      <c r="G781" s="105" t="s">
        <v>420</v>
      </c>
      <c r="H781" s="88"/>
      <c r="I781" s="99"/>
      <c r="K781" s="84"/>
      <c r="L781" s="84"/>
      <c r="M781" s="84"/>
      <c r="N781" s="84"/>
      <c r="O781" s="84"/>
      <c r="P781" s="84"/>
      <c r="Q781" s="84"/>
      <c r="R781" s="84"/>
    </row>
    <row r="782" ht="15.75" customHeight="1">
      <c r="A782" s="105">
        <v>1.2053003E7</v>
      </c>
      <c r="B782" s="98" t="s">
        <v>1061</v>
      </c>
      <c r="C782" s="124"/>
      <c r="D782" s="88"/>
      <c r="E782" s="100"/>
      <c r="F782" s="100"/>
      <c r="G782" s="105" t="s">
        <v>420</v>
      </c>
      <c r="H782" s="88"/>
      <c r="I782" s="99"/>
      <c r="K782" s="84"/>
      <c r="L782" s="84"/>
      <c r="M782" s="84"/>
      <c r="N782" s="84"/>
      <c r="O782" s="84"/>
      <c r="P782" s="84"/>
      <c r="Q782" s="84"/>
      <c r="R782" s="84"/>
    </row>
    <row r="783" ht="15.75" customHeight="1">
      <c r="A783" s="105">
        <v>1.2053004E7</v>
      </c>
      <c r="B783" s="98" t="s">
        <v>1062</v>
      </c>
      <c r="C783" s="124"/>
      <c r="D783" s="88"/>
      <c r="E783" s="100"/>
      <c r="F783" s="100"/>
      <c r="G783" s="105" t="s">
        <v>420</v>
      </c>
      <c r="H783" s="88"/>
      <c r="I783" s="99"/>
      <c r="K783" s="84"/>
      <c r="L783" s="84"/>
      <c r="M783" s="84"/>
      <c r="N783" s="84"/>
      <c r="O783" s="84"/>
      <c r="P783" s="84"/>
      <c r="Q783" s="84"/>
      <c r="R783" s="84"/>
    </row>
    <row r="784" ht="15.75" customHeight="1">
      <c r="A784" s="105">
        <v>1.2053005E7</v>
      </c>
      <c r="B784" s="98" t="s">
        <v>1063</v>
      </c>
      <c r="C784" s="124"/>
      <c r="D784" s="88"/>
      <c r="E784" s="100"/>
      <c r="F784" s="100"/>
      <c r="G784" s="105" t="s">
        <v>420</v>
      </c>
      <c r="H784" s="88"/>
      <c r="I784" s="99"/>
      <c r="K784" s="84"/>
      <c r="L784" s="84"/>
      <c r="M784" s="84"/>
      <c r="N784" s="84"/>
      <c r="O784" s="84"/>
      <c r="P784" s="84"/>
      <c r="Q784" s="84"/>
      <c r="R784" s="84"/>
    </row>
    <row r="785" ht="15.75" customHeight="1">
      <c r="A785" s="105">
        <v>1.2053006E7</v>
      </c>
      <c r="B785" s="98" t="s">
        <v>1064</v>
      </c>
      <c r="C785" s="124"/>
      <c r="D785" s="88"/>
      <c r="E785" s="100"/>
      <c r="F785" s="100"/>
      <c r="G785" s="105" t="s">
        <v>420</v>
      </c>
      <c r="H785" s="88"/>
      <c r="I785" s="99"/>
      <c r="K785" s="84"/>
      <c r="L785" s="84"/>
      <c r="M785" s="84"/>
      <c r="N785" s="84"/>
      <c r="O785" s="84"/>
      <c r="P785" s="84"/>
      <c r="Q785" s="84"/>
      <c r="R785" s="84"/>
    </row>
    <row r="786" ht="15.75" customHeight="1">
      <c r="A786" s="105">
        <v>1.2053007E7</v>
      </c>
      <c r="B786" s="98" t="s">
        <v>1065</v>
      </c>
      <c r="C786" s="124"/>
      <c r="D786" s="88"/>
      <c r="E786" s="100"/>
      <c r="F786" s="100"/>
      <c r="G786" s="105" t="s">
        <v>420</v>
      </c>
      <c r="H786" s="88"/>
      <c r="I786" s="99"/>
      <c r="K786" s="84"/>
      <c r="L786" s="84"/>
      <c r="M786" s="84"/>
      <c r="N786" s="84"/>
      <c r="O786" s="84"/>
      <c r="P786" s="84"/>
      <c r="Q786" s="84"/>
      <c r="R786" s="84"/>
    </row>
    <row r="787" ht="15.75" customHeight="1">
      <c r="A787" s="105">
        <v>1.2053008E7</v>
      </c>
      <c r="B787" s="98" t="s">
        <v>1066</v>
      </c>
      <c r="C787" s="124"/>
      <c r="D787" s="88"/>
      <c r="E787" s="100"/>
      <c r="F787" s="100"/>
      <c r="G787" s="105" t="s">
        <v>420</v>
      </c>
      <c r="H787" s="88"/>
      <c r="I787" s="99"/>
      <c r="K787" s="84"/>
      <c r="L787" s="84"/>
      <c r="M787" s="84"/>
      <c r="N787" s="84"/>
      <c r="O787" s="84"/>
      <c r="P787" s="84"/>
      <c r="Q787" s="84"/>
      <c r="R787" s="84"/>
    </row>
    <row r="788" ht="15.75" customHeight="1">
      <c r="A788" s="105">
        <v>1.2053009E7</v>
      </c>
      <c r="B788" s="98" t="s">
        <v>1067</v>
      </c>
      <c r="C788" s="124"/>
      <c r="D788" s="88"/>
      <c r="E788" s="100"/>
      <c r="F788" s="100"/>
      <c r="G788" s="105" t="s">
        <v>420</v>
      </c>
      <c r="H788" s="88"/>
      <c r="I788" s="99"/>
      <c r="K788" s="84"/>
      <c r="L788" s="84"/>
      <c r="M788" s="84"/>
      <c r="N788" s="84"/>
      <c r="O788" s="84"/>
      <c r="P788" s="84"/>
      <c r="Q788" s="84"/>
      <c r="R788" s="84"/>
    </row>
    <row r="789" ht="15.75" customHeight="1">
      <c r="A789" s="105">
        <v>1.205301E7</v>
      </c>
      <c r="B789" s="98" t="s">
        <v>1068</v>
      </c>
      <c r="C789" s="124"/>
      <c r="D789" s="88"/>
      <c r="E789" s="100"/>
      <c r="F789" s="100"/>
      <c r="G789" s="105" t="s">
        <v>420</v>
      </c>
      <c r="H789" s="88"/>
      <c r="I789" s="99"/>
      <c r="K789" s="84"/>
      <c r="L789" s="84"/>
      <c r="M789" s="84"/>
      <c r="N789" s="84"/>
      <c r="O789" s="84"/>
      <c r="P789" s="84"/>
      <c r="Q789" s="84"/>
      <c r="R789" s="84"/>
    </row>
    <row r="790" ht="15.75" customHeight="1">
      <c r="A790" s="105">
        <v>1.2053011E7</v>
      </c>
      <c r="B790" s="98" t="s">
        <v>1069</v>
      </c>
      <c r="C790" s="124"/>
      <c r="D790" s="88"/>
      <c r="E790" s="100"/>
      <c r="F790" s="100"/>
      <c r="G790" s="105" t="s">
        <v>420</v>
      </c>
      <c r="H790" s="88"/>
      <c r="I790" s="99"/>
      <c r="K790" s="84"/>
      <c r="L790" s="84"/>
      <c r="M790" s="84"/>
      <c r="N790" s="84"/>
      <c r="O790" s="84"/>
      <c r="P790" s="84"/>
      <c r="Q790" s="84"/>
      <c r="R790" s="84"/>
    </row>
    <row r="791" ht="15.75" customHeight="1">
      <c r="A791" s="105">
        <v>1.2053012E7</v>
      </c>
      <c r="B791" s="98" t="s">
        <v>1070</v>
      </c>
      <c r="C791" s="124"/>
      <c r="D791" s="88"/>
      <c r="E791" s="100"/>
      <c r="F791" s="100"/>
      <c r="G791" s="105" t="s">
        <v>420</v>
      </c>
      <c r="H791" s="88"/>
      <c r="I791" s="99"/>
      <c r="K791" s="84"/>
      <c r="L791" s="84"/>
      <c r="M791" s="84"/>
      <c r="N791" s="84"/>
      <c r="O791" s="84"/>
      <c r="P791" s="84"/>
      <c r="Q791" s="84"/>
      <c r="R791" s="84"/>
    </row>
    <row r="792" ht="15.75" customHeight="1">
      <c r="A792" s="105">
        <v>1.2053013E7</v>
      </c>
      <c r="B792" s="98" t="s">
        <v>1071</v>
      </c>
      <c r="C792" s="124"/>
      <c r="D792" s="88"/>
      <c r="E792" s="100"/>
      <c r="F792" s="100"/>
      <c r="G792" s="105" t="s">
        <v>420</v>
      </c>
      <c r="H792" s="88"/>
      <c r="I792" s="99"/>
      <c r="K792" s="84"/>
      <c r="L792" s="84"/>
      <c r="M792" s="84"/>
      <c r="N792" s="84"/>
      <c r="O792" s="84"/>
      <c r="P792" s="84"/>
      <c r="Q792" s="84"/>
      <c r="R792" s="84"/>
    </row>
    <row r="793" ht="15.75" customHeight="1">
      <c r="A793" s="105">
        <v>1.2053014E7</v>
      </c>
      <c r="B793" s="98" t="s">
        <v>1072</v>
      </c>
      <c r="C793" s="124"/>
      <c r="D793" s="88"/>
      <c r="E793" s="100"/>
      <c r="F793" s="100"/>
      <c r="G793" s="105" t="s">
        <v>420</v>
      </c>
      <c r="H793" s="88"/>
      <c r="I793" s="99"/>
      <c r="K793" s="84"/>
      <c r="L793" s="84"/>
      <c r="M793" s="84"/>
      <c r="N793" s="84"/>
      <c r="O793" s="84"/>
      <c r="P793" s="84"/>
      <c r="Q793" s="84"/>
      <c r="R793" s="84"/>
    </row>
    <row r="794" ht="15.75" customHeight="1">
      <c r="A794" s="105">
        <v>1.2053015E7</v>
      </c>
      <c r="B794" s="98" t="s">
        <v>1073</v>
      </c>
      <c r="C794" s="124"/>
      <c r="D794" s="88"/>
      <c r="E794" s="100"/>
      <c r="F794" s="100"/>
      <c r="G794" s="105" t="s">
        <v>420</v>
      </c>
      <c r="H794" s="88"/>
      <c r="I794" s="99"/>
      <c r="K794" s="84"/>
      <c r="L794" s="84"/>
      <c r="M794" s="84"/>
      <c r="N794" s="84"/>
      <c r="O794" s="84"/>
      <c r="P794" s="84"/>
      <c r="Q794" s="84"/>
      <c r="R794" s="84"/>
    </row>
    <row r="795" ht="15.75" customHeight="1">
      <c r="A795" s="105">
        <v>1.2053016E7</v>
      </c>
      <c r="B795" s="98" t="s">
        <v>1074</v>
      </c>
      <c r="C795" s="124"/>
      <c r="D795" s="88"/>
      <c r="E795" s="100"/>
      <c r="F795" s="100"/>
      <c r="G795" s="105" t="s">
        <v>420</v>
      </c>
      <c r="H795" s="88"/>
      <c r="I795" s="99"/>
      <c r="K795" s="84"/>
      <c r="L795" s="84"/>
      <c r="M795" s="84"/>
      <c r="N795" s="84"/>
      <c r="O795" s="84"/>
      <c r="P795" s="84"/>
      <c r="Q795" s="84"/>
      <c r="R795" s="84"/>
    </row>
    <row r="796" ht="15.75" customHeight="1">
      <c r="A796" s="105">
        <v>1.2053017E7</v>
      </c>
      <c r="B796" s="98" t="s">
        <v>1075</v>
      </c>
      <c r="C796" s="124"/>
      <c r="D796" s="88"/>
      <c r="E796" s="100"/>
      <c r="F796" s="100"/>
      <c r="G796" s="105" t="s">
        <v>420</v>
      </c>
      <c r="H796" s="88"/>
      <c r="I796" s="99"/>
      <c r="K796" s="84"/>
      <c r="L796" s="84"/>
      <c r="M796" s="84"/>
      <c r="N796" s="84"/>
      <c r="O796" s="84"/>
      <c r="P796" s="84"/>
      <c r="Q796" s="84"/>
      <c r="R796" s="84"/>
    </row>
    <row r="797" ht="15.75" customHeight="1">
      <c r="A797" s="105">
        <v>1.2053018E7</v>
      </c>
      <c r="B797" s="98" t="s">
        <v>1076</v>
      </c>
      <c r="C797" s="124"/>
      <c r="D797" s="88"/>
      <c r="E797" s="100"/>
      <c r="F797" s="100"/>
      <c r="G797" s="105" t="s">
        <v>420</v>
      </c>
      <c r="H797" s="88"/>
      <c r="I797" s="99"/>
      <c r="K797" s="84"/>
      <c r="L797" s="84"/>
      <c r="M797" s="84"/>
      <c r="N797" s="84"/>
      <c r="O797" s="84"/>
      <c r="P797" s="84"/>
      <c r="Q797" s="84"/>
      <c r="R797" s="84"/>
    </row>
    <row r="798" ht="15.75" customHeight="1">
      <c r="A798" s="105">
        <v>1.2053019E7</v>
      </c>
      <c r="B798" s="98" t="s">
        <v>1077</v>
      </c>
      <c r="C798" s="124"/>
      <c r="D798" s="88"/>
      <c r="E798" s="100"/>
      <c r="F798" s="100"/>
      <c r="G798" s="105" t="s">
        <v>420</v>
      </c>
      <c r="H798" s="88"/>
      <c r="I798" s="99"/>
      <c r="K798" s="84"/>
      <c r="L798" s="84"/>
      <c r="M798" s="84"/>
      <c r="N798" s="84"/>
      <c r="O798" s="84"/>
      <c r="P798" s="84"/>
      <c r="Q798" s="84"/>
      <c r="R798" s="84"/>
    </row>
    <row r="799" ht="15.75" customHeight="1">
      <c r="A799" s="105">
        <v>1.205302E7</v>
      </c>
      <c r="B799" s="98" t="s">
        <v>1078</v>
      </c>
      <c r="C799" s="124"/>
      <c r="D799" s="88"/>
      <c r="E799" s="100"/>
      <c r="F799" s="100"/>
      <c r="G799" s="105" t="s">
        <v>420</v>
      </c>
      <c r="H799" s="88"/>
      <c r="I799" s="99"/>
      <c r="K799" s="84"/>
      <c r="L799" s="84"/>
      <c r="M799" s="84"/>
      <c r="N799" s="84"/>
      <c r="O799" s="84"/>
      <c r="P799" s="84"/>
      <c r="Q799" s="84"/>
      <c r="R799" s="84"/>
    </row>
    <row r="800" ht="15.75" customHeight="1">
      <c r="A800" s="105">
        <v>1.2053021E7</v>
      </c>
      <c r="B800" s="98" t="s">
        <v>1079</v>
      </c>
      <c r="C800" s="124"/>
      <c r="D800" s="88"/>
      <c r="E800" s="100"/>
      <c r="F800" s="100"/>
      <c r="G800" s="105" t="s">
        <v>420</v>
      </c>
      <c r="H800" s="88"/>
      <c r="I800" s="99"/>
      <c r="K800" s="84"/>
      <c r="L800" s="84"/>
      <c r="M800" s="84"/>
      <c r="N800" s="84"/>
      <c r="O800" s="84"/>
      <c r="P800" s="84"/>
      <c r="Q800" s="84"/>
      <c r="R800" s="84"/>
    </row>
    <row r="801" ht="15.75" customHeight="1">
      <c r="A801" s="105">
        <v>1.2053022E7</v>
      </c>
      <c r="B801" s="98" t="s">
        <v>1080</v>
      </c>
      <c r="C801" s="124"/>
      <c r="D801" s="88"/>
      <c r="E801" s="100"/>
      <c r="F801" s="100"/>
      <c r="G801" s="105" t="s">
        <v>420</v>
      </c>
      <c r="H801" s="88"/>
      <c r="I801" s="99"/>
      <c r="K801" s="84"/>
      <c r="L801" s="84"/>
      <c r="M801" s="84"/>
      <c r="N801" s="84"/>
      <c r="O801" s="84"/>
      <c r="P801" s="84"/>
      <c r="Q801" s="84"/>
      <c r="R801" s="84"/>
    </row>
    <row r="802" ht="15.75" customHeight="1">
      <c r="A802" s="105">
        <v>1.2053023E7</v>
      </c>
      <c r="B802" s="98" t="s">
        <v>1081</v>
      </c>
      <c r="C802" s="124"/>
      <c r="D802" s="88"/>
      <c r="E802" s="100"/>
      <c r="F802" s="100"/>
      <c r="G802" s="105" t="s">
        <v>420</v>
      </c>
      <c r="H802" s="88"/>
      <c r="I802" s="99"/>
      <c r="K802" s="84"/>
      <c r="L802" s="84"/>
      <c r="M802" s="84"/>
      <c r="N802" s="84"/>
      <c r="O802" s="84"/>
      <c r="P802" s="84"/>
      <c r="Q802" s="84"/>
      <c r="R802" s="84"/>
    </row>
    <row r="803" ht="15.75" customHeight="1">
      <c r="A803" s="105">
        <v>1.2053024E7</v>
      </c>
      <c r="B803" s="98" t="s">
        <v>1082</v>
      </c>
      <c r="C803" s="124"/>
      <c r="D803" s="88"/>
      <c r="E803" s="100"/>
      <c r="F803" s="100"/>
      <c r="G803" s="105" t="s">
        <v>420</v>
      </c>
      <c r="H803" s="88"/>
      <c r="I803" s="99"/>
      <c r="K803" s="84"/>
      <c r="L803" s="84"/>
      <c r="M803" s="84"/>
      <c r="N803" s="84"/>
      <c r="O803" s="84"/>
      <c r="P803" s="84"/>
      <c r="Q803" s="84"/>
      <c r="R803" s="84"/>
    </row>
    <row r="804" ht="15.75" customHeight="1">
      <c r="A804" s="105">
        <v>1.2053025E7</v>
      </c>
      <c r="B804" s="98" t="s">
        <v>1083</v>
      </c>
      <c r="C804" s="124"/>
      <c r="D804" s="88"/>
      <c r="E804" s="100"/>
      <c r="F804" s="100"/>
      <c r="G804" s="105" t="s">
        <v>420</v>
      </c>
      <c r="H804" s="88"/>
      <c r="I804" s="99"/>
      <c r="K804" s="84"/>
      <c r="L804" s="84"/>
      <c r="M804" s="84"/>
      <c r="N804" s="84"/>
      <c r="O804" s="84"/>
      <c r="P804" s="84"/>
      <c r="Q804" s="84"/>
      <c r="R804" s="84"/>
    </row>
    <row r="805" ht="15.75" customHeight="1">
      <c r="A805" s="105">
        <v>1.2053026E7</v>
      </c>
      <c r="B805" s="98" t="s">
        <v>1084</v>
      </c>
      <c r="C805" s="124"/>
      <c r="D805" s="88"/>
      <c r="E805" s="100"/>
      <c r="F805" s="100"/>
      <c r="G805" s="105" t="s">
        <v>420</v>
      </c>
      <c r="H805" s="88"/>
      <c r="I805" s="99"/>
      <c r="K805" s="84"/>
      <c r="L805" s="84"/>
      <c r="M805" s="84"/>
      <c r="N805" s="84"/>
      <c r="O805" s="84"/>
      <c r="P805" s="84"/>
      <c r="Q805" s="84"/>
      <c r="R805" s="84"/>
    </row>
    <row r="806" ht="15.75" customHeight="1">
      <c r="A806" s="105">
        <v>1.2053027E7</v>
      </c>
      <c r="B806" s="98" t="s">
        <v>1085</v>
      </c>
      <c r="C806" s="124"/>
      <c r="D806" s="88"/>
      <c r="E806" s="100"/>
      <c r="F806" s="100"/>
      <c r="G806" s="105" t="s">
        <v>420</v>
      </c>
      <c r="H806" s="88"/>
      <c r="I806" s="99"/>
      <c r="K806" s="84"/>
      <c r="L806" s="84"/>
      <c r="M806" s="84"/>
      <c r="N806" s="84"/>
      <c r="O806" s="84"/>
      <c r="P806" s="84"/>
      <c r="Q806" s="84"/>
      <c r="R806" s="84"/>
    </row>
    <row r="807" ht="15.75" customHeight="1">
      <c r="A807" s="105">
        <v>1.2053028E7</v>
      </c>
      <c r="B807" s="98" t="s">
        <v>1086</v>
      </c>
      <c r="C807" s="124"/>
      <c r="D807" s="88"/>
      <c r="E807" s="100"/>
      <c r="F807" s="100"/>
      <c r="G807" s="105" t="s">
        <v>420</v>
      </c>
      <c r="H807" s="88"/>
      <c r="I807" s="99"/>
      <c r="K807" s="84"/>
      <c r="L807" s="84"/>
      <c r="M807" s="84"/>
      <c r="N807" s="84"/>
      <c r="O807" s="84"/>
      <c r="P807" s="84"/>
      <c r="Q807" s="84"/>
      <c r="R807" s="84"/>
    </row>
    <row r="808" ht="15.75" customHeight="1">
      <c r="A808" s="105">
        <v>1.2053029E7</v>
      </c>
      <c r="B808" s="98" t="s">
        <v>1087</v>
      </c>
      <c r="C808" s="124"/>
      <c r="D808" s="88"/>
      <c r="E808" s="100"/>
      <c r="F808" s="100"/>
      <c r="G808" s="105" t="s">
        <v>420</v>
      </c>
      <c r="H808" s="88"/>
      <c r="I808" s="99"/>
      <c r="K808" s="84"/>
      <c r="L808" s="84"/>
      <c r="M808" s="84"/>
      <c r="N808" s="84"/>
      <c r="O808" s="84"/>
      <c r="P808" s="84"/>
      <c r="Q808" s="84"/>
      <c r="R808" s="84"/>
    </row>
    <row r="809" ht="15.75" customHeight="1">
      <c r="A809" s="105">
        <v>1.205303E7</v>
      </c>
      <c r="B809" s="98" t="s">
        <v>1088</v>
      </c>
      <c r="C809" s="124"/>
      <c r="D809" s="88"/>
      <c r="E809" s="100"/>
      <c r="F809" s="100"/>
      <c r="G809" s="105" t="s">
        <v>420</v>
      </c>
      <c r="H809" s="88"/>
      <c r="I809" s="99"/>
      <c r="K809" s="84"/>
      <c r="L809" s="84"/>
      <c r="M809" s="84"/>
      <c r="N809" s="84"/>
      <c r="O809" s="84"/>
      <c r="P809" s="84"/>
      <c r="Q809" s="84"/>
      <c r="R809" s="84"/>
    </row>
    <row r="810" ht="15.75" customHeight="1">
      <c r="A810" s="105">
        <v>1.2053031E7</v>
      </c>
      <c r="B810" s="98" t="s">
        <v>1089</v>
      </c>
      <c r="C810" s="124"/>
      <c r="D810" s="88"/>
      <c r="E810" s="100"/>
      <c r="F810" s="100"/>
      <c r="G810" s="105" t="s">
        <v>420</v>
      </c>
      <c r="H810" s="88"/>
      <c r="I810" s="99"/>
      <c r="K810" s="84"/>
      <c r="L810" s="84"/>
      <c r="M810" s="84"/>
      <c r="N810" s="84"/>
      <c r="O810" s="84"/>
      <c r="P810" s="84"/>
      <c r="Q810" s="84"/>
      <c r="R810" s="84"/>
    </row>
    <row r="811" ht="15.75" customHeight="1">
      <c r="A811" s="105">
        <v>1.2053032E7</v>
      </c>
      <c r="B811" s="98" t="s">
        <v>1090</v>
      </c>
      <c r="C811" s="124"/>
      <c r="D811" s="88"/>
      <c r="E811" s="100"/>
      <c r="F811" s="100"/>
      <c r="G811" s="105" t="s">
        <v>420</v>
      </c>
      <c r="H811" s="88"/>
      <c r="I811" s="99"/>
      <c r="K811" s="84"/>
      <c r="L811" s="84"/>
      <c r="M811" s="84"/>
      <c r="N811" s="84"/>
      <c r="O811" s="84"/>
      <c r="P811" s="84"/>
      <c r="Q811" s="84"/>
      <c r="R811" s="84"/>
    </row>
    <row r="812" ht="15.75" customHeight="1">
      <c r="A812" s="105">
        <v>1.2053033E7</v>
      </c>
      <c r="B812" s="98" t="s">
        <v>1091</v>
      </c>
      <c r="C812" s="124"/>
      <c r="D812" s="88"/>
      <c r="E812" s="100"/>
      <c r="F812" s="100"/>
      <c r="G812" s="105" t="s">
        <v>420</v>
      </c>
      <c r="H812" s="88"/>
      <c r="I812" s="99"/>
      <c r="K812" s="84"/>
      <c r="L812" s="84"/>
      <c r="M812" s="84"/>
      <c r="N812" s="84"/>
      <c r="O812" s="84"/>
      <c r="P812" s="84"/>
      <c r="Q812" s="84"/>
      <c r="R812" s="84"/>
    </row>
    <row r="813" ht="15.75" customHeight="1">
      <c r="A813" s="105">
        <v>1.2053034E7</v>
      </c>
      <c r="B813" s="98" t="s">
        <v>1092</v>
      </c>
      <c r="C813" s="124"/>
      <c r="D813" s="88"/>
      <c r="E813" s="100"/>
      <c r="F813" s="100"/>
      <c r="G813" s="105" t="s">
        <v>420</v>
      </c>
      <c r="H813" s="88"/>
      <c r="I813" s="99"/>
      <c r="K813" s="84"/>
      <c r="L813" s="84"/>
      <c r="M813" s="84"/>
      <c r="N813" s="84"/>
      <c r="O813" s="84"/>
      <c r="P813" s="84"/>
      <c r="Q813" s="84"/>
      <c r="R813" s="84"/>
    </row>
    <row r="814" ht="15.75" customHeight="1">
      <c r="A814" s="105">
        <v>1.2053035E7</v>
      </c>
      <c r="B814" s="98" t="s">
        <v>1093</v>
      </c>
      <c r="C814" s="124"/>
      <c r="D814" s="88"/>
      <c r="E814" s="100"/>
      <c r="F814" s="100"/>
      <c r="G814" s="105" t="s">
        <v>420</v>
      </c>
      <c r="H814" s="88"/>
      <c r="I814" s="99"/>
      <c r="K814" s="84"/>
      <c r="L814" s="84"/>
      <c r="M814" s="84"/>
      <c r="N814" s="84"/>
      <c r="O814" s="84"/>
      <c r="P814" s="84"/>
      <c r="Q814" s="84"/>
      <c r="R814" s="84"/>
    </row>
    <row r="815" ht="15.75" customHeight="1">
      <c r="A815" s="85">
        <v>3.0000001E7</v>
      </c>
      <c r="B815" s="85" t="s">
        <v>1094</v>
      </c>
      <c r="C815" s="85"/>
      <c r="D815" s="85"/>
      <c r="E815" s="85" t="s">
        <v>235</v>
      </c>
      <c r="F815" s="85" t="s">
        <v>235</v>
      </c>
      <c r="G815" s="85"/>
      <c r="H815" s="85"/>
      <c r="I815" s="99"/>
      <c r="K815" s="84"/>
      <c r="L815" s="84"/>
      <c r="M815" s="84"/>
      <c r="N815" s="84"/>
      <c r="O815" s="84"/>
      <c r="P815" s="84"/>
      <c r="Q815" s="84"/>
      <c r="R815" s="84"/>
    </row>
    <row r="816" ht="15.75" customHeight="1">
      <c r="A816" s="85">
        <v>3.0000002E7</v>
      </c>
      <c r="B816" s="85" t="s">
        <v>1095</v>
      </c>
      <c r="C816" s="85"/>
      <c r="D816" s="85"/>
      <c r="E816" s="85" t="s">
        <v>1096</v>
      </c>
      <c r="F816" s="85" t="s">
        <v>1096</v>
      </c>
      <c r="G816" s="85"/>
      <c r="H816" s="85"/>
      <c r="I816" s="99"/>
      <c r="K816" s="84"/>
      <c r="L816" s="84"/>
      <c r="M816" s="84"/>
      <c r="N816" s="84"/>
      <c r="O816" s="84"/>
      <c r="P816" s="84"/>
      <c r="Q816" s="84"/>
      <c r="R816" s="84"/>
    </row>
    <row r="817" ht="15.75" customHeight="1">
      <c r="A817" s="85">
        <v>3.0000003E7</v>
      </c>
      <c r="B817" s="85" t="s">
        <v>1097</v>
      </c>
      <c r="C817" s="85"/>
      <c r="D817" s="85"/>
      <c r="E817" s="85" t="s">
        <v>235</v>
      </c>
      <c r="F817" s="85" t="s">
        <v>235</v>
      </c>
      <c r="G817" s="85"/>
      <c r="H817" s="85"/>
      <c r="I817" s="99"/>
      <c r="K817" s="84"/>
      <c r="L817" s="84"/>
      <c r="M817" s="84"/>
      <c r="N817" s="84"/>
      <c r="O817" s="84"/>
      <c r="P817" s="84"/>
      <c r="Q817" s="84"/>
      <c r="R817" s="84"/>
    </row>
    <row r="818" ht="15.75" customHeight="1">
      <c r="A818" s="85">
        <v>3.0000004E7</v>
      </c>
      <c r="B818" s="85" t="s">
        <v>1098</v>
      </c>
      <c r="C818" s="85"/>
      <c r="D818" s="85"/>
      <c r="E818" s="85" t="s">
        <v>235</v>
      </c>
      <c r="F818" s="85" t="s">
        <v>235</v>
      </c>
      <c r="G818" s="85"/>
      <c r="H818" s="85"/>
      <c r="I818" s="99"/>
      <c r="K818" s="84"/>
      <c r="L818" s="84"/>
      <c r="M818" s="84"/>
      <c r="N818" s="84"/>
      <c r="O818" s="84"/>
      <c r="P818" s="84"/>
      <c r="Q818" s="84"/>
      <c r="R818" s="84"/>
    </row>
    <row r="819" ht="15.75" customHeight="1">
      <c r="A819" s="85">
        <v>1.0020031E7</v>
      </c>
      <c r="B819" s="85" t="s">
        <v>1099</v>
      </c>
      <c r="C819" s="85"/>
      <c r="D819" s="85"/>
      <c r="E819" s="85" t="s">
        <v>229</v>
      </c>
      <c r="F819" s="85" t="s">
        <v>235</v>
      </c>
      <c r="G819" s="85" t="s">
        <v>231</v>
      </c>
      <c r="H819" s="125"/>
      <c r="I819" s="99"/>
      <c r="K819" s="84"/>
      <c r="L819" s="84"/>
      <c r="M819" s="84"/>
      <c r="N819" s="84"/>
      <c r="O819" s="84"/>
      <c r="P819" s="84"/>
      <c r="Q819" s="84"/>
      <c r="R819" s="84"/>
    </row>
    <row r="820" ht="15.75" customHeight="1">
      <c r="A820" s="85">
        <v>1.0020032E7</v>
      </c>
      <c r="B820" s="85" t="s">
        <v>1100</v>
      </c>
      <c r="C820" s="85"/>
      <c r="D820" s="85"/>
      <c r="E820" s="85" t="s">
        <v>229</v>
      </c>
      <c r="F820" s="85" t="s">
        <v>235</v>
      </c>
      <c r="G820" s="85" t="s">
        <v>231</v>
      </c>
      <c r="H820" s="125"/>
      <c r="I820" s="99"/>
      <c r="K820" s="84"/>
      <c r="L820" s="84"/>
      <c r="M820" s="84"/>
      <c r="N820" s="84"/>
      <c r="O820" s="84"/>
      <c r="P820" s="84"/>
      <c r="Q820" s="84"/>
      <c r="R820" s="84"/>
    </row>
    <row r="821" ht="15.75" customHeight="1">
      <c r="A821" s="85">
        <v>1.0020033E7</v>
      </c>
      <c r="B821" s="85" t="s">
        <v>1101</v>
      </c>
      <c r="C821" s="85"/>
      <c r="D821" s="85"/>
      <c r="E821" s="85" t="s">
        <v>229</v>
      </c>
      <c r="F821" s="85" t="s">
        <v>235</v>
      </c>
      <c r="G821" s="85" t="s">
        <v>231</v>
      </c>
      <c r="H821" s="125"/>
      <c r="I821" s="99"/>
      <c r="K821" s="84"/>
      <c r="L821" s="84"/>
      <c r="M821" s="84"/>
      <c r="N821" s="84"/>
      <c r="O821" s="84"/>
      <c r="P821" s="84"/>
      <c r="Q821" s="84"/>
      <c r="R821" s="84"/>
    </row>
    <row r="822" ht="15.75" customHeight="1">
      <c r="A822" s="85">
        <v>1.0020041E7</v>
      </c>
      <c r="B822" s="85" t="s">
        <v>1102</v>
      </c>
      <c r="C822" s="85"/>
      <c r="D822" s="85"/>
      <c r="E822" s="85" t="s">
        <v>229</v>
      </c>
      <c r="F822" s="85" t="s">
        <v>235</v>
      </c>
      <c r="G822" s="85" t="s">
        <v>231</v>
      </c>
      <c r="H822" s="125"/>
      <c r="I822" s="99"/>
      <c r="K822" s="84"/>
      <c r="L822" s="84"/>
      <c r="M822" s="84"/>
      <c r="N822" s="84"/>
      <c r="O822" s="84"/>
      <c r="P822" s="84"/>
      <c r="Q822" s="84"/>
      <c r="R822" s="84"/>
    </row>
    <row r="823" ht="15.75" customHeight="1">
      <c r="A823" s="85">
        <v>1.0020042E7</v>
      </c>
      <c r="B823" s="85" t="s">
        <v>1103</v>
      </c>
      <c r="C823" s="85"/>
      <c r="D823" s="85"/>
      <c r="E823" s="85" t="s">
        <v>229</v>
      </c>
      <c r="F823" s="85" t="s">
        <v>235</v>
      </c>
      <c r="G823" s="85" t="s">
        <v>231</v>
      </c>
      <c r="H823" s="125"/>
      <c r="I823" s="99"/>
      <c r="K823" s="84"/>
      <c r="L823" s="84"/>
      <c r="M823" s="84"/>
      <c r="N823" s="84"/>
      <c r="O823" s="84"/>
      <c r="P823" s="84"/>
      <c r="Q823" s="84"/>
      <c r="R823" s="84"/>
    </row>
    <row r="824" ht="15.75" customHeight="1">
      <c r="A824" s="85">
        <v>1.0020043E7</v>
      </c>
      <c r="B824" s="85" t="s">
        <v>1104</v>
      </c>
      <c r="C824" s="85"/>
      <c r="D824" s="85"/>
      <c r="E824" s="85" t="s">
        <v>229</v>
      </c>
      <c r="F824" s="85" t="s">
        <v>235</v>
      </c>
      <c r="G824" s="85" t="s">
        <v>231</v>
      </c>
      <c r="H824" s="125"/>
      <c r="I824" s="99"/>
      <c r="K824" s="84"/>
      <c r="L824" s="84"/>
      <c r="M824" s="84"/>
      <c r="N824" s="84"/>
      <c r="O824" s="84"/>
      <c r="P824" s="84"/>
      <c r="Q824" s="84"/>
      <c r="R824" s="84"/>
    </row>
    <row r="825" ht="15.75" customHeight="1">
      <c r="A825" s="85">
        <v>1.0020051E7</v>
      </c>
      <c r="B825" s="85" t="s">
        <v>1105</v>
      </c>
      <c r="C825" s="85"/>
      <c r="D825" s="85"/>
      <c r="E825" s="85" t="s">
        <v>229</v>
      </c>
      <c r="F825" s="85" t="s">
        <v>235</v>
      </c>
      <c r="G825" s="85" t="s">
        <v>231</v>
      </c>
      <c r="H825" s="125"/>
      <c r="I825" s="99"/>
      <c r="K825" s="84"/>
      <c r="L825" s="84"/>
      <c r="M825" s="84"/>
      <c r="N825" s="84"/>
      <c r="O825" s="84"/>
      <c r="P825" s="84"/>
      <c r="Q825" s="84"/>
      <c r="R825" s="84"/>
    </row>
    <row r="826" ht="15.75" customHeight="1">
      <c r="A826" s="85">
        <v>1.0020052E7</v>
      </c>
      <c r="B826" s="85" t="s">
        <v>1106</v>
      </c>
      <c r="C826" s="85"/>
      <c r="D826" s="85"/>
      <c r="E826" s="85" t="s">
        <v>229</v>
      </c>
      <c r="F826" s="85" t="s">
        <v>235</v>
      </c>
      <c r="G826" s="85" t="s">
        <v>231</v>
      </c>
      <c r="H826" s="125"/>
      <c r="I826" s="99"/>
      <c r="K826" s="84"/>
      <c r="L826" s="84"/>
      <c r="M826" s="84"/>
      <c r="N826" s="84"/>
      <c r="O826" s="84"/>
      <c r="P826" s="84"/>
      <c r="Q826" s="84"/>
      <c r="R826" s="84"/>
    </row>
    <row r="827" ht="15.75" customHeight="1">
      <c r="A827" s="85">
        <v>1.0020053E7</v>
      </c>
      <c r="B827" s="85" t="s">
        <v>1107</v>
      </c>
      <c r="C827" s="85"/>
      <c r="D827" s="85"/>
      <c r="E827" s="85" t="s">
        <v>229</v>
      </c>
      <c r="F827" s="85" t="s">
        <v>235</v>
      </c>
      <c r="G827" s="85" t="s">
        <v>231</v>
      </c>
      <c r="H827" s="125"/>
      <c r="I827" s="99"/>
      <c r="K827" s="84"/>
      <c r="L827" s="84"/>
      <c r="M827" s="84"/>
      <c r="N827" s="84"/>
      <c r="O827" s="84"/>
      <c r="P827" s="84"/>
      <c r="Q827" s="84"/>
      <c r="R827" s="84"/>
    </row>
    <row r="828" ht="15.75" customHeight="1">
      <c r="A828" s="125">
        <v>1.2099301E7</v>
      </c>
      <c r="B828" s="98" t="s">
        <v>1108</v>
      </c>
      <c r="C828" s="125"/>
      <c r="D828" s="125"/>
      <c r="E828" s="126"/>
      <c r="F828" s="126"/>
      <c r="G828" s="125"/>
      <c r="H828" s="125"/>
      <c r="I828" s="99"/>
      <c r="K828" s="84"/>
      <c r="L828" s="84"/>
      <c r="M828" s="84"/>
      <c r="N828" s="84"/>
      <c r="O828" s="84"/>
      <c r="P828" s="84"/>
      <c r="Q828" s="84"/>
      <c r="R828" s="84"/>
    </row>
    <row r="829" ht="15.75" customHeight="1">
      <c r="A829" s="125">
        <v>1.2099302E7</v>
      </c>
      <c r="B829" s="98" t="s">
        <v>1109</v>
      </c>
      <c r="C829" s="125"/>
      <c r="D829" s="125"/>
      <c r="E829" s="126" t="s">
        <v>235</v>
      </c>
      <c r="F829" s="126"/>
      <c r="G829" s="125"/>
      <c r="H829" s="125"/>
      <c r="I829" s="99"/>
      <c r="K829" s="84"/>
      <c r="L829" s="84"/>
      <c r="M829" s="84"/>
      <c r="N829" s="84"/>
      <c r="O829" s="84"/>
      <c r="P829" s="84"/>
      <c r="Q829" s="84"/>
      <c r="R829" s="84"/>
    </row>
    <row r="830" ht="15.75" customHeight="1">
      <c r="A830" s="125">
        <v>1.2099303E7</v>
      </c>
      <c r="B830" s="98" t="s">
        <v>1110</v>
      </c>
      <c r="C830" s="125"/>
      <c r="D830" s="125"/>
      <c r="E830" s="126"/>
      <c r="F830" s="126"/>
      <c r="G830" s="125"/>
      <c r="H830" s="125"/>
      <c r="I830" s="99"/>
      <c r="K830" s="84"/>
      <c r="L830" s="84"/>
      <c r="M830" s="84"/>
      <c r="N830" s="84"/>
      <c r="O830" s="84"/>
      <c r="P830" s="84"/>
      <c r="Q830" s="84"/>
      <c r="R830" s="84"/>
    </row>
    <row r="831" ht="15.75" customHeight="1">
      <c r="A831" s="125">
        <v>1.2099304E7</v>
      </c>
      <c r="B831" s="98" t="s">
        <v>1111</v>
      </c>
      <c r="C831" s="125"/>
      <c r="D831" s="125"/>
      <c r="E831" s="126" t="s">
        <v>235</v>
      </c>
      <c r="F831" s="126"/>
      <c r="G831" s="125"/>
      <c r="H831" s="125"/>
      <c r="I831" s="99"/>
      <c r="K831" s="84"/>
      <c r="L831" s="84"/>
      <c r="M831" s="84"/>
      <c r="N831" s="84"/>
      <c r="O831" s="84"/>
      <c r="P831" s="84"/>
      <c r="Q831" s="84"/>
      <c r="R831" s="84"/>
    </row>
    <row r="832" ht="15.75" customHeight="1">
      <c r="A832" s="125">
        <v>1.2099311E7</v>
      </c>
      <c r="B832" s="98" t="s">
        <v>1112</v>
      </c>
      <c r="C832" s="125"/>
      <c r="D832" s="125"/>
      <c r="E832" s="126"/>
      <c r="F832" s="126"/>
      <c r="G832" s="125"/>
      <c r="H832" s="125"/>
      <c r="I832" s="99"/>
      <c r="K832" s="84"/>
      <c r="L832" s="84"/>
      <c r="M832" s="84"/>
      <c r="N832" s="84"/>
      <c r="O832" s="84"/>
      <c r="P832" s="84"/>
      <c r="Q832" s="84"/>
      <c r="R832" s="84"/>
    </row>
    <row r="833" ht="15.75" customHeight="1">
      <c r="A833" s="125">
        <v>1.2099312E7</v>
      </c>
      <c r="B833" s="98" t="s">
        <v>1113</v>
      </c>
      <c r="C833" s="125"/>
      <c r="D833" s="125"/>
      <c r="E833" s="126" t="s">
        <v>235</v>
      </c>
      <c r="F833" s="126"/>
      <c r="G833" s="125"/>
      <c r="H833" s="125"/>
      <c r="I833" s="99"/>
      <c r="K833" s="84"/>
      <c r="L833" s="84"/>
      <c r="M833" s="84"/>
      <c r="N833" s="84"/>
      <c r="O833" s="84"/>
      <c r="P833" s="84"/>
      <c r="Q833" s="84"/>
      <c r="R833" s="84"/>
    </row>
    <row r="834" ht="15.75" customHeight="1">
      <c r="A834" s="125">
        <v>1.2099313E7</v>
      </c>
      <c r="B834" s="98" t="s">
        <v>1114</v>
      </c>
      <c r="C834" s="125"/>
      <c r="D834" s="125"/>
      <c r="E834" s="126"/>
      <c r="F834" s="126"/>
      <c r="G834" s="125"/>
      <c r="H834" s="125"/>
      <c r="I834" s="99"/>
      <c r="K834" s="84"/>
      <c r="L834" s="84"/>
      <c r="M834" s="84"/>
      <c r="N834" s="84"/>
      <c r="O834" s="84"/>
      <c r="P834" s="84"/>
      <c r="Q834" s="84"/>
      <c r="R834" s="84"/>
    </row>
    <row r="835" ht="15.75" customHeight="1">
      <c r="A835" s="125">
        <v>1.2099314E7</v>
      </c>
      <c r="B835" s="98" t="s">
        <v>1115</v>
      </c>
      <c r="C835" s="125"/>
      <c r="D835" s="125"/>
      <c r="E835" s="126" t="s">
        <v>235</v>
      </c>
      <c r="F835" s="126"/>
      <c r="G835" s="125"/>
      <c r="H835" s="125"/>
      <c r="I835" s="99"/>
      <c r="K835" s="84"/>
      <c r="L835" s="84"/>
      <c r="M835" s="84"/>
      <c r="N835" s="84"/>
      <c r="O835" s="84"/>
      <c r="P835" s="84"/>
      <c r="Q835" s="84"/>
      <c r="R835" s="84"/>
    </row>
    <row r="836" ht="15.75" customHeight="1">
      <c r="A836" s="125">
        <v>1.2099321E7</v>
      </c>
      <c r="B836" s="98" t="s">
        <v>1116</v>
      </c>
      <c r="C836" s="125"/>
      <c r="D836" s="125"/>
      <c r="E836" s="126"/>
      <c r="F836" s="126"/>
      <c r="G836" s="125"/>
      <c r="H836" s="125"/>
      <c r="I836" s="99"/>
      <c r="K836" s="84"/>
      <c r="L836" s="84"/>
      <c r="M836" s="84"/>
      <c r="N836" s="84"/>
      <c r="O836" s="84"/>
      <c r="P836" s="84"/>
      <c r="Q836" s="84"/>
      <c r="R836" s="84"/>
    </row>
    <row r="837" ht="15.75" customHeight="1">
      <c r="A837" s="125">
        <v>1.2099322E7</v>
      </c>
      <c r="B837" s="98" t="s">
        <v>1117</v>
      </c>
      <c r="C837" s="125"/>
      <c r="D837" s="125"/>
      <c r="E837" s="126" t="s">
        <v>235</v>
      </c>
      <c r="F837" s="126"/>
      <c r="G837" s="125"/>
      <c r="H837" s="125"/>
      <c r="I837" s="99"/>
      <c r="K837" s="84"/>
      <c r="L837" s="84"/>
      <c r="M837" s="84"/>
      <c r="N837" s="84"/>
      <c r="O837" s="84"/>
      <c r="P837" s="84"/>
      <c r="Q837" s="84"/>
      <c r="R837" s="84"/>
    </row>
    <row r="838" ht="15.75" customHeight="1">
      <c r="A838" s="125">
        <v>1.2099323E7</v>
      </c>
      <c r="B838" s="98" t="s">
        <v>1118</v>
      </c>
      <c r="C838" s="125"/>
      <c r="D838" s="125"/>
      <c r="E838" s="126"/>
      <c r="F838" s="126"/>
      <c r="G838" s="125"/>
      <c r="H838" s="125"/>
      <c r="I838" s="99"/>
      <c r="K838" s="84"/>
      <c r="L838" s="84"/>
      <c r="M838" s="84"/>
      <c r="N838" s="84"/>
      <c r="O838" s="84"/>
      <c r="P838" s="84"/>
      <c r="Q838" s="84"/>
      <c r="R838" s="84"/>
    </row>
    <row r="839" ht="15.75" customHeight="1">
      <c r="A839" s="125">
        <v>1.2099324E7</v>
      </c>
      <c r="B839" s="98" t="s">
        <v>1119</v>
      </c>
      <c r="C839" s="125"/>
      <c r="D839" s="125"/>
      <c r="E839" s="126" t="s">
        <v>235</v>
      </c>
      <c r="F839" s="126"/>
      <c r="G839" s="125"/>
      <c r="H839" s="125"/>
      <c r="I839" s="99"/>
      <c r="K839" s="84"/>
      <c r="L839" s="84"/>
      <c r="M839" s="84"/>
      <c r="N839" s="84"/>
      <c r="O839" s="84"/>
      <c r="P839" s="84"/>
      <c r="Q839" s="84"/>
      <c r="R839" s="84"/>
    </row>
    <row r="840" ht="15.75" customHeight="1">
      <c r="A840" s="125"/>
      <c r="B840" s="125"/>
      <c r="C840" s="125"/>
      <c r="D840" s="125"/>
      <c r="E840" s="126"/>
      <c r="F840" s="126"/>
      <c r="G840" s="125"/>
      <c r="H840" s="125"/>
      <c r="I840" s="99"/>
      <c r="K840" s="84"/>
      <c r="L840" s="84"/>
      <c r="M840" s="84"/>
      <c r="N840" s="84"/>
      <c r="O840" s="84"/>
      <c r="P840" s="84"/>
      <c r="Q840" s="84"/>
      <c r="R840" s="84"/>
    </row>
    <row r="841" ht="15.75" customHeight="1">
      <c r="A841" s="125"/>
      <c r="B841" s="125"/>
      <c r="C841" s="125"/>
      <c r="D841" s="125"/>
      <c r="E841" s="126"/>
      <c r="F841" s="126"/>
      <c r="G841" s="125"/>
      <c r="H841" s="125"/>
      <c r="I841" s="99"/>
      <c r="K841" s="84"/>
      <c r="L841" s="84"/>
      <c r="M841" s="84"/>
      <c r="N841" s="84"/>
      <c r="O841" s="84"/>
      <c r="P841" s="84"/>
      <c r="Q841" s="84"/>
      <c r="R841" s="84"/>
    </row>
    <row r="842" ht="15.75" customHeight="1">
      <c r="A842" s="125"/>
      <c r="B842" s="125"/>
      <c r="C842" s="125"/>
      <c r="D842" s="125"/>
      <c r="E842" s="126"/>
      <c r="F842" s="126"/>
      <c r="G842" s="125"/>
      <c r="H842" s="125"/>
      <c r="I842" s="99"/>
      <c r="K842" s="84"/>
      <c r="L842" s="84"/>
      <c r="M842" s="84"/>
      <c r="N842" s="84"/>
      <c r="O842" s="84"/>
      <c r="P842" s="84"/>
      <c r="Q842" s="84"/>
      <c r="R842" s="84"/>
    </row>
    <row r="843" ht="15.75" customHeight="1">
      <c r="A843" s="125"/>
      <c r="B843" s="125"/>
      <c r="C843" s="125"/>
      <c r="D843" s="125"/>
      <c r="E843" s="126"/>
      <c r="F843" s="126"/>
      <c r="G843" s="125"/>
      <c r="H843" s="125"/>
      <c r="I843" s="99"/>
      <c r="K843" s="84"/>
      <c r="L843" s="84"/>
      <c r="M843" s="84"/>
      <c r="N843" s="84"/>
      <c r="O843" s="84"/>
      <c r="P843" s="84"/>
      <c r="Q843" s="84"/>
      <c r="R843" s="84"/>
    </row>
    <row r="844" ht="15.75" customHeight="1">
      <c r="A844" s="125"/>
      <c r="B844" s="125"/>
      <c r="C844" s="125"/>
      <c r="D844" s="125"/>
      <c r="E844" s="126"/>
      <c r="F844" s="126"/>
      <c r="G844" s="125"/>
      <c r="H844" s="125"/>
      <c r="I844" s="99"/>
      <c r="K844" s="84"/>
      <c r="L844" s="84"/>
      <c r="M844" s="84"/>
      <c r="N844" s="84"/>
      <c r="O844" s="84"/>
      <c r="P844" s="84"/>
      <c r="Q844" s="84"/>
      <c r="R844" s="84"/>
    </row>
    <row r="845" ht="15.75" customHeight="1">
      <c r="A845" s="125"/>
      <c r="B845" s="125"/>
      <c r="C845" s="125"/>
      <c r="D845" s="125"/>
      <c r="E845" s="126"/>
      <c r="F845" s="126"/>
      <c r="G845" s="125"/>
      <c r="H845" s="125"/>
      <c r="I845" s="99"/>
      <c r="K845" s="84"/>
      <c r="L845" s="84"/>
      <c r="M845" s="84"/>
      <c r="N845" s="84"/>
      <c r="O845" s="84"/>
      <c r="P845" s="84"/>
      <c r="Q845" s="84"/>
      <c r="R845" s="84"/>
    </row>
    <row r="846" ht="15.75" customHeight="1">
      <c r="A846" s="125"/>
      <c r="B846" s="125"/>
      <c r="C846" s="125"/>
      <c r="D846" s="125"/>
      <c r="E846" s="126"/>
      <c r="F846" s="126"/>
      <c r="G846" s="125"/>
      <c r="H846" s="125"/>
      <c r="I846" s="99"/>
      <c r="K846" s="84"/>
      <c r="L846" s="84"/>
      <c r="M846" s="84"/>
      <c r="N846" s="84"/>
      <c r="O846" s="84"/>
      <c r="P846" s="84"/>
      <c r="Q846" s="84"/>
      <c r="R846" s="84"/>
    </row>
    <row r="847" ht="15.75" customHeight="1">
      <c r="A847" s="125"/>
      <c r="B847" s="125"/>
      <c r="C847" s="125"/>
      <c r="D847" s="125"/>
      <c r="E847" s="126"/>
      <c r="F847" s="126"/>
      <c r="G847" s="125"/>
      <c r="H847" s="125"/>
      <c r="I847" s="99"/>
      <c r="K847" s="84"/>
      <c r="L847" s="84"/>
      <c r="M847" s="84"/>
      <c r="N847" s="84"/>
      <c r="O847" s="84"/>
      <c r="P847" s="84"/>
      <c r="Q847" s="84"/>
      <c r="R847" s="84"/>
    </row>
    <row r="848" ht="15.75" customHeight="1">
      <c r="A848" s="125"/>
      <c r="B848" s="125"/>
      <c r="C848" s="125"/>
      <c r="D848" s="125"/>
      <c r="E848" s="126"/>
      <c r="F848" s="126"/>
      <c r="G848" s="125"/>
      <c r="H848" s="125"/>
      <c r="I848" s="99"/>
      <c r="K848" s="84"/>
      <c r="L848" s="84"/>
      <c r="M848" s="84"/>
      <c r="N848" s="84"/>
      <c r="O848" s="84"/>
      <c r="P848" s="84"/>
      <c r="Q848" s="84"/>
      <c r="R848" s="84"/>
    </row>
    <row r="849" ht="15.75" customHeight="1">
      <c r="A849" s="125"/>
      <c r="B849" s="125"/>
      <c r="C849" s="125"/>
      <c r="D849" s="125"/>
      <c r="E849" s="126"/>
      <c r="F849" s="126"/>
      <c r="G849" s="125"/>
      <c r="H849" s="125"/>
      <c r="I849" s="99"/>
      <c r="K849" s="84"/>
      <c r="L849" s="84"/>
      <c r="M849" s="84"/>
      <c r="N849" s="84"/>
      <c r="O849" s="84"/>
      <c r="P849" s="84"/>
      <c r="Q849" s="84"/>
      <c r="R849" s="84"/>
    </row>
    <row r="850" ht="15.75" customHeight="1">
      <c r="A850" s="125"/>
      <c r="B850" s="125"/>
      <c r="C850" s="125"/>
      <c r="D850" s="125"/>
      <c r="E850" s="126"/>
      <c r="F850" s="126"/>
      <c r="G850" s="125"/>
      <c r="H850" s="125"/>
      <c r="I850" s="99"/>
      <c r="K850" s="84"/>
      <c r="L850" s="84"/>
      <c r="M850" s="84"/>
      <c r="N850" s="84"/>
      <c r="O850" s="84"/>
      <c r="P850" s="84"/>
      <c r="Q850" s="84"/>
      <c r="R850" s="84"/>
    </row>
    <row r="851" ht="15.75" customHeight="1">
      <c r="A851" s="125"/>
      <c r="B851" s="125"/>
      <c r="C851" s="125"/>
      <c r="D851" s="125"/>
      <c r="E851" s="126"/>
      <c r="F851" s="126"/>
      <c r="G851" s="125"/>
      <c r="H851" s="125"/>
      <c r="I851" s="99"/>
      <c r="K851" s="84"/>
      <c r="L851" s="84"/>
      <c r="M851" s="84"/>
      <c r="N851" s="84"/>
      <c r="O851" s="84"/>
      <c r="P851" s="84"/>
      <c r="Q851" s="84"/>
      <c r="R851" s="84"/>
    </row>
    <row r="852" ht="15.75" customHeight="1">
      <c r="A852" s="125"/>
      <c r="B852" s="125"/>
      <c r="C852" s="125"/>
      <c r="D852" s="125"/>
      <c r="E852" s="126"/>
      <c r="F852" s="126"/>
      <c r="G852" s="125"/>
      <c r="H852" s="125"/>
      <c r="I852" s="99"/>
      <c r="K852" s="84"/>
      <c r="L852" s="84"/>
      <c r="M852" s="84"/>
      <c r="N852" s="84"/>
      <c r="O852" s="84"/>
      <c r="P852" s="84"/>
      <c r="Q852" s="84"/>
      <c r="R852" s="84"/>
    </row>
    <row r="853" ht="15.75" customHeight="1">
      <c r="A853" s="125"/>
      <c r="B853" s="125"/>
      <c r="C853" s="125"/>
      <c r="D853" s="125"/>
      <c r="E853" s="126"/>
      <c r="F853" s="126"/>
      <c r="G853" s="125"/>
      <c r="H853" s="125"/>
      <c r="I853" s="99"/>
      <c r="K853" s="84"/>
      <c r="L853" s="84"/>
      <c r="M853" s="84"/>
      <c r="N853" s="84"/>
      <c r="O853" s="84"/>
      <c r="P853" s="84"/>
      <c r="Q853" s="84"/>
      <c r="R853" s="84"/>
    </row>
    <row r="854" ht="15.75" customHeight="1">
      <c r="A854" s="125"/>
      <c r="B854" s="125"/>
      <c r="C854" s="125"/>
      <c r="D854" s="125"/>
      <c r="E854" s="126"/>
      <c r="F854" s="126"/>
      <c r="G854" s="125"/>
      <c r="H854" s="125"/>
      <c r="I854" s="99"/>
      <c r="K854" s="84"/>
      <c r="L854" s="84"/>
      <c r="M854" s="84"/>
      <c r="N854" s="84"/>
      <c r="O854" s="84"/>
      <c r="P854" s="84"/>
      <c r="Q854" s="84"/>
      <c r="R854" s="84"/>
    </row>
    <row r="855" ht="15.75" customHeight="1">
      <c r="A855" s="125"/>
      <c r="B855" s="125"/>
      <c r="C855" s="125"/>
      <c r="D855" s="125"/>
      <c r="E855" s="126"/>
      <c r="F855" s="126"/>
      <c r="G855" s="125"/>
      <c r="H855" s="125"/>
      <c r="I855" s="99"/>
      <c r="K855" s="84"/>
      <c r="L855" s="84"/>
      <c r="M855" s="84"/>
      <c r="N855" s="84"/>
      <c r="O855" s="84"/>
      <c r="P855" s="84"/>
      <c r="Q855" s="84"/>
      <c r="R855" s="84"/>
    </row>
    <row r="856" ht="15.75" customHeight="1">
      <c r="A856" s="125"/>
      <c r="B856" s="125"/>
      <c r="C856" s="125"/>
      <c r="D856" s="125"/>
      <c r="E856" s="126"/>
      <c r="F856" s="126"/>
      <c r="G856" s="125"/>
      <c r="H856" s="125"/>
      <c r="I856" s="99"/>
      <c r="K856" s="84"/>
      <c r="L856" s="84"/>
      <c r="M856" s="84"/>
      <c r="N856" s="84"/>
      <c r="O856" s="84"/>
      <c r="P856" s="84"/>
      <c r="Q856" s="84"/>
      <c r="R856" s="84"/>
    </row>
    <row r="857" ht="15.75" customHeight="1">
      <c r="A857" s="125"/>
      <c r="B857" s="125"/>
      <c r="C857" s="125"/>
      <c r="D857" s="125"/>
      <c r="E857" s="126"/>
      <c r="F857" s="126"/>
      <c r="G857" s="125"/>
      <c r="H857" s="125"/>
      <c r="I857" s="99"/>
      <c r="K857" s="84"/>
      <c r="L857" s="84"/>
      <c r="M857" s="84"/>
      <c r="N857" s="84"/>
      <c r="O857" s="84"/>
      <c r="P857" s="84"/>
      <c r="Q857" s="84"/>
      <c r="R857" s="84"/>
    </row>
    <row r="858" ht="15.75" customHeight="1">
      <c r="A858" s="125"/>
      <c r="B858" s="125"/>
      <c r="C858" s="125"/>
      <c r="D858" s="125"/>
      <c r="E858" s="126"/>
      <c r="F858" s="126"/>
      <c r="G858" s="125"/>
      <c r="H858" s="125"/>
      <c r="I858" s="99"/>
      <c r="K858" s="84"/>
      <c r="L858" s="84"/>
      <c r="M858" s="84"/>
      <c r="N858" s="84"/>
      <c r="O858" s="84"/>
      <c r="P858" s="84"/>
      <c r="Q858" s="84"/>
      <c r="R858" s="84"/>
    </row>
    <row r="859" ht="15.75" customHeight="1">
      <c r="A859" s="125"/>
      <c r="B859" s="125"/>
      <c r="C859" s="125"/>
      <c r="D859" s="125"/>
      <c r="E859" s="126"/>
      <c r="F859" s="126"/>
      <c r="G859" s="125"/>
      <c r="H859" s="125"/>
      <c r="I859" s="99"/>
      <c r="K859" s="84"/>
      <c r="L859" s="84"/>
      <c r="M859" s="84"/>
      <c r="N859" s="84"/>
      <c r="O859" s="84"/>
      <c r="P859" s="84"/>
      <c r="Q859" s="84"/>
      <c r="R859" s="84"/>
    </row>
    <row r="860" ht="15.75" customHeight="1">
      <c r="A860" s="125"/>
      <c r="B860" s="125"/>
      <c r="C860" s="125"/>
      <c r="D860" s="125"/>
      <c r="E860" s="126"/>
      <c r="F860" s="126"/>
      <c r="G860" s="125"/>
      <c r="H860" s="125"/>
      <c r="I860" s="99"/>
      <c r="K860" s="84"/>
      <c r="L860" s="84"/>
      <c r="M860" s="84"/>
      <c r="N860" s="84"/>
      <c r="O860" s="84"/>
      <c r="P860" s="84"/>
      <c r="Q860" s="84"/>
      <c r="R860" s="84"/>
    </row>
    <row r="861" ht="15.75" customHeight="1">
      <c r="A861" s="125"/>
      <c r="B861" s="125"/>
      <c r="C861" s="125"/>
      <c r="D861" s="125"/>
      <c r="E861" s="126"/>
      <c r="F861" s="126"/>
      <c r="G861" s="125"/>
      <c r="H861" s="125"/>
      <c r="I861" s="99"/>
      <c r="K861" s="84"/>
      <c r="L861" s="122"/>
      <c r="M861" s="84"/>
      <c r="N861" s="84"/>
      <c r="O861" s="84"/>
      <c r="P861" s="84"/>
      <c r="Q861" s="84"/>
      <c r="R861" s="84"/>
    </row>
    <row r="862" ht="15.75" customHeight="1">
      <c r="A862" s="125"/>
      <c r="B862" s="125"/>
      <c r="C862" s="125"/>
      <c r="D862" s="125"/>
      <c r="E862" s="126"/>
      <c r="F862" s="126"/>
      <c r="G862" s="125"/>
      <c r="H862" s="125"/>
      <c r="I862" s="99"/>
      <c r="K862" s="84"/>
      <c r="L862" s="122"/>
      <c r="M862" s="84"/>
      <c r="N862" s="84"/>
      <c r="O862" s="84"/>
      <c r="P862" s="84"/>
      <c r="Q862" s="84"/>
      <c r="R862" s="84"/>
    </row>
    <row r="863" ht="15.75" customHeight="1">
      <c r="A863" s="125"/>
      <c r="B863" s="125"/>
      <c r="C863" s="125"/>
      <c r="D863" s="125"/>
      <c r="E863" s="126"/>
      <c r="F863" s="126"/>
      <c r="G863" s="125"/>
      <c r="H863" s="125"/>
      <c r="I863" s="99"/>
      <c r="K863" s="84"/>
      <c r="L863" s="122"/>
      <c r="M863" s="84"/>
      <c r="N863" s="84"/>
      <c r="O863" s="84"/>
      <c r="P863" s="84"/>
      <c r="Q863" s="84"/>
      <c r="R863" s="84"/>
    </row>
    <row r="864" ht="15.75" customHeight="1">
      <c r="A864" s="125"/>
      <c r="B864" s="125"/>
      <c r="C864" s="125"/>
      <c r="D864" s="125"/>
      <c r="E864" s="126"/>
      <c r="F864" s="126"/>
      <c r="G864" s="125"/>
      <c r="H864" s="125"/>
      <c r="I864" s="99"/>
      <c r="K864" s="84"/>
      <c r="L864" s="122"/>
      <c r="M864" s="84"/>
      <c r="N864" s="84"/>
      <c r="O864" s="84"/>
      <c r="P864" s="84"/>
      <c r="Q864" s="84"/>
      <c r="R864" s="84"/>
    </row>
    <row r="865" ht="15.75" customHeight="1">
      <c r="A865" s="125"/>
      <c r="B865" s="125"/>
      <c r="C865" s="125"/>
      <c r="D865" s="125"/>
      <c r="E865" s="126"/>
      <c r="F865" s="126"/>
      <c r="G865" s="125"/>
      <c r="H865" s="125"/>
      <c r="I865" s="99"/>
      <c r="K865" s="84"/>
      <c r="L865" s="122"/>
      <c r="M865" s="84"/>
      <c r="N865" s="84"/>
      <c r="O865" s="84"/>
      <c r="P865" s="84"/>
      <c r="Q865" s="84"/>
      <c r="R865" s="84"/>
    </row>
    <row r="866" ht="15.75" customHeight="1">
      <c r="A866" s="125"/>
      <c r="B866" s="125"/>
      <c r="C866" s="125"/>
      <c r="D866" s="125"/>
      <c r="E866" s="126"/>
      <c r="F866" s="126"/>
      <c r="G866" s="125"/>
      <c r="H866" s="125"/>
      <c r="I866" s="99"/>
      <c r="K866" s="84"/>
      <c r="L866" s="122"/>
      <c r="M866" s="84"/>
      <c r="N866" s="84"/>
      <c r="O866" s="84"/>
      <c r="P866" s="84"/>
      <c r="Q866" s="84"/>
      <c r="R866" s="84"/>
    </row>
    <row r="867" ht="15.75" customHeight="1">
      <c r="A867" s="125"/>
      <c r="B867" s="125"/>
      <c r="C867" s="125"/>
      <c r="D867" s="125"/>
      <c r="E867" s="126"/>
      <c r="F867" s="126"/>
      <c r="G867" s="125"/>
      <c r="H867" s="125"/>
      <c r="I867" s="99"/>
      <c r="K867" s="84"/>
      <c r="L867" s="122"/>
      <c r="M867" s="84"/>
      <c r="N867" s="84"/>
      <c r="O867" s="84"/>
      <c r="P867" s="84"/>
      <c r="Q867" s="84"/>
      <c r="R867" s="84"/>
    </row>
    <row r="868" ht="15.75" customHeight="1">
      <c r="A868" s="125"/>
      <c r="B868" s="125"/>
      <c r="C868" s="125"/>
      <c r="D868" s="125"/>
      <c r="E868" s="126"/>
      <c r="F868" s="126"/>
      <c r="G868" s="125"/>
      <c r="H868" s="125"/>
      <c r="I868" s="99"/>
      <c r="K868" s="84"/>
      <c r="L868" s="122"/>
      <c r="M868" s="84"/>
      <c r="N868" s="84"/>
      <c r="O868" s="84"/>
      <c r="P868" s="84"/>
      <c r="Q868" s="84"/>
      <c r="R868" s="84"/>
    </row>
    <row r="869" ht="15.75" customHeight="1">
      <c r="A869" s="125"/>
      <c r="B869" s="125"/>
      <c r="C869" s="125"/>
      <c r="D869" s="125"/>
      <c r="E869" s="126"/>
      <c r="F869" s="126"/>
      <c r="G869" s="125"/>
      <c r="H869" s="125"/>
      <c r="I869" s="99"/>
      <c r="K869" s="84"/>
      <c r="L869" s="122"/>
      <c r="M869" s="84"/>
      <c r="N869" s="84"/>
      <c r="O869" s="84"/>
      <c r="P869" s="84"/>
      <c r="Q869" s="84"/>
      <c r="R869" s="84"/>
    </row>
    <row r="870" ht="15.75" customHeight="1">
      <c r="A870" s="125"/>
      <c r="B870" s="125"/>
      <c r="C870" s="125"/>
      <c r="D870" s="125"/>
      <c r="E870" s="126"/>
      <c r="F870" s="126"/>
      <c r="G870" s="125"/>
      <c r="H870" s="125"/>
      <c r="I870" s="99"/>
      <c r="K870" s="84"/>
      <c r="L870" s="122"/>
      <c r="M870" s="84"/>
      <c r="N870" s="84"/>
      <c r="O870" s="84"/>
      <c r="P870" s="84"/>
      <c r="Q870" s="84"/>
      <c r="R870" s="84"/>
    </row>
    <row r="871" ht="15.75" customHeight="1">
      <c r="A871" s="125"/>
      <c r="B871" s="125"/>
      <c r="C871" s="125"/>
      <c r="D871" s="125"/>
      <c r="E871" s="126"/>
      <c r="F871" s="126"/>
      <c r="G871" s="125"/>
      <c r="H871" s="125"/>
      <c r="I871" s="99"/>
      <c r="K871" s="84"/>
      <c r="L871" s="127"/>
      <c r="M871" s="84"/>
      <c r="N871" s="84"/>
      <c r="O871" s="84"/>
      <c r="P871" s="84"/>
      <c r="Q871" s="84"/>
      <c r="R871" s="84"/>
    </row>
    <row r="872" ht="15.75" customHeight="1">
      <c r="A872" s="125"/>
      <c r="B872" s="125"/>
      <c r="C872" s="125"/>
      <c r="D872" s="125"/>
      <c r="E872" s="126"/>
      <c r="F872" s="126"/>
      <c r="G872" s="125"/>
      <c r="H872" s="125"/>
      <c r="I872" s="99"/>
      <c r="K872" s="122"/>
      <c r="L872" s="84"/>
      <c r="M872" s="122"/>
      <c r="N872" s="122"/>
      <c r="O872" s="122"/>
      <c r="P872" s="122"/>
      <c r="Q872" s="122"/>
      <c r="R872" s="122"/>
    </row>
    <row r="873" ht="15.75" customHeight="1">
      <c r="A873" s="125"/>
      <c r="B873" s="125"/>
      <c r="C873" s="125"/>
      <c r="D873" s="125"/>
      <c r="E873" s="126"/>
      <c r="F873" s="126"/>
      <c r="G873" s="125"/>
      <c r="H873" s="125"/>
      <c r="I873" s="99"/>
      <c r="K873" s="122"/>
      <c r="L873" s="84"/>
      <c r="M873" s="122"/>
      <c r="N873" s="122"/>
      <c r="O873" s="122"/>
      <c r="P873" s="122"/>
      <c r="Q873" s="122"/>
      <c r="R873" s="122"/>
    </row>
    <row r="874" ht="15.75" customHeight="1">
      <c r="A874" s="125"/>
      <c r="B874" s="125"/>
      <c r="C874" s="125"/>
      <c r="D874" s="125"/>
      <c r="E874" s="126"/>
      <c r="F874" s="126"/>
      <c r="G874" s="125"/>
      <c r="H874" s="125"/>
      <c r="I874" s="99"/>
      <c r="K874" s="122"/>
      <c r="L874" s="84"/>
      <c r="M874" s="122"/>
      <c r="N874" s="122"/>
      <c r="O874" s="122"/>
      <c r="P874" s="122"/>
      <c r="Q874" s="122"/>
      <c r="R874" s="122"/>
    </row>
    <row r="875" ht="15.75" customHeight="1">
      <c r="A875" s="125"/>
      <c r="B875" s="125"/>
      <c r="C875" s="125"/>
      <c r="D875" s="125"/>
      <c r="E875" s="126"/>
      <c r="F875" s="126"/>
      <c r="G875" s="125"/>
      <c r="H875" s="125"/>
      <c r="I875" s="99"/>
      <c r="K875" s="122"/>
      <c r="L875" s="84"/>
      <c r="M875" s="122"/>
      <c r="N875" s="122"/>
      <c r="O875" s="122"/>
      <c r="P875" s="122"/>
      <c r="Q875" s="122"/>
      <c r="R875" s="122"/>
    </row>
    <row r="876" ht="15.75" customHeight="1">
      <c r="A876" s="125"/>
      <c r="B876" s="125"/>
      <c r="C876" s="125"/>
      <c r="D876" s="125"/>
      <c r="E876" s="126"/>
      <c r="F876" s="126"/>
      <c r="G876" s="125"/>
      <c r="H876" s="125"/>
      <c r="I876" s="99"/>
      <c r="K876" s="122"/>
      <c r="L876" s="84"/>
      <c r="M876" s="122"/>
      <c r="N876" s="122"/>
      <c r="O876" s="122"/>
      <c r="P876" s="122"/>
      <c r="Q876" s="122"/>
      <c r="R876" s="122"/>
    </row>
    <row r="877" ht="15.75" customHeight="1">
      <c r="A877" s="125"/>
      <c r="B877" s="125"/>
      <c r="C877" s="125"/>
      <c r="D877" s="125"/>
      <c r="E877" s="126"/>
      <c r="F877" s="126"/>
      <c r="G877" s="125"/>
      <c r="H877" s="125"/>
      <c r="I877" s="99"/>
      <c r="K877" s="122"/>
      <c r="L877" s="84"/>
      <c r="M877" s="122"/>
      <c r="N877" s="122"/>
      <c r="O877" s="122"/>
      <c r="P877" s="122"/>
      <c r="Q877" s="122"/>
      <c r="R877" s="122"/>
    </row>
    <row r="878" ht="15.75" customHeight="1">
      <c r="A878" s="125"/>
      <c r="B878" s="125"/>
      <c r="C878" s="125"/>
      <c r="D878" s="125"/>
      <c r="E878" s="126"/>
      <c r="F878" s="126"/>
      <c r="G878" s="125"/>
      <c r="H878" s="125"/>
      <c r="I878" s="99"/>
      <c r="K878" s="122"/>
      <c r="L878" s="84"/>
      <c r="M878" s="122"/>
      <c r="N878" s="122"/>
      <c r="O878" s="122"/>
      <c r="P878" s="122"/>
      <c r="Q878" s="122"/>
      <c r="R878" s="122"/>
    </row>
    <row r="879" ht="15.75" customHeight="1">
      <c r="A879" s="125"/>
      <c r="B879" s="125"/>
      <c r="C879" s="125"/>
      <c r="D879" s="125"/>
      <c r="E879" s="126"/>
      <c r="F879" s="126"/>
      <c r="G879" s="125"/>
      <c r="H879" s="125"/>
      <c r="I879" s="99"/>
      <c r="K879" s="122"/>
      <c r="L879" s="84"/>
      <c r="M879" s="122"/>
      <c r="N879" s="122"/>
      <c r="O879" s="122"/>
      <c r="P879" s="122"/>
      <c r="Q879" s="122"/>
      <c r="R879" s="122"/>
    </row>
    <row r="880" ht="15.75" customHeight="1">
      <c r="A880" s="125"/>
      <c r="B880" s="125"/>
      <c r="C880" s="125"/>
      <c r="D880" s="125"/>
      <c r="E880" s="126"/>
      <c r="F880" s="126"/>
      <c r="G880" s="125"/>
      <c r="H880" s="125"/>
      <c r="I880" s="99"/>
      <c r="K880" s="122"/>
      <c r="L880" s="84"/>
      <c r="M880" s="122"/>
      <c r="N880" s="122"/>
      <c r="O880" s="122"/>
      <c r="P880" s="122"/>
      <c r="Q880" s="122"/>
      <c r="R880" s="122"/>
    </row>
    <row r="881" ht="15.75" customHeight="1">
      <c r="A881" s="125"/>
      <c r="B881" s="125"/>
      <c r="C881" s="125"/>
      <c r="D881" s="125"/>
      <c r="E881" s="126"/>
      <c r="F881" s="126"/>
      <c r="G881" s="125"/>
      <c r="H881" s="125"/>
      <c r="I881" s="99"/>
      <c r="K881" s="122"/>
      <c r="L881" s="84"/>
      <c r="M881" s="122"/>
      <c r="N881" s="122"/>
      <c r="O881" s="122"/>
      <c r="P881" s="122"/>
      <c r="Q881" s="122"/>
      <c r="R881" s="122"/>
    </row>
    <row r="882" ht="15.75" customHeight="1">
      <c r="A882" s="125"/>
      <c r="B882" s="125"/>
      <c r="C882" s="125"/>
      <c r="D882" s="125"/>
      <c r="E882" s="126"/>
      <c r="F882" s="126"/>
      <c r="G882" s="125"/>
      <c r="H882" s="125"/>
      <c r="I882" s="99"/>
      <c r="K882" s="127"/>
      <c r="L882" s="84"/>
      <c r="M882" s="127"/>
      <c r="N882" s="127"/>
      <c r="O882" s="127"/>
      <c r="P882" s="127"/>
      <c r="Q882" s="127"/>
      <c r="R882" s="127"/>
    </row>
    <row r="883" ht="15.75" customHeight="1">
      <c r="A883" s="125"/>
      <c r="B883" s="125"/>
      <c r="C883" s="125"/>
      <c r="D883" s="125"/>
      <c r="E883" s="126"/>
      <c r="F883" s="126"/>
      <c r="G883" s="125"/>
      <c r="H883" s="125"/>
      <c r="I883" s="99"/>
      <c r="K883" s="84"/>
      <c r="L883" s="84"/>
      <c r="M883" s="84"/>
      <c r="N883" s="84"/>
      <c r="O883" s="84"/>
      <c r="P883" s="84"/>
      <c r="Q883" s="84"/>
      <c r="R883" s="84"/>
    </row>
    <row r="884" ht="15.75" customHeight="1">
      <c r="A884" s="125"/>
      <c r="B884" s="125"/>
      <c r="C884" s="125"/>
      <c r="D884" s="125"/>
      <c r="E884" s="126"/>
      <c r="F884" s="126"/>
      <c r="G884" s="125"/>
      <c r="H884" s="125"/>
      <c r="I884" s="99"/>
      <c r="K884" s="84"/>
      <c r="L884" s="84"/>
      <c r="M884" s="84"/>
      <c r="N884" s="84"/>
      <c r="O884" s="84"/>
      <c r="P884" s="84"/>
      <c r="Q884" s="84"/>
      <c r="R884" s="84"/>
    </row>
    <row r="885" ht="15.75" customHeight="1">
      <c r="A885" s="125"/>
      <c r="B885" s="125"/>
      <c r="C885" s="125"/>
      <c r="D885" s="125"/>
      <c r="E885" s="126"/>
      <c r="F885" s="126"/>
      <c r="G885" s="125"/>
      <c r="H885" s="125"/>
      <c r="I885" s="99"/>
      <c r="K885" s="84"/>
      <c r="L885" s="84"/>
      <c r="M885" s="84"/>
      <c r="N885" s="84"/>
      <c r="O885" s="84"/>
      <c r="P885" s="84"/>
      <c r="Q885" s="84"/>
      <c r="R885" s="84"/>
    </row>
    <row r="886" ht="15.75" customHeight="1">
      <c r="A886" s="125"/>
      <c r="B886" s="125"/>
      <c r="C886" s="125"/>
      <c r="D886" s="125"/>
      <c r="E886" s="126"/>
      <c r="F886" s="126"/>
      <c r="G886" s="125"/>
      <c r="H886" s="125"/>
      <c r="I886" s="99"/>
      <c r="K886" s="84"/>
      <c r="L886" s="84"/>
      <c r="M886" s="84"/>
      <c r="N886" s="84"/>
      <c r="O886" s="84"/>
      <c r="P886" s="84"/>
      <c r="Q886" s="84"/>
      <c r="R886" s="84"/>
    </row>
    <row r="887" ht="15.75" customHeight="1">
      <c r="A887" s="125"/>
      <c r="B887" s="125"/>
      <c r="C887" s="125"/>
      <c r="D887" s="125"/>
      <c r="E887" s="126"/>
      <c r="F887" s="126"/>
      <c r="G887" s="125"/>
      <c r="H887" s="125"/>
      <c r="I887" s="99"/>
      <c r="K887" s="84"/>
      <c r="L887" s="84"/>
      <c r="M887" s="84"/>
      <c r="N887" s="84"/>
      <c r="O887" s="84"/>
      <c r="P887" s="84"/>
      <c r="Q887" s="84"/>
      <c r="R887" s="84"/>
    </row>
    <row r="888" ht="15.75" customHeight="1">
      <c r="A888" s="125"/>
      <c r="B888" s="125"/>
      <c r="C888" s="125"/>
      <c r="D888" s="125"/>
      <c r="E888" s="126"/>
      <c r="F888" s="126"/>
      <c r="G888" s="125"/>
      <c r="H888" s="125"/>
      <c r="I888" s="99"/>
      <c r="K888" s="84"/>
      <c r="L888" s="84"/>
      <c r="M888" s="84"/>
      <c r="N888" s="84"/>
      <c r="O888" s="84"/>
      <c r="P888" s="84"/>
      <c r="Q888" s="84"/>
      <c r="R888" s="84"/>
    </row>
    <row r="889" ht="15.75" customHeight="1">
      <c r="A889" s="125"/>
      <c r="B889" s="125"/>
      <c r="C889" s="125"/>
      <c r="D889" s="125"/>
      <c r="E889" s="126"/>
      <c r="F889" s="126"/>
      <c r="G889" s="125"/>
      <c r="H889" s="125"/>
      <c r="I889" s="99"/>
      <c r="K889" s="84"/>
      <c r="L889" s="84"/>
      <c r="M889" s="84"/>
      <c r="N889" s="84"/>
      <c r="O889" s="84"/>
      <c r="P889" s="84"/>
      <c r="Q889" s="84"/>
      <c r="R889" s="84"/>
    </row>
    <row r="890" ht="15.75" customHeight="1">
      <c r="A890" s="125"/>
      <c r="B890" s="125"/>
      <c r="C890" s="125"/>
      <c r="D890" s="125"/>
      <c r="E890" s="126"/>
      <c r="F890" s="126"/>
      <c r="G890" s="125"/>
      <c r="H890" s="125"/>
      <c r="I890" s="99"/>
      <c r="K890" s="84"/>
      <c r="L890" s="84"/>
      <c r="M890" s="84"/>
      <c r="N890" s="84"/>
      <c r="O890" s="84"/>
      <c r="P890" s="84"/>
      <c r="Q890" s="84"/>
      <c r="R890" s="84"/>
    </row>
    <row r="891" ht="15.75" customHeight="1">
      <c r="A891" s="125"/>
      <c r="B891" s="125"/>
      <c r="C891" s="125"/>
      <c r="D891" s="125"/>
      <c r="E891" s="126"/>
      <c r="F891" s="126"/>
      <c r="G891" s="125"/>
      <c r="H891" s="125"/>
      <c r="I891" s="99"/>
      <c r="K891" s="84"/>
      <c r="L891" s="84"/>
      <c r="M891" s="84"/>
      <c r="N891" s="84"/>
      <c r="O891" s="84"/>
      <c r="P891" s="84"/>
      <c r="Q891" s="84"/>
      <c r="R891" s="84"/>
    </row>
    <row r="892" ht="15.75" customHeight="1">
      <c r="A892" s="125"/>
      <c r="B892" s="125"/>
      <c r="C892" s="125"/>
      <c r="D892" s="125"/>
      <c r="E892" s="126"/>
      <c r="F892" s="126"/>
      <c r="G892" s="125"/>
      <c r="H892" s="125"/>
      <c r="I892" s="99"/>
      <c r="K892" s="84"/>
      <c r="L892" s="84"/>
      <c r="M892" s="84"/>
      <c r="N892" s="84"/>
      <c r="O892" s="84"/>
      <c r="P892" s="84"/>
      <c r="Q892" s="84"/>
      <c r="R892" s="84"/>
    </row>
    <row r="893" ht="15.75" customHeight="1">
      <c r="A893" s="125"/>
      <c r="B893" s="125"/>
      <c r="C893" s="125"/>
      <c r="D893" s="125"/>
      <c r="E893" s="126"/>
      <c r="F893" s="126"/>
      <c r="G893" s="125"/>
      <c r="H893" s="125"/>
      <c r="I893" s="99"/>
      <c r="K893" s="84"/>
      <c r="L893" s="84"/>
      <c r="M893" s="84"/>
      <c r="N893" s="84"/>
      <c r="O893" s="84"/>
      <c r="P893" s="84"/>
      <c r="Q893" s="84"/>
      <c r="R893" s="84"/>
    </row>
    <row r="894" ht="15.75" customHeight="1">
      <c r="A894" s="125"/>
      <c r="B894" s="125"/>
      <c r="C894" s="125"/>
      <c r="D894" s="125"/>
      <c r="E894" s="126"/>
      <c r="F894" s="126"/>
      <c r="G894" s="125"/>
      <c r="H894" s="125"/>
      <c r="I894" s="99"/>
      <c r="K894" s="84"/>
      <c r="L894" s="84"/>
      <c r="M894" s="84"/>
      <c r="N894" s="84"/>
      <c r="O894" s="84"/>
      <c r="P894" s="84"/>
      <c r="Q894" s="84"/>
      <c r="R894" s="84"/>
    </row>
    <row r="895" ht="15.75" customHeight="1">
      <c r="A895" s="125"/>
      <c r="B895" s="125"/>
      <c r="C895" s="125"/>
      <c r="D895" s="125"/>
      <c r="E895" s="126"/>
      <c r="F895" s="126"/>
      <c r="G895" s="125"/>
      <c r="H895" s="125"/>
      <c r="I895" s="99"/>
      <c r="K895" s="84"/>
      <c r="L895" s="84"/>
      <c r="M895" s="84"/>
      <c r="N895" s="84"/>
      <c r="O895" s="84"/>
      <c r="P895" s="84"/>
      <c r="Q895" s="84"/>
      <c r="R895" s="84"/>
    </row>
    <row r="896" ht="15.75" customHeight="1">
      <c r="A896" s="125"/>
      <c r="B896" s="125"/>
      <c r="C896" s="125"/>
      <c r="D896" s="125"/>
      <c r="E896" s="126"/>
      <c r="F896" s="126"/>
      <c r="G896" s="125"/>
      <c r="H896" s="125"/>
      <c r="I896" s="99"/>
      <c r="K896" s="84"/>
      <c r="L896" s="84"/>
      <c r="M896" s="84"/>
      <c r="N896" s="84"/>
      <c r="O896" s="84"/>
      <c r="P896" s="84"/>
      <c r="Q896" s="84"/>
      <c r="R896" s="84"/>
    </row>
    <row r="897" ht="15.75" customHeight="1">
      <c r="A897" s="125"/>
      <c r="B897" s="125"/>
      <c r="C897" s="125"/>
      <c r="D897" s="125"/>
      <c r="E897" s="126"/>
      <c r="F897" s="126"/>
      <c r="G897" s="125"/>
      <c r="H897" s="125"/>
      <c r="I897" s="99"/>
      <c r="K897" s="84"/>
      <c r="L897" s="84"/>
      <c r="M897" s="84"/>
      <c r="N897" s="84"/>
      <c r="O897" s="84"/>
      <c r="P897" s="84"/>
      <c r="Q897" s="84"/>
      <c r="R897" s="84"/>
    </row>
    <row r="898" ht="15.75" customHeight="1">
      <c r="A898" s="125"/>
      <c r="B898" s="125"/>
      <c r="C898" s="125"/>
      <c r="D898" s="125"/>
      <c r="E898" s="126"/>
      <c r="F898" s="126"/>
      <c r="G898" s="125"/>
      <c r="H898" s="125"/>
      <c r="I898" s="99"/>
      <c r="K898" s="84"/>
      <c r="L898" s="84"/>
      <c r="M898" s="84"/>
      <c r="N898" s="84"/>
      <c r="O898" s="84"/>
      <c r="P898" s="84"/>
      <c r="Q898" s="84"/>
      <c r="R898" s="84"/>
    </row>
    <row r="899" ht="15.75" customHeight="1">
      <c r="A899" s="125"/>
      <c r="B899" s="125"/>
      <c r="C899" s="125"/>
      <c r="D899" s="125"/>
      <c r="E899" s="126"/>
      <c r="F899" s="126"/>
      <c r="G899" s="125"/>
      <c r="H899" s="125"/>
      <c r="I899" s="99"/>
      <c r="K899" s="84"/>
      <c r="L899" s="84"/>
      <c r="M899" s="84"/>
      <c r="N899" s="84"/>
      <c r="O899" s="84"/>
      <c r="P899" s="84"/>
      <c r="Q899" s="84"/>
      <c r="R899" s="84"/>
    </row>
    <row r="900" ht="15.75" customHeight="1">
      <c r="A900" s="125"/>
      <c r="B900" s="125"/>
      <c r="C900" s="125"/>
      <c r="D900" s="125"/>
      <c r="E900" s="126"/>
      <c r="F900" s="126"/>
      <c r="G900" s="125"/>
      <c r="H900" s="125"/>
      <c r="I900" s="99"/>
      <c r="K900" s="84"/>
      <c r="L900" s="84"/>
      <c r="M900" s="84"/>
      <c r="N900" s="84"/>
      <c r="O900" s="84"/>
      <c r="P900" s="84"/>
      <c r="Q900" s="84"/>
      <c r="R900" s="84"/>
    </row>
    <row r="901" ht="15.75" customHeight="1">
      <c r="A901" s="125"/>
      <c r="B901" s="125"/>
      <c r="C901" s="125"/>
      <c r="D901" s="125"/>
      <c r="E901" s="126"/>
      <c r="F901" s="126"/>
      <c r="G901" s="125"/>
      <c r="H901" s="125"/>
      <c r="I901" s="99"/>
      <c r="K901" s="84"/>
      <c r="L901" s="84"/>
      <c r="M901" s="84"/>
      <c r="N901" s="84"/>
      <c r="O901" s="84"/>
      <c r="P901" s="84"/>
      <c r="Q901" s="84"/>
      <c r="R901" s="84"/>
    </row>
    <row r="902" ht="15.75" customHeight="1">
      <c r="A902" s="125"/>
      <c r="B902" s="125"/>
      <c r="C902" s="125"/>
      <c r="D902" s="125"/>
      <c r="E902" s="126"/>
      <c r="F902" s="126"/>
      <c r="G902" s="125"/>
      <c r="H902" s="125"/>
      <c r="I902" s="99"/>
      <c r="K902" s="84"/>
      <c r="L902" s="84"/>
      <c r="M902" s="84"/>
      <c r="N902" s="84"/>
      <c r="O902" s="84"/>
      <c r="P902" s="84"/>
      <c r="Q902" s="84"/>
      <c r="R902" s="84"/>
    </row>
    <row r="903" ht="15.75" customHeight="1">
      <c r="A903" s="125"/>
      <c r="B903" s="125"/>
      <c r="C903" s="125"/>
      <c r="D903" s="125"/>
      <c r="E903" s="126"/>
      <c r="F903" s="126"/>
      <c r="G903" s="125"/>
      <c r="H903" s="125"/>
      <c r="I903" s="99"/>
      <c r="K903" s="84"/>
      <c r="L903" s="84"/>
      <c r="M903" s="84"/>
      <c r="N903" s="84"/>
      <c r="O903" s="84"/>
      <c r="P903" s="84"/>
      <c r="Q903" s="84"/>
      <c r="R903" s="84"/>
    </row>
    <row r="904" ht="15.75" customHeight="1">
      <c r="A904" s="125"/>
      <c r="B904" s="125"/>
      <c r="C904" s="125"/>
      <c r="D904" s="125"/>
      <c r="E904" s="126"/>
      <c r="F904" s="126"/>
      <c r="G904" s="125"/>
      <c r="H904" s="125"/>
      <c r="I904" s="99"/>
      <c r="K904" s="84"/>
      <c r="L904" s="84"/>
      <c r="M904" s="84"/>
      <c r="N904" s="84"/>
      <c r="O904" s="84"/>
      <c r="P904" s="84"/>
      <c r="Q904" s="84"/>
      <c r="R904" s="84"/>
    </row>
    <row r="905" ht="15.75" customHeight="1">
      <c r="A905" s="125"/>
      <c r="B905" s="125"/>
      <c r="C905" s="125"/>
      <c r="D905" s="125"/>
      <c r="E905" s="126"/>
      <c r="F905" s="126"/>
      <c r="G905" s="125"/>
      <c r="H905" s="125"/>
      <c r="I905" s="99"/>
      <c r="K905" s="84"/>
      <c r="L905" s="84"/>
      <c r="M905" s="84"/>
      <c r="N905" s="84"/>
      <c r="O905" s="84"/>
      <c r="P905" s="84"/>
      <c r="Q905" s="84"/>
      <c r="R905" s="84"/>
    </row>
    <row r="906" ht="15.75" customHeight="1">
      <c r="A906" s="125"/>
      <c r="B906" s="125"/>
      <c r="C906" s="125"/>
      <c r="D906" s="125"/>
      <c r="E906" s="126"/>
      <c r="F906" s="126"/>
      <c r="G906" s="125"/>
      <c r="H906" s="125"/>
      <c r="I906" s="99"/>
      <c r="K906" s="84"/>
      <c r="L906" s="84"/>
      <c r="M906" s="84"/>
      <c r="N906" s="84"/>
      <c r="O906" s="84"/>
      <c r="P906" s="84"/>
      <c r="Q906" s="84"/>
      <c r="R906" s="84"/>
    </row>
    <row r="907" ht="15.75" customHeight="1">
      <c r="A907" s="125"/>
      <c r="B907" s="125"/>
      <c r="C907" s="125"/>
      <c r="D907" s="125"/>
      <c r="E907" s="126"/>
      <c r="F907" s="126"/>
      <c r="G907" s="125"/>
      <c r="H907" s="125"/>
      <c r="I907" s="99"/>
      <c r="K907" s="84"/>
      <c r="L907" s="84"/>
      <c r="M907" s="84"/>
      <c r="N907" s="84"/>
      <c r="O907" s="84"/>
      <c r="P907" s="84"/>
      <c r="Q907" s="84"/>
      <c r="R907" s="84"/>
    </row>
    <row r="908" ht="15.75" customHeight="1">
      <c r="A908" s="125"/>
      <c r="B908" s="125"/>
      <c r="C908" s="125"/>
      <c r="D908" s="125"/>
      <c r="E908" s="126"/>
      <c r="F908" s="126"/>
      <c r="G908" s="125"/>
      <c r="H908" s="125"/>
      <c r="I908" s="99"/>
      <c r="K908" s="84"/>
      <c r="L908" s="84"/>
      <c r="M908" s="84"/>
      <c r="N908" s="84"/>
      <c r="O908" s="84"/>
      <c r="P908" s="84"/>
      <c r="Q908" s="84"/>
      <c r="R908" s="84"/>
    </row>
    <row r="909" ht="15.75" customHeight="1">
      <c r="A909" s="125"/>
      <c r="B909" s="125"/>
      <c r="C909" s="125"/>
      <c r="D909" s="125"/>
      <c r="E909" s="126"/>
      <c r="F909" s="126"/>
      <c r="G909" s="125"/>
      <c r="H909" s="125"/>
      <c r="I909" s="99"/>
      <c r="K909" s="84"/>
      <c r="L909" s="84"/>
      <c r="M909" s="84"/>
      <c r="N909" s="84"/>
      <c r="O909" s="84"/>
      <c r="P909" s="84"/>
      <c r="Q909" s="84"/>
      <c r="R909" s="84"/>
    </row>
    <row r="910" ht="15.75" customHeight="1">
      <c r="A910" s="125"/>
      <c r="B910" s="125"/>
      <c r="C910" s="125"/>
      <c r="D910" s="125"/>
      <c r="E910" s="126"/>
      <c r="F910" s="126"/>
      <c r="G910" s="125"/>
      <c r="H910" s="125"/>
      <c r="I910" s="99"/>
      <c r="K910" s="84"/>
      <c r="L910" s="84"/>
      <c r="M910" s="84"/>
      <c r="N910" s="84"/>
      <c r="O910" s="84"/>
      <c r="P910" s="84"/>
      <c r="Q910" s="84"/>
      <c r="R910" s="84"/>
    </row>
    <row r="911" ht="15.75" customHeight="1">
      <c r="A911" s="125"/>
      <c r="B911" s="125"/>
      <c r="C911" s="125"/>
      <c r="D911" s="125"/>
      <c r="E911" s="126"/>
      <c r="F911" s="126"/>
      <c r="G911" s="125"/>
      <c r="H911" s="125"/>
      <c r="I911" s="99"/>
      <c r="K911" s="84"/>
      <c r="L911" s="84"/>
      <c r="M911" s="84"/>
      <c r="N911" s="84"/>
      <c r="O911" s="84"/>
      <c r="P911" s="84"/>
      <c r="Q911" s="84"/>
      <c r="R911" s="84"/>
    </row>
    <row r="912" ht="15.75" customHeight="1">
      <c r="A912" s="125"/>
      <c r="B912" s="125"/>
      <c r="C912" s="125"/>
      <c r="D912" s="125"/>
      <c r="E912" s="126"/>
      <c r="F912" s="126"/>
      <c r="G912" s="125"/>
      <c r="H912" s="125"/>
      <c r="I912" s="99"/>
      <c r="K912" s="84"/>
      <c r="L912" s="84"/>
      <c r="M912" s="84"/>
      <c r="N912" s="84"/>
      <c r="O912" s="84"/>
      <c r="P912" s="84"/>
      <c r="Q912" s="84"/>
      <c r="R912" s="84"/>
    </row>
    <row r="913" ht="15.75" customHeight="1">
      <c r="A913" s="125"/>
      <c r="B913" s="125"/>
      <c r="C913" s="125"/>
      <c r="D913" s="125"/>
      <c r="E913" s="126"/>
      <c r="F913" s="126"/>
      <c r="G913" s="125"/>
      <c r="H913" s="125"/>
      <c r="I913" s="99"/>
      <c r="K913" s="84"/>
      <c r="L913" s="84"/>
      <c r="M913" s="84"/>
      <c r="N913" s="84"/>
      <c r="O913" s="84"/>
      <c r="P913" s="84"/>
      <c r="Q913" s="84"/>
      <c r="R913" s="84"/>
    </row>
    <row r="914" ht="15.75" customHeight="1">
      <c r="A914" s="125"/>
      <c r="B914" s="125"/>
      <c r="C914" s="125"/>
      <c r="D914" s="125"/>
      <c r="E914" s="126"/>
      <c r="F914" s="126"/>
      <c r="G914" s="125"/>
      <c r="H914" s="125"/>
      <c r="I914" s="99"/>
      <c r="K914" s="84"/>
      <c r="L914" s="84"/>
      <c r="M914" s="84"/>
      <c r="N914" s="84"/>
      <c r="O914" s="84"/>
      <c r="P914" s="84"/>
      <c r="Q914" s="84"/>
      <c r="R914" s="84"/>
    </row>
    <row r="915" ht="15.75" customHeight="1">
      <c r="A915" s="125"/>
      <c r="B915" s="125"/>
      <c r="C915" s="125"/>
      <c r="D915" s="125"/>
      <c r="E915" s="126"/>
      <c r="F915" s="126"/>
      <c r="G915" s="125"/>
      <c r="H915" s="125"/>
      <c r="I915" s="99"/>
      <c r="K915" s="84"/>
      <c r="L915" s="84"/>
      <c r="M915" s="84"/>
      <c r="N915" s="84"/>
      <c r="O915" s="84"/>
      <c r="P915" s="84"/>
      <c r="Q915" s="84"/>
      <c r="R915" s="84"/>
    </row>
    <row r="916" ht="15.75" customHeight="1">
      <c r="A916" s="125"/>
      <c r="B916" s="125"/>
      <c r="C916" s="125"/>
      <c r="D916" s="125"/>
      <c r="E916" s="126"/>
      <c r="F916" s="126"/>
      <c r="G916" s="125"/>
      <c r="H916" s="125"/>
      <c r="I916" s="99"/>
      <c r="K916" s="84"/>
      <c r="L916" s="84"/>
      <c r="M916" s="84"/>
      <c r="N916" s="84"/>
      <c r="O916" s="84"/>
      <c r="P916" s="84"/>
      <c r="Q916" s="84"/>
      <c r="R916" s="84"/>
    </row>
    <row r="917" ht="15.75" customHeight="1">
      <c r="A917" s="125"/>
      <c r="B917" s="125"/>
      <c r="C917" s="125"/>
      <c r="D917" s="125"/>
      <c r="E917" s="126"/>
      <c r="F917" s="126"/>
      <c r="G917" s="125"/>
      <c r="H917" s="125"/>
      <c r="I917" s="99"/>
      <c r="K917" s="84"/>
      <c r="L917" s="84"/>
      <c r="M917" s="84"/>
      <c r="N917" s="84"/>
      <c r="O917" s="84"/>
      <c r="P917" s="84"/>
      <c r="Q917" s="84"/>
      <c r="R917" s="84"/>
    </row>
    <row r="918" ht="15.75" customHeight="1">
      <c r="A918" s="125"/>
      <c r="B918" s="125"/>
      <c r="C918" s="125"/>
      <c r="D918" s="125"/>
      <c r="E918" s="126"/>
      <c r="F918" s="126"/>
      <c r="G918" s="125"/>
      <c r="H918" s="125"/>
      <c r="I918" s="99"/>
      <c r="K918" s="84"/>
      <c r="L918" s="84"/>
      <c r="M918" s="84"/>
      <c r="N918" s="84"/>
      <c r="O918" s="84"/>
      <c r="P918" s="84"/>
      <c r="Q918" s="84"/>
      <c r="R918" s="84"/>
    </row>
    <row r="919" ht="15.75" customHeight="1">
      <c r="A919" s="125"/>
      <c r="B919" s="125"/>
      <c r="C919" s="125"/>
      <c r="D919" s="125"/>
      <c r="E919" s="126"/>
      <c r="F919" s="126"/>
      <c r="G919" s="125"/>
      <c r="H919" s="125"/>
      <c r="I919" s="99"/>
      <c r="K919" s="84"/>
      <c r="L919" s="84"/>
      <c r="M919" s="84"/>
      <c r="N919" s="84"/>
      <c r="O919" s="84"/>
      <c r="P919" s="84"/>
      <c r="Q919" s="84"/>
      <c r="R919" s="84"/>
    </row>
    <row r="920" ht="15.75" customHeight="1">
      <c r="A920" s="125"/>
      <c r="B920" s="125"/>
      <c r="C920" s="125"/>
      <c r="D920" s="125"/>
      <c r="E920" s="126"/>
      <c r="F920" s="126"/>
      <c r="G920" s="125"/>
      <c r="H920" s="125"/>
      <c r="I920" s="99"/>
      <c r="K920" s="84"/>
      <c r="L920" s="84"/>
      <c r="M920" s="84"/>
      <c r="N920" s="84"/>
      <c r="O920" s="84"/>
      <c r="P920" s="84"/>
      <c r="Q920" s="84"/>
      <c r="R920" s="84"/>
    </row>
    <row r="921" ht="15.75" customHeight="1">
      <c r="A921" s="125"/>
      <c r="B921" s="125"/>
      <c r="C921" s="125"/>
      <c r="D921" s="125"/>
      <c r="E921" s="126"/>
      <c r="F921" s="126"/>
      <c r="G921" s="125"/>
      <c r="H921" s="125"/>
      <c r="I921" s="99"/>
      <c r="K921" s="84"/>
      <c r="L921" s="84"/>
      <c r="M921" s="84"/>
      <c r="N921" s="84"/>
      <c r="O921" s="84"/>
      <c r="P921" s="84"/>
      <c r="Q921" s="84"/>
      <c r="R921" s="84"/>
    </row>
    <row r="922" ht="15.75" customHeight="1">
      <c r="A922" s="125"/>
      <c r="B922" s="125"/>
      <c r="C922" s="125"/>
      <c r="D922" s="125"/>
      <c r="E922" s="126"/>
      <c r="F922" s="126"/>
      <c r="G922" s="125"/>
      <c r="H922" s="125"/>
      <c r="I922" s="99"/>
      <c r="K922" s="84"/>
      <c r="L922" s="84"/>
      <c r="M922" s="84"/>
      <c r="N922" s="84"/>
      <c r="O922" s="84"/>
      <c r="P922" s="84"/>
      <c r="Q922" s="84"/>
      <c r="R922" s="84"/>
    </row>
    <row r="923" ht="15.75" customHeight="1">
      <c r="A923" s="125"/>
      <c r="B923" s="125"/>
      <c r="C923" s="125"/>
      <c r="D923" s="125"/>
      <c r="E923" s="126"/>
      <c r="F923" s="126"/>
      <c r="G923" s="125"/>
      <c r="H923" s="125"/>
      <c r="I923" s="99"/>
      <c r="K923" s="84"/>
      <c r="L923" s="84"/>
      <c r="M923" s="84"/>
      <c r="N923" s="84"/>
      <c r="O923" s="84"/>
      <c r="P923" s="84"/>
      <c r="Q923" s="84"/>
      <c r="R923" s="84"/>
    </row>
    <row r="924" ht="15.75" customHeight="1">
      <c r="A924" s="125"/>
      <c r="B924" s="125"/>
      <c r="C924" s="125"/>
      <c r="D924" s="125"/>
      <c r="E924" s="126"/>
      <c r="F924" s="126"/>
      <c r="G924" s="125"/>
      <c r="H924" s="125"/>
      <c r="I924" s="99"/>
      <c r="K924" s="84"/>
      <c r="L924" s="84"/>
      <c r="M924" s="84"/>
      <c r="N924" s="84"/>
      <c r="O924" s="84"/>
      <c r="P924" s="84"/>
      <c r="Q924" s="84"/>
      <c r="R924" s="84"/>
    </row>
    <row r="925" ht="15.75" customHeight="1">
      <c r="A925" s="125"/>
      <c r="B925" s="125"/>
      <c r="C925" s="125"/>
      <c r="D925" s="125"/>
      <c r="E925" s="126"/>
      <c r="F925" s="126"/>
      <c r="G925" s="125"/>
      <c r="H925" s="125"/>
      <c r="I925" s="99"/>
      <c r="K925" s="84"/>
      <c r="L925" s="84"/>
      <c r="M925" s="84"/>
      <c r="N925" s="84"/>
      <c r="O925" s="84"/>
      <c r="P925" s="84"/>
      <c r="Q925" s="84"/>
      <c r="R925" s="84"/>
    </row>
    <row r="926" ht="15.75" customHeight="1">
      <c r="A926" s="125"/>
      <c r="B926" s="125"/>
      <c r="C926" s="125"/>
      <c r="D926" s="125"/>
      <c r="E926" s="126"/>
      <c r="F926" s="126"/>
      <c r="G926" s="125"/>
      <c r="H926" s="125"/>
      <c r="I926" s="99"/>
      <c r="K926" s="84"/>
      <c r="L926" s="84"/>
      <c r="M926" s="84"/>
      <c r="N926" s="84"/>
      <c r="O926" s="84"/>
      <c r="P926" s="84"/>
      <c r="Q926" s="84"/>
      <c r="R926" s="84"/>
    </row>
    <row r="927" ht="15.75" customHeight="1">
      <c r="A927" s="125"/>
      <c r="B927" s="125"/>
      <c r="C927" s="125"/>
      <c r="D927" s="125"/>
      <c r="E927" s="126"/>
      <c r="F927" s="126"/>
      <c r="G927" s="125"/>
      <c r="H927" s="125"/>
      <c r="I927" s="99"/>
      <c r="K927" s="84"/>
      <c r="L927" s="84"/>
      <c r="M927" s="84"/>
      <c r="N927" s="84"/>
      <c r="O927" s="84"/>
      <c r="P927" s="84"/>
      <c r="Q927" s="84"/>
      <c r="R927" s="84"/>
    </row>
    <row r="928" ht="15.75" customHeight="1">
      <c r="A928" s="125"/>
      <c r="B928" s="125"/>
      <c r="C928" s="125"/>
      <c r="D928" s="125"/>
      <c r="E928" s="126"/>
      <c r="F928" s="126"/>
      <c r="G928" s="125"/>
      <c r="H928" s="125"/>
      <c r="I928" s="99"/>
      <c r="K928" s="84"/>
      <c r="L928" s="84"/>
      <c r="M928" s="84"/>
      <c r="N928" s="84"/>
      <c r="O928" s="84"/>
      <c r="P928" s="84"/>
      <c r="Q928" s="84"/>
      <c r="R928" s="84"/>
    </row>
    <row r="929" ht="15.75" customHeight="1">
      <c r="A929" s="125"/>
      <c r="B929" s="125"/>
      <c r="C929" s="125"/>
      <c r="D929" s="125"/>
      <c r="E929" s="126"/>
      <c r="F929" s="126"/>
      <c r="G929" s="125"/>
      <c r="H929" s="125"/>
      <c r="I929" s="99"/>
      <c r="K929" s="84"/>
      <c r="L929" s="84"/>
      <c r="M929" s="84"/>
      <c r="N929" s="84"/>
      <c r="O929" s="84"/>
      <c r="P929" s="84"/>
      <c r="Q929" s="84"/>
      <c r="R929" s="84"/>
    </row>
    <row r="930" ht="15.75" customHeight="1">
      <c r="A930" s="125"/>
      <c r="B930" s="125"/>
      <c r="C930" s="125"/>
      <c r="D930" s="125"/>
      <c r="E930" s="126"/>
      <c r="F930" s="126"/>
      <c r="G930" s="125"/>
      <c r="H930" s="125"/>
      <c r="I930" s="99"/>
      <c r="K930" s="84"/>
      <c r="L930" s="84"/>
      <c r="M930" s="84"/>
      <c r="N930" s="84"/>
      <c r="O930" s="84"/>
      <c r="P930" s="84"/>
      <c r="Q930" s="84"/>
      <c r="R930" s="84"/>
    </row>
    <row r="931" ht="15.75" customHeight="1">
      <c r="A931" s="125"/>
      <c r="B931" s="125"/>
      <c r="C931" s="125"/>
      <c r="D931" s="125"/>
      <c r="E931" s="126"/>
      <c r="F931" s="126"/>
      <c r="G931" s="125"/>
      <c r="H931" s="125"/>
      <c r="I931" s="99"/>
      <c r="K931" s="84"/>
      <c r="L931" s="84"/>
      <c r="M931" s="84"/>
      <c r="N931" s="84"/>
      <c r="O931" s="84"/>
      <c r="P931" s="84"/>
      <c r="Q931" s="84"/>
      <c r="R931" s="84"/>
    </row>
    <row r="932" ht="15.75" customHeight="1">
      <c r="A932" s="125"/>
      <c r="B932" s="125"/>
      <c r="C932" s="125"/>
      <c r="D932" s="125"/>
      <c r="E932" s="126"/>
      <c r="F932" s="126"/>
      <c r="G932" s="125"/>
      <c r="H932" s="125"/>
      <c r="I932" s="99"/>
      <c r="K932" s="84"/>
      <c r="L932" s="84"/>
      <c r="M932" s="84"/>
      <c r="N932" s="84"/>
      <c r="O932" s="84"/>
      <c r="P932" s="84"/>
      <c r="Q932" s="84"/>
      <c r="R932" s="84"/>
    </row>
    <row r="933" ht="15.75" customHeight="1">
      <c r="A933" s="125"/>
      <c r="B933" s="125"/>
      <c r="C933" s="125"/>
      <c r="D933" s="125"/>
      <c r="E933" s="126"/>
      <c r="F933" s="126"/>
      <c r="G933" s="125"/>
      <c r="H933" s="125"/>
      <c r="I933" s="99"/>
      <c r="K933" s="84"/>
      <c r="L933" s="122"/>
      <c r="M933" s="84"/>
      <c r="N933" s="84"/>
      <c r="O933" s="84"/>
      <c r="P933" s="84"/>
      <c r="Q933" s="84"/>
      <c r="R933" s="84"/>
    </row>
    <row r="934" ht="15.75" customHeight="1">
      <c r="A934" s="125"/>
      <c r="B934" s="125"/>
      <c r="C934" s="125"/>
      <c r="D934" s="125"/>
      <c r="E934" s="126"/>
      <c r="F934" s="126"/>
      <c r="G934" s="125"/>
      <c r="H934" s="125"/>
      <c r="I934" s="99"/>
      <c r="K934" s="84"/>
      <c r="L934" s="122"/>
      <c r="M934" s="84"/>
      <c r="N934" s="84"/>
      <c r="O934" s="84"/>
      <c r="P934" s="84"/>
      <c r="Q934" s="84"/>
      <c r="R934" s="84"/>
    </row>
    <row r="935" ht="15.75" customHeight="1">
      <c r="A935" s="125"/>
      <c r="B935" s="125"/>
      <c r="C935" s="125"/>
      <c r="D935" s="125"/>
      <c r="E935" s="126"/>
      <c r="F935" s="126"/>
      <c r="G935" s="125"/>
      <c r="H935" s="125"/>
      <c r="I935" s="99"/>
      <c r="K935" s="84"/>
      <c r="L935" s="122"/>
      <c r="M935" s="84"/>
      <c r="N935" s="84"/>
      <c r="O935" s="84"/>
      <c r="P935" s="84"/>
      <c r="Q935" s="84"/>
      <c r="R935" s="84"/>
    </row>
    <row r="936" ht="15.75" customHeight="1">
      <c r="A936" s="125"/>
      <c r="B936" s="125"/>
      <c r="C936" s="125"/>
      <c r="D936" s="125"/>
      <c r="E936" s="126"/>
      <c r="F936" s="126"/>
      <c r="G936" s="125"/>
      <c r="H936" s="125"/>
      <c r="I936" s="99"/>
      <c r="K936" s="84"/>
      <c r="L936" s="122"/>
      <c r="M936" s="84"/>
      <c r="N936" s="84"/>
      <c r="O936" s="84"/>
      <c r="P936" s="84"/>
      <c r="Q936" s="84"/>
      <c r="R936" s="84"/>
    </row>
    <row r="937" ht="15.75" customHeight="1">
      <c r="A937" s="125"/>
      <c r="B937" s="125"/>
      <c r="C937" s="125"/>
      <c r="D937" s="125"/>
      <c r="E937" s="126"/>
      <c r="F937" s="126"/>
      <c r="G937" s="125"/>
      <c r="H937" s="125"/>
      <c r="I937" s="99"/>
      <c r="K937" s="84"/>
      <c r="L937" s="122"/>
      <c r="M937" s="84"/>
      <c r="N937" s="84"/>
      <c r="O937" s="84"/>
      <c r="P937" s="84"/>
      <c r="Q937" s="84"/>
      <c r="R937" s="84"/>
    </row>
    <row r="938" ht="15.75" customHeight="1">
      <c r="A938" s="125"/>
      <c r="B938" s="125"/>
      <c r="C938" s="125"/>
      <c r="D938" s="125"/>
      <c r="E938" s="126"/>
      <c r="F938" s="126"/>
      <c r="G938" s="125"/>
      <c r="H938" s="125"/>
      <c r="I938" s="99"/>
      <c r="K938" s="84"/>
      <c r="L938" s="122"/>
      <c r="M938" s="84"/>
      <c r="N938" s="84"/>
      <c r="O938" s="84"/>
      <c r="P938" s="84"/>
      <c r="Q938" s="84"/>
      <c r="R938" s="84"/>
    </row>
    <row r="939" ht="15.75" customHeight="1">
      <c r="A939" s="125"/>
      <c r="B939" s="125"/>
      <c r="C939" s="125"/>
      <c r="D939" s="125"/>
      <c r="E939" s="126"/>
      <c r="F939" s="126"/>
      <c r="G939" s="125"/>
      <c r="H939" s="125"/>
      <c r="I939" s="99"/>
      <c r="K939" s="84"/>
      <c r="L939" s="122"/>
      <c r="M939" s="84"/>
      <c r="N939" s="84"/>
      <c r="O939" s="84"/>
      <c r="P939" s="84"/>
      <c r="Q939" s="84"/>
      <c r="R939" s="84"/>
    </row>
    <row r="940" ht="15.75" customHeight="1">
      <c r="A940" s="125"/>
      <c r="B940" s="125"/>
      <c r="C940" s="125"/>
      <c r="D940" s="125"/>
      <c r="E940" s="126"/>
      <c r="F940" s="126"/>
      <c r="G940" s="125"/>
      <c r="H940" s="125"/>
      <c r="I940" s="99"/>
      <c r="K940" s="84"/>
      <c r="L940" s="122"/>
      <c r="M940" s="84"/>
      <c r="N940" s="84"/>
      <c r="O940" s="84"/>
      <c r="P940" s="84"/>
      <c r="Q940" s="84"/>
      <c r="R940" s="84"/>
    </row>
    <row r="941" ht="15.75" customHeight="1">
      <c r="A941" s="125"/>
      <c r="B941" s="125"/>
      <c r="C941" s="125"/>
      <c r="D941" s="125"/>
      <c r="E941" s="126"/>
      <c r="F941" s="126"/>
      <c r="G941" s="125"/>
      <c r="H941" s="125"/>
      <c r="I941" s="99"/>
      <c r="K941" s="84"/>
      <c r="L941" s="122"/>
      <c r="M941" s="84"/>
      <c r="N941" s="84"/>
      <c r="O941" s="84"/>
      <c r="P941" s="84"/>
      <c r="Q941" s="84"/>
      <c r="R941" s="84"/>
    </row>
    <row r="942" ht="15.75" customHeight="1">
      <c r="A942" s="125"/>
      <c r="B942" s="125"/>
      <c r="C942" s="125"/>
      <c r="D942" s="125"/>
      <c r="E942" s="126"/>
      <c r="F942" s="126"/>
      <c r="G942" s="125"/>
      <c r="H942" s="125"/>
      <c r="I942" s="99"/>
      <c r="K942" s="84"/>
      <c r="L942" s="122"/>
      <c r="M942" s="84"/>
      <c r="N942" s="84"/>
      <c r="O942" s="84"/>
      <c r="P942" s="84"/>
      <c r="Q942" s="84"/>
      <c r="R942" s="84"/>
    </row>
    <row r="943" ht="15.75" customHeight="1">
      <c r="A943" s="125"/>
      <c r="B943" s="125"/>
      <c r="C943" s="125"/>
      <c r="D943" s="125"/>
      <c r="E943" s="126"/>
      <c r="F943" s="126"/>
      <c r="G943" s="125"/>
      <c r="H943" s="125"/>
      <c r="I943" s="99"/>
      <c r="K943" s="84"/>
      <c r="L943" s="84"/>
      <c r="M943" s="84"/>
      <c r="N943" s="84"/>
      <c r="O943" s="84"/>
      <c r="P943" s="84"/>
      <c r="Q943" s="84"/>
      <c r="R943" s="84"/>
    </row>
    <row r="944" ht="15.75" customHeight="1">
      <c r="A944" s="125"/>
      <c r="B944" s="125"/>
      <c r="C944" s="125"/>
      <c r="D944" s="125"/>
      <c r="E944" s="126"/>
      <c r="F944" s="126"/>
      <c r="G944" s="125"/>
      <c r="H944" s="125"/>
      <c r="I944" s="99"/>
      <c r="K944" s="122"/>
      <c r="L944" s="84"/>
      <c r="M944" s="122"/>
      <c r="N944" s="122"/>
      <c r="O944" s="122"/>
      <c r="P944" s="122"/>
      <c r="Q944" s="122"/>
      <c r="R944" s="122"/>
    </row>
    <row r="945" ht="15.75" customHeight="1">
      <c r="A945" s="125"/>
      <c r="B945" s="125"/>
      <c r="C945" s="125"/>
      <c r="D945" s="125"/>
      <c r="E945" s="126"/>
      <c r="F945" s="126"/>
      <c r="G945" s="125"/>
      <c r="H945" s="125"/>
      <c r="I945" s="99"/>
      <c r="K945" s="122"/>
      <c r="L945" s="84"/>
      <c r="M945" s="122"/>
      <c r="N945" s="122"/>
      <c r="O945" s="122"/>
      <c r="P945" s="122"/>
      <c r="Q945" s="122"/>
      <c r="R945" s="122"/>
    </row>
    <row r="946" ht="15.75" customHeight="1">
      <c r="A946" s="125"/>
      <c r="B946" s="125"/>
      <c r="C946" s="125"/>
      <c r="D946" s="125"/>
      <c r="E946" s="126"/>
      <c r="F946" s="126"/>
      <c r="G946" s="125"/>
      <c r="H946" s="125"/>
      <c r="I946" s="99"/>
      <c r="K946" s="122"/>
      <c r="L946" s="84"/>
      <c r="M946" s="122"/>
      <c r="N946" s="122"/>
      <c r="O946" s="122"/>
      <c r="P946" s="122"/>
      <c r="Q946" s="122"/>
      <c r="R946" s="122"/>
    </row>
    <row r="947" ht="15.75" customHeight="1">
      <c r="A947" s="125"/>
      <c r="B947" s="125"/>
      <c r="C947" s="125"/>
      <c r="D947" s="125"/>
      <c r="E947" s="126"/>
      <c r="F947" s="126"/>
      <c r="G947" s="125"/>
      <c r="H947" s="125"/>
      <c r="I947" s="99"/>
      <c r="K947" s="122"/>
      <c r="L947" s="84"/>
      <c r="M947" s="122"/>
      <c r="N947" s="122"/>
      <c r="O947" s="122"/>
      <c r="P947" s="122"/>
      <c r="Q947" s="122"/>
      <c r="R947" s="122"/>
    </row>
    <row r="948" ht="15.75" customHeight="1">
      <c r="A948" s="125"/>
      <c r="B948" s="125"/>
      <c r="C948" s="125"/>
      <c r="D948" s="125"/>
      <c r="E948" s="126"/>
      <c r="F948" s="126"/>
      <c r="G948" s="125"/>
      <c r="H948" s="125"/>
      <c r="I948" s="99"/>
      <c r="K948" s="122"/>
      <c r="L948" s="84"/>
      <c r="M948" s="122"/>
      <c r="N948" s="122"/>
      <c r="O948" s="122"/>
      <c r="P948" s="122"/>
      <c r="Q948" s="122"/>
      <c r="R948" s="122"/>
    </row>
    <row r="949" ht="15.75" customHeight="1">
      <c r="A949" s="125"/>
      <c r="B949" s="125"/>
      <c r="C949" s="125"/>
      <c r="D949" s="125"/>
      <c r="E949" s="126"/>
      <c r="F949" s="126"/>
      <c r="G949" s="125"/>
      <c r="H949" s="125"/>
      <c r="I949" s="99"/>
      <c r="K949" s="122"/>
      <c r="L949" s="84"/>
      <c r="M949" s="122"/>
      <c r="N949" s="122"/>
      <c r="O949" s="122"/>
      <c r="P949" s="122"/>
      <c r="Q949" s="122"/>
      <c r="R949" s="122"/>
    </row>
    <row r="950" ht="15.75" customHeight="1">
      <c r="A950" s="125"/>
      <c r="B950" s="125"/>
      <c r="C950" s="125"/>
      <c r="D950" s="125"/>
      <c r="E950" s="126"/>
      <c r="F950" s="126"/>
      <c r="G950" s="125"/>
      <c r="H950" s="125"/>
      <c r="I950" s="99"/>
      <c r="K950" s="122"/>
      <c r="L950" s="84"/>
      <c r="M950" s="122"/>
      <c r="N950" s="122"/>
      <c r="O950" s="122"/>
      <c r="P950" s="122"/>
      <c r="Q950" s="122"/>
      <c r="R950" s="122"/>
    </row>
    <row r="951" ht="15.75" customHeight="1">
      <c r="A951" s="125"/>
      <c r="B951" s="125"/>
      <c r="C951" s="125"/>
      <c r="D951" s="125"/>
      <c r="E951" s="126"/>
      <c r="F951" s="126"/>
      <c r="G951" s="125"/>
      <c r="H951" s="125"/>
      <c r="I951" s="99"/>
      <c r="K951" s="122"/>
      <c r="L951" s="84"/>
      <c r="M951" s="122"/>
      <c r="N951" s="122"/>
      <c r="O951" s="122"/>
      <c r="P951" s="122"/>
      <c r="Q951" s="122"/>
      <c r="R951" s="122"/>
    </row>
    <row r="952" ht="15.75" customHeight="1">
      <c r="A952" s="125"/>
      <c r="B952" s="125"/>
      <c r="C952" s="125"/>
      <c r="D952" s="125"/>
      <c r="E952" s="126"/>
      <c r="F952" s="126"/>
      <c r="G952" s="125"/>
      <c r="H952" s="125"/>
      <c r="I952" s="99"/>
      <c r="K952" s="122"/>
      <c r="L952" s="84"/>
      <c r="M952" s="122"/>
      <c r="N952" s="122"/>
      <c r="O952" s="122"/>
      <c r="P952" s="122"/>
      <c r="Q952" s="122"/>
      <c r="R952" s="122"/>
    </row>
    <row r="953" ht="15.75" customHeight="1">
      <c r="A953" s="125"/>
      <c r="B953" s="125"/>
      <c r="C953" s="125"/>
      <c r="D953" s="125"/>
      <c r="E953" s="126"/>
      <c r="F953" s="126"/>
      <c r="G953" s="125"/>
      <c r="H953" s="125"/>
      <c r="I953" s="99"/>
      <c r="K953" s="122"/>
      <c r="L953" s="84"/>
      <c r="M953" s="122"/>
      <c r="N953" s="122"/>
      <c r="O953" s="122"/>
      <c r="P953" s="122"/>
      <c r="Q953" s="122"/>
      <c r="R953" s="122"/>
    </row>
    <row r="954" ht="15.75" customHeight="1">
      <c r="A954" s="125"/>
      <c r="B954" s="125"/>
      <c r="C954" s="125"/>
      <c r="D954" s="125"/>
      <c r="E954" s="126"/>
      <c r="F954" s="126"/>
      <c r="G954" s="125"/>
      <c r="H954" s="125"/>
      <c r="I954" s="99"/>
      <c r="K954" s="84"/>
      <c r="L954" s="84"/>
      <c r="M954" s="84"/>
      <c r="N954" s="84"/>
      <c r="O954" s="84"/>
      <c r="P954" s="84"/>
      <c r="Q954" s="84"/>
      <c r="R954" s="84"/>
    </row>
    <row r="955" ht="15.75" customHeight="1">
      <c r="A955" s="125"/>
      <c r="B955" s="125"/>
      <c r="C955" s="125"/>
      <c r="D955" s="125"/>
      <c r="E955" s="126"/>
      <c r="F955" s="126"/>
      <c r="G955" s="125"/>
      <c r="H955" s="125"/>
      <c r="I955" s="99"/>
      <c r="K955" s="84"/>
      <c r="L955" s="84"/>
      <c r="M955" s="84"/>
      <c r="N955" s="84"/>
      <c r="O955" s="84"/>
      <c r="P955" s="84"/>
      <c r="Q955" s="84"/>
      <c r="R955" s="84"/>
    </row>
    <row r="956" ht="15.75" customHeight="1">
      <c r="A956" s="125"/>
      <c r="B956" s="125"/>
      <c r="C956" s="125"/>
      <c r="D956" s="125"/>
      <c r="E956" s="126"/>
      <c r="F956" s="126"/>
      <c r="G956" s="125"/>
      <c r="H956" s="125"/>
      <c r="I956" s="99"/>
      <c r="K956" s="84"/>
      <c r="L956" s="84"/>
      <c r="M956" s="84"/>
      <c r="N956" s="84"/>
      <c r="O956" s="84"/>
      <c r="P956" s="84"/>
      <c r="Q956" s="84"/>
      <c r="R956" s="84"/>
    </row>
    <row r="957" ht="15.75" customHeight="1">
      <c r="A957" s="125"/>
      <c r="B957" s="125"/>
      <c r="C957" s="125"/>
      <c r="D957" s="125"/>
      <c r="E957" s="126"/>
      <c r="F957" s="126"/>
      <c r="G957" s="125"/>
      <c r="H957" s="125"/>
      <c r="I957" s="99"/>
      <c r="K957" s="84"/>
      <c r="L957" s="84"/>
      <c r="M957" s="84"/>
      <c r="N957" s="84"/>
      <c r="O957" s="84"/>
      <c r="P957" s="84"/>
      <c r="Q957" s="84"/>
      <c r="R957" s="84"/>
    </row>
    <row r="958" ht="15.75" customHeight="1">
      <c r="A958" s="125"/>
      <c r="B958" s="125"/>
      <c r="C958" s="125"/>
      <c r="D958" s="125"/>
      <c r="E958" s="126"/>
      <c r="F958" s="126"/>
      <c r="G958" s="125"/>
      <c r="H958" s="125"/>
      <c r="I958" s="99"/>
      <c r="K958" s="84"/>
      <c r="L958" s="84"/>
      <c r="M958" s="84"/>
      <c r="N958" s="84"/>
      <c r="O958" s="84"/>
      <c r="P958" s="84"/>
      <c r="Q958" s="84"/>
      <c r="R958" s="84"/>
    </row>
    <row r="959" ht="15.75" customHeight="1">
      <c r="A959" s="125"/>
      <c r="B959" s="125"/>
      <c r="C959" s="125"/>
      <c r="D959" s="125"/>
      <c r="E959" s="126"/>
      <c r="F959" s="126"/>
      <c r="G959" s="125"/>
      <c r="H959" s="125"/>
      <c r="I959" s="99"/>
      <c r="K959" s="84"/>
      <c r="L959" s="84"/>
      <c r="M959" s="84"/>
      <c r="N959" s="84"/>
      <c r="O959" s="84"/>
      <c r="P959" s="84"/>
      <c r="Q959" s="84"/>
      <c r="R959" s="84"/>
    </row>
    <row r="960" ht="15.75" customHeight="1">
      <c r="A960" s="125"/>
      <c r="B960" s="125"/>
      <c r="C960" s="125"/>
      <c r="D960" s="125"/>
      <c r="E960" s="126"/>
      <c r="F960" s="126"/>
      <c r="G960" s="125"/>
      <c r="H960" s="125"/>
      <c r="I960" s="99"/>
      <c r="K960" s="84"/>
      <c r="L960" s="84"/>
      <c r="M960" s="84"/>
      <c r="N960" s="84"/>
      <c r="O960" s="84"/>
      <c r="P960" s="84"/>
      <c r="Q960" s="84"/>
      <c r="R960" s="84"/>
    </row>
    <row r="961" ht="15.75" customHeight="1">
      <c r="A961" s="125"/>
      <c r="B961" s="125"/>
      <c r="C961" s="125"/>
      <c r="D961" s="125"/>
      <c r="E961" s="126"/>
      <c r="F961" s="126"/>
      <c r="G961" s="125"/>
      <c r="H961" s="125"/>
      <c r="I961" s="99"/>
      <c r="K961" s="84"/>
      <c r="L961" s="84"/>
      <c r="M961" s="84"/>
      <c r="N961" s="84"/>
      <c r="O961" s="84"/>
      <c r="P961" s="84"/>
      <c r="Q961" s="84"/>
      <c r="R961" s="84"/>
    </row>
    <row r="962" ht="15.75" customHeight="1">
      <c r="A962" s="125"/>
      <c r="B962" s="125"/>
      <c r="C962" s="125"/>
      <c r="D962" s="125"/>
      <c r="E962" s="126"/>
      <c r="F962" s="126"/>
      <c r="G962" s="125"/>
      <c r="H962" s="125"/>
      <c r="I962" s="99"/>
      <c r="K962" s="84"/>
      <c r="L962" s="84"/>
      <c r="M962" s="84"/>
      <c r="N962" s="84"/>
      <c r="O962" s="84"/>
      <c r="P962" s="84"/>
      <c r="Q962" s="84"/>
      <c r="R962" s="84"/>
    </row>
    <row r="963" ht="15.75" customHeight="1">
      <c r="A963" s="125"/>
      <c r="B963" s="125"/>
      <c r="C963" s="125"/>
      <c r="D963" s="125"/>
      <c r="E963" s="126"/>
      <c r="F963" s="126"/>
      <c r="G963" s="125"/>
      <c r="H963" s="125"/>
      <c r="I963" s="99"/>
      <c r="K963" s="84"/>
      <c r="L963" s="84"/>
      <c r="M963" s="84"/>
      <c r="N963" s="84"/>
      <c r="O963" s="84"/>
      <c r="P963" s="84"/>
      <c r="Q963" s="84"/>
      <c r="R963" s="84"/>
    </row>
    <row r="964" ht="15.75" customHeight="1">
      <c r="A964" s="125"/>
      <c r="B964" s="125"/>
      <c r="C964" s="125"/>
      <c r="D964" s="125"/>
      <c r="E964" s="126"/>
      <c r="F964" s="126"/>
      <c r="G964" s="125"/>
      <c r="H964" s="125"/>
      <c r="I964" s="99"/>
      <c r="K964" s="84"/>
      <c r="L964" s="84"/>
      <c r="M964" s="84"/>
      <c r="N964" s="84"/>
      <c r="O964" s="84"/>
      <c r="P964" s="84"/>
      <c r="Q964" s="84"/>
      <c r="R964" s="84"/>
    </row>
    <row r="965" ht="15.75" customHeight="1">
      <c r="A965" s="125"/>
      <c r="B965" s="125"/>
      <c r="C965" s="125"/>
      <c r="D965" s="125"/>
      <c r="E965" s="126"/>
      <c r="F965" s="126"/>
      <c r="G965" s="125"/>
      <c r="H965" s="125"/>
      <c r="I965" s="99"/>
      <c r="K965" s="84"/>
      <c r="L965" s="84"/>
      <c r="M965" s="84"/>
      <c r="N965" s="84"/>
      <c r="O965" s="84"/>
      <c r="P965" s="84"/>
      <c r="Q965" s="84"/>
      <c r="R965" s="84"/>
    </row>
    <row r="966" ht="15.75" customHeight="1">
      <c r="A966" s="125"/>
      <c r="B966" s="125"/>
      <c r="C966" s="125"/>
      <c r="D966" s="125"/>
      <c r="E966" s="126"/>
      <c r="F966" s="126"/>
      <c r="G966" s="125"/>
      <c r="H966" s="125"/>
      <c r="I966" s="99"/>
      <c r="K966" s="84"/>
      <c r="L966" s="84"/>
      <c r="M966" s="84"/>
      <c r="N966" s="84"/>
      <c r="O966" s="84"/>
      <c r="P966" s="84"/>
      <c r="Q966" s="84"/>
      <c r="R966" s="84"/>
    </row>
    <row r="967" ht="15.75" customHeight="1">
      <c r="A967" s="125"/>
      <c r="B967" s="125"/>
      <c r="C967" s="125"/>
      <c r="D967" s="125"/>
      <c r="E967" s="126"/>
      <c r="F967" s="126"/>
      <c r="G967" s="125"/>
      <c r="H967" s="125"/>
      <c r="I967" s="99"/>
      <c r="K967" s="84"/>
      <c r="L967" s="84"/>
      <c r="M967" s="84"/>
      <c r="N967" s="84"/>
      <c r="O967" s="84"/>
      <c r="P967" s="84"/>
      <c r="Q967" s="84"/>
      <c r="R967" s="84"/>
    </row>
    <row r="968" ht="15.75" customHeight="1">
      <c r="A968" s="125"/>
      <c r="B968" s="125"/>
      <c r="C968" s="125"/>
      <c r="D968" s="125"/>
      <c r="E968" s="126"/>
      <c r="F968" s="126"/>
      <c r="G968" s="125"/>
      <c r="H968" s="125"/>
      <c r="I968" s="99"/>
      <c r="K968" s="84"/>
      <c r="L968" s="84"/>
      <c r="M968" s="84"/>
      <c r="N968" s="84"/>
      <c r="O968" s="84"/>
      <c r="P968" s="84"/>
      <c r="Q968" s="84"/>
      <c r="R968" s="84"/>
    </row>
    <row r="969" ht="15.75" customHeight="1">
      <c r="A969" s="125"/>
      <c r="B969" s="125"/>
      <c r="C969" s="125"/>
      <c r="D969" s="125"/>
      <c r="E969" s="126"/>
      <c r="F969" s="126"/>
      <c r="G969" s="125"/>
      <c r="H969" s="125"/>
      <c r="I969" s="99"/>
      <c r="K969" s="84"/>
      <c r="L969" s="84"/>
      <c r="M969" s="84"/>
      <c r="N969" s="84"/>
      <c r="O969" s="84"/>
      <c r="P969" s="84"/>
      <c r="Q969" s="84"/>
      <c r="R969" s="84"/>
    </row>
    <row r="970" ht="15.75" customHeight="1">
      <c r="A970" s="125"/>
      <c r="B970" s="125"/>
      <c r="C970" s="125"/>
      <c r="D970" s="125"/>
      <c r="E970" s="126"/>
      <c r="F970" s="126"/>
      <c r="G970" s="125"/>
      <c r="H970" s="125"/>
      <c r="I970" s="99"/>
      <c r="K970" s="84"/>
      <c r="L970" s="84"/>
      <c r="M970" s="84"/>
      <c r="N970" s="84"/>
      <c r="O970" s="84"/>
      <c r="P970" s="84"/>
      <c r="Q970" s="84"/>
      <c r="R970" s="84"/>
    </row>
    <row r="971" ht="15.75" customHeight="1">
      <c r="A971" s="125"/>
      <c r="B971" s="125"/>
      <c r="C971" s="125"/>
      <c r="D971" s="125"/>
      <c r="E971" s="126"/>
      <c r="F971" s="126"/>
      <c r="G971" s="125"/>
      <c r="H971" s="125"/>
      <c r="I971" s="99"/>
      <c r="K971" s="84"/>
      <c r="L971" s="84"/>
      <c r="M971" s="84"/>
      <c r="N971" s="84"/>
      <c r="O971" s="84"/>
      <c r="P971" s="84"/>
      <c r="Q971" s="84"/>
      <c r="R971" s="84"/>
    </row>
    <row r="972" ht="15.75" customHeight="1">
      <c r="A972" s="125"/>
      <c r="B972" s="125"/>
      <c r="C972" s="125"/>
      <c r="D972" s="125"/>
      <c r="E972" s="126"/>
      <c r="F972" s="126"/>
      <c r="G972" s="125"/>
      <c r="H972" s="125"/>
      <c r="I972" s="99"/>
      <c r="K972" s="84"/>
      <c r="L972" s="84"/>
      <c r="M972" s="84"/>
      <c r="N972" s="84"/>
      <c r="O972" s="84"/>
      <c r="P972" s="84"/>
      <c r="Q972" s="84"/>
      <c r="R972" s="84"/>
    </row>
    <row r="973" ht="15.75" customHeight="1">
      <c r="A973" s="125"/>
      <c r="B973" s="125"/>
      <c r="C973" s="125"/>
      <c r="D973" s="125"/>
      <c r="E973" s="126"/>
      <c r="F973" s="126"/>
      <c r="G973" s="125"/>
      <c r="H973" s="125"/>
      <c r="I973" s="99"/>
      <c r="K973" s="84"/>
      <c r="L973" s="84"/>
      <c r="M973" s="84"/>
      <c r="N973" s="84"/>
      <c r="O973" s="84"/>
      <c r="P973" s="84"/>
      <c r="Q973" s="84"/>
      <c r="R973" s="84"/>
    </row>
    <row r="974" ht="15.75" customHeight="1">
      <c r="A974" s="125"/>
      <c r="B974" s="125"/>
      <c r="C974" s="125"/>
      <c r="D974" s="125"/>
      <c r="E974" s="126"/>
      <c r="F974" s="126"/>
      <c r="G974" s="125"/>
      <c r="H974" s="125"/>
      <c r="I974" s="99"/>
      <c r="K974" s="84"/>
      <c r="L974" s="84"/>
      <c r="M974" s="84"/>
      <c r="N974" s="84"/>
      <c r="O974" s="84"/>
      <c r="P974" s="84"/>
      <c r="Q974" s="84"/>
      <c r="R974" s="84"/>
    </row>
    <row r="975" ht="15.75" customHeight="1">
      <c r="A975" s="125"/>
      <c r="B975" s="125"/>
      <c r="C975" s="125"/>
      <c r="D975" s="125"/>
      <c r="E975" s="126"/>
      <c r="F975" s="126"/>
      <c r="G975" s="125"/>
      <c r="H975" s="125"/>
      <c r="I975" s="99"/>
      <c r="K975" s="84"/>
      <c r="L975" s="84"/>
      <c r="M975" s="84"/>
      <c r="N975" s="84"/>
      <c r="O975" s="84"/>
      <c r="P975" s="84"/>
      <c r="Q975" s="84"/>
      <c r="R975" s="84"/>
    </row>
    <row r="976" ht="15.75" customHeight="1">
      <c r="A976" s="125"/>
      <c r="B976" s="125"/>
      <c r="C976" s="125"/>
      <c r="D976" s="125"/>
      <c r="E976" s="126"/>
      <c r="F976" s="126"/>
      <c r="G976" s="125"/>
      <c r="H976" s="125"/>
      <c r="I976" s="99"/>
      <c r="K976" s="84"/>
      <c r="L976" s="84"/>
      <c r="M976" s="84"/>
      <c r="N976" s="84"/>
      <c r="O976" s="84"/>
      <c r="P976" s="84"/>
      <c r="Q976" s="84"/>
      <c r="R976" s="84"/>
    </row>
    <row r="977" ht="15.75" customHeight="1">
      <c r="A977" s="125"/>
      <c r="B977" s="125"/>
      <c r="C977" s="125"/>
      <c r="D977" s="125"/>
      <c r="E977" s="126"/>
      <c r="F977" s="126"/>
      <c r="G977" s="125"/>
      <c r="H977" s="125"/>
      <c r="I977" s="99"/>
      <c r="K977" s="84"/>
      <c r="L977" s="84"/>
      <c r="M977" s="84"/>
      <c r="N977" s="84"/>
      <c r="O977" s="84"/>
      <c r="P977" s="84"/>
      <c r="Q977" s="84"/>
      <c r="R977" s="84"/>
    </row>
    <row r="978" ht="15.75" customHeight="1">
      <c r="A978" s="125"/>
      <c r="B978" s="125"/>
      <c r="C978" s="125"/>
      <c r="D978" s="125"/>
      <c r="E978" s="126"/>
      <c r="F978" s="126"/>
      <c r="G978" s="125"/>
      <c r="H978" s="125"/>
      <c r="I978" s="99"/>
      <c r="K978" s="84"/>
      <c r="L978" s="84"/>
      <c r="M978" s="84"/>
      <c r="N978" s="84"/>
      <c r="O978" s="84"/>
      <c r="P978" s="84"/>
      <c r="Q978" s="84"/>
      <c r="R978" s="84"/>
    </row>
    <row r="979" ht="15.75" customHeight="1">
      <c r="A979" s="125"/>
      <c r="B979" s="125"/>
      <c r="C979" s="125"/>
      <c r="D979" s="125"/>
      <c r="E979" s="126"/>
      <c r="F979" s="126"/>
      <c r="G979" s="125"/>
      <c r="H979" s="125"/>
      <c r="I979" s="99"/>
      <c r="K979" s="84"/>
      <c r="L979" s="84"/>
      <c r="M979" s="84"/>
      <c r="N979" s="84"/>
      <c r="O979" s="84"/>
      <c r="P979" s="84"/>
      <c r="Q979" s="84"/>
      <c r="R979" s="84"/>
    </row>
    <row r="980" ht="15.75" customHeight="1">
      <c r="A980" s="125"/>
      <c r="B980" s="125"/>
      <c r="C980" s="125"/>
      <c r="D980" s="125"/>
      <c r="E980" s="126"/>
      <c r="F980" s="126"/>
      <c r="G980" s="125"/>
      <c r="H980" s="125"/>
      <c r="I980" s="99"/>
      <c r="K980" s="84"/>
      <c r="L980" s="84"/>
      <c r="M980" s="84"/>
      <c r="N980" s="84"/>
      <c r="O980" s="84"/>
      <c r="P980" s="84"/>
      <c r="Q980" s="84"/>
      <c r="R980" s="84"/>
    </row>
    <row r="981" ht="15.75" customHeight="1">
      <c r="A981" s="125"/>
      <c r="B981" s="125"/>
      <c r="C981" s="125"/>
      <c r="D981" s="125"/>
      <c r="E981" s="126"/>
      <c r="F981" s="126"/>
      <c r="G981" s="125"/>
      <c r="H981" s="125"/>
      <c r="I981" s="99"/>
      <c r="K981" s="84"/>
      <c r="L981" s="84"/>
      <c r="M981" s="84"/>
      <c r="N981" s="84"/>
      <c r="O981" s="84"/>
      <c r="P981" s="84"/>
      <c r="Q981" s="84"/>
      <c r="R981" s="84"/>
    </row>
    <row r="982" ht="15.75" customHeight="1">
      <c r="A982" s="125"/>
      <c r="B982" s="125"/>
      <c r="C982" s="125"/>
      <c r="D982" s="125"/>
      <c r="E982" s="126"/>
      <c r="F982" s="126"/>
      <c r="G982" s="125"/>
      <c r="H982" s="125"/>
      <c r="I982" s="99"/>
      <c r="K982" s="84"/>
      <c r="L982" s="84"/>
      <c r="M982" s="84"/>
      <c r="N982" s="84"/>
      <c r="O982" s="84"/>
      <c r="P982" s="84"/>
      <c r="Q982" s="84"/>
      <c r="R982" s="84"/>
    </row>
    <row r="983" ht="15.75" customHeight="1">
      <c r="A983" s="125"/>
      <c r="B983" s="125"/>
      <c r="C983" s="125"/>
      <c r="D983" s="125"/>
      <c r="E983" s="126"/>
      <c r="F983" s="126"/>
      <c r="G983" s="125"/>
      <c r="H983" s="125"/>
      <c r="I983" s="99"/>
      <c r="K983" s="84"/>
      <c r="L983" s="84"/>
      <c r="M983" s="84"/>
      <c r="N983" s="84"/>
      <c r="O983" s="84"/>
      <c r="P983" s="84"/>
      <c r="Q983" s="84"/>
      <c r="R983" s="84"/>
    </row>
    <row r="984" ht="15.75" customHeight="1">
      <c r="A984" s="125"/>
      <c r="B984" s="125"/>
      <c r="C984" s="125"/>
      <c r="D984" s="125"/>
      <c r="E984" s="126"/>
      <c r="F984" s="126"/>
      <c r="G984" s="125"/>
      <c r="H984" s="125"/>
      <c r="I984" s="99"/>
      <c r="K984" s="84"/>
      <c r="L984" s="84"/>
      <c r="M984" s="84"/>
      <c r="N984" s="84"/>
      <c r="O984" s="84"/>
      <c r="P984" s="84"/>
      <c r="Q984" s="84"/>
      <c r="R984" s="84"/>
    </row>
    <row r="985" ht="15.75" customHeight="1">
      <c r="A985" s="125"/>
      <c r="B985" s="125"/>
      <c r="C985" s="125"/>
      <c r="D985" s="125"/>
      <c r="E985" s="126"/>
      <c r="F985" s="126"/>
      <c r="G985" s="125"/>
      <c r="H985" s="125"/>
      <c r="I985" s="99"/>
      <c r="K985" s="84"/>
      <c r="L985" s="84"/>
      <c r="M985" s="84"/>
      <c r="N985" s="84"/>
      <c r="O985" s="84"/>
      <c r="P985" s="84"/>
      <c r="Q985" s="84"/>
      <c r="R985" s="84"/>
    </row>
    <row r="986" ht="15.75" customHeight="1">
      <c r="A986" s="125"/>
      <c r="B986" s="125"/>
      <c r="C986" s="125"/>
      <c r="D986" s="125"/>
      <c r="E986" s="126"/>
      <c r="F986" s="126"/>
      <c r="G986" s="125"/>
      <c r="H986" s="125"/>
      <c r="I986" s="99"/>
      <c r="K986" s="84"/>
      <c r="L986" s="84"/>
      <c r="M986" s="84"/>
      <c r="N986" s="84"/>
      <c r="O986" s="84"/>
      <c r="P986" s="84"/>
      <c r="Q986" s="84"/>
      <c r="R986" s="84"/>
    </row>
    <row r="987" ht="15.75" customHeight="1">
      <c r="A987" s="125"/>
      <c r="B987" s="125"/>
      <c r="C987" s="125"/>
      <c r="D987" s="125"/>
      <c r="E987" s="126"/>
      <c r="F987" s="126"/>
      <c r="G987" s="125"/>
      <c r="H987" s="125"/>
      <c r="I987" s="99"/>
      <c r="K987" s="84"/>
      <c r="L987" s="84"/>
      <c r="M987" s="84"/>
      <c r="N987" s="84"/>
      <c r="O987" s="84"/>
      <c r="P987" s="84"/>
      <c r="Q987" s="84"/>
      <c r="R987" s="84"/>
    </row>
    <row r="988" ht="15.75" customHeight="1">
      <c r="A988" s="125"/>
      <c r="B988" s="125"/>
      <c r="C988" s="125"/>
      <c r="D988" s="125"/>
      <c r="E988" s="126"/>
      <c r="F988" s="126"/>
      <c r="G988" s="125"/>
      <c r="H988" s="125"/>
      <c r="I988" s="99"/>
      <c r="K988" s="84"/>
      <c r="L988" s="84"/>
      <c r="M988" s="84"/>
      <c r="N988" s="84"/>
      <c r="O988" s="84"/>
      <c r="P988" s="84"/>
      <c r="Q988" s="84"/>
      <c r="R988" s="84"/>
    </row>
    <row r="989" ht="15.75" customHeight="1">
      <c r="A989" s="125"/>
      <c r="B989" s="125"/>
      <c r="C989" s="125"/>
      <c r="D989" s="125"/>
      <c r="E989" s="126"/>
      <c r="F989" s="126"/>
      <c r="G989" s="125"/>
      <c r="H989" s="125"/>
      <c r="I989" s="99"/>
      <c r="K989" s="84"/>
      <c r="L989" s="84"/>
      <c r="M989" s="84"/>
      <c r="N989" s="84"/>
      <c r="O989" s="84"/>
      <c r="P989" s="84"/>
      <c r="Q989" s="84"/>
      <c r="R989" s="84"/>
    </row>
    <row r="990" ht="15.75" customHeight="1">
      <c r="A990" s="125"/>
      <c r="B990" s="125"/>
      <c r="C990" s="125"/>
      <c r="D990" s="125"/>
      <c r="E990" s="126"/>
      <c r="F990" s="126"/>
      <c r="G990" s="125"/>
      <c r="H990" s="125"/>
      <c r="I990" s="99"/>
      <c r="K990" s="84"/>
      <c r="L990" s="84"/>
      <c r="M990" s="84"/>
      <c r="N990" s="84"/>
      <c r="O990" s="84"/>
      <c r="P990" s="84"/>
      <c r="Q990" s="84"/>
      <c r="R990" s="84"/>
    </row>
    <row r="991" ht="15.75" customHeight="1">
      <c r="A991" s="125"/>
      <c r="B991" s="125"/>
      <c r="C991" s="125"/>
      <c r="D991" s="125"/>
      <c r="E991" s="126"/>
      <c r="F991" s="126"/>
      <c r="G991" s="125"/>
      <c r="H991" s="125"/>
      <c r="I991" s="99"/>
      <c r="K991" s="84"/>
      <c r="L991" s="84"/>
      <c r="M991" s="84"/>
      <c r="N991" s="84"/>
      <c r="O991" s="84"/>
      <c r="P991" s="84"/>
      <c r="Q991" s="84"/>
      <c r="R991" s="84"/>
    </row>
    <row r="992" ht="15.75" customHeight="1">
      <c r="A992" s="125"/>
      <c r="B992" s="125"/>
      <c r="C992" s="125"/>
      <c r="D992" s="125"/>
      <c r="E992" s="126"/>
      <c r="F992" s="126"/>
      <c r="G992" s="125"/>
      <c r="H992" s="125"/>
      <c r="I992" s="99"/>
      <c r="K992" s="84"/>
      <c r="L992" s="84"/>
      <c r="M992" s="84"/>
      <c r="N992" s="84"/>
      <c r="O992" s="84"/>
      <c r="P992" s="84"/>
      <c r="Q992" s="84"/>
      <c r="R992" s="84"/>
    </row>
    <row r="993" ht="15.75" customHeight="1">
      <c r="A993" s="125"/>
      <c r="B993" s="125"/>
      <c r="C993" s="125"/>
      <c r="D993" s="125"/>
      <c r="E993" s="126"/>
      <c r="F993" s="126"/>
      <c r="G993" s="125"/>
      <c r="H993" s="125"/>
      <c r="I993" s="99"/>
      <c r="K993" s="84"/>
      <c r="L993" s="84"/>
      <c r="M993" s="84"/>
      <c r="N993" s="84"/>
      <c r="O993" s="84"/>
      <c r="P993" s="84"/>
      <c r="Q993" s="84"/>
      <c r="R993" s="84"/>
    </row>
    <row r="994" ht="15.75" customHeight="1">
      <c r="A994" s="125"/>
      <c r="B994" s="125"/>
      <c r="C994" s="125"/>
      <c r="D994" s="125"/>
      <c r="E994" s="126"/>
      <c r="F994" s="126"/>
      <c r="G994" s="125"/>
      <c r="H994" s="125"/>
      <c r="I994" s="99"/>
      <c r="K994" s="84"/>
      <c r="L994" s="84"/>
      <c r="M994" s="84"/>
      <c r="N994" s="84"/>
      <c r="O994" s="84"/>
      <c r="P994" s="84"/>
      <c r="Q994" s="84"/>
      <c r="R994" s="84"/>
    </row>
    <row r="995" ht="15.75" customHeight="1">
      <c r="A995" s="125"/>
      <c r="B995" s="125"/>
      <c r="C995" s="125"/>
      <c r="D995" s="125"/>
      <c r="E995" s="126"/>
      <c r="F995" s="126"/>
      <c r="G995" s="125"/>
      <c r="H995" s="125"/>
      <c r="I995" s="99"/>
      <c r="K995" s="84"/>
      <c r="L995" s="84"/>
      <c r="M995" s="84"/>
      <c r="N995" s="84"/>
      <c r="O995" s="84"/>
      <c r="P995" s="84"/>
      <c r="Q995" s="84"/>
      <c r="R995" s="84"/>
    </row>
    <row r="996" ht="15.75" customHeight="1">
      <c r="A996" s="125"/>
      <c r="B996" s="125"/>
      <c r="C996" s="125"/>
      <c r="D996" s="125"/>
      <c r="E996" s="126"/>
      <c r="F996" s="126"/>
      <c r="G996" s="125"/>
      <c r="H996" s="125"/>
      <c r="I996" s="99"/>
      <c r="K996" s="84"/>
      <c r="L996" s="84"/>
      <c r="M996" s="84"/>
      <c r="N996" s="84"/>
      <c r="O996" s="84"/>
      <c r="P996" s="84"/>
      <c r="Q996" s="84"/>
      <c r="R996" s="84"/>
    </row>
    <row r="997" ht="15.75" customHeight="1">
      <c r="A997" s="125"/>
      <c r="B997" s="125"/>
      <c r="C997" s="125"/>
      <c r="D997" s="125"/>
      <c r="E997" s="126"/>
      <c r="F997" s="126"/>
      <c r="G997" s="125"/>
      <c r="H997" s="125"/>
      <c r="I997" s="99"/>
      <c r="K997" s="84"/>
      <c r="L997" s="84"/>
      <c r="M997" s="84"/>
      <c r="N997" s="84"/>
      <c r="O997" s="84"/>
      <c r="P997" s="84"/>
      <c r="Q997" s="84"/>
      <c r="R997" s="84"/>
    </row>
    <row r="998" ht="15.75" customHeight="1">
      <c r="A998" s="125"/>
      <c r="B998" s="125"/>
      <c r="C998" s="125"/>
      <c r="D998" s="125"/>
      <c r="E998" s="126"/>
      <c r="F998" s="126"/>
      <c r="G998" s="125"/>
      <c r="H998" s="125"/>
      <c r="I998" s="99"/>
      <c r="K998" s="84"/>
      <c r="L998" s="84"/>
      <c r="M998" s="84"/>
      <c r="N998" s="84"/>
      <c r="O998" s="84"/>
      <c r="P998" s="84"/>
      <c r="Q998" s="84"/>
      <c r="R998" s="84"/>
    </row>
    <row r="999" ht="15.75" customHeight="1">
      <c r="A999" s="125"/>
      <c r="B999" s="125"/>
      <c r="C999" s="125"/>
      <c r="D999" s="125"/>
      <c r="E999" s="126"/>
      <c r="F999" s="126"/>
      <c r="G999" s="125"/>
      <c r="H999" s="125"/>
      <c r="I999" s="99"/>
      <c r="K999" s="84"/>
      <c r="L999" s="84"/>
      <c r="M999" s="84"/>
      <c r="N999" s="84"/>
      <c r="O999" s="84"/>
      <c r="P999" s="84"/>
      <c r="Q999" s="84"/>
      <c r="R999" s="84"/>
    </row>
    <row r="1000" ht="15.75" customHeight="1">
      <c r="A1000" s="125"/>
      <c r="B1000" s="125"/>
      <c r="C1000" s="125"/>
      <c r="D1000" s="125"/>
      <c r="E1000" s="126"/>
      <c r="F1000" s="126"/>
      <c r="G1000" s="125"/>
      <c r="H1000" s="125"/>
      <c r="I1000" s="99"/>
      <c r="K1000" s="84"/>
      <c r="L1000" s="84"/>
      <c r="M1000" s="84"/>
      <c r="N1000" s="84"/>
      <c r="O1000" s="84"/>
      <c r="P1000" s="84"/>
      <c r="Q1000" s="84"/>
      <c r="R1000" s="84"/>
    </row>
    <row r="1001" ht="15.75" customHeight="1">
      <c r="A1001" s="125"/>
      <c r="B1001" s="125"/>
      <c r="C1001" s="125"/>
      <c r="D1001" s="125"/>
      <c r="E1001" s="126"/>
      <c r="F1001" s="126"/>
      <c r="G1001" s="125"/>
      <c r="H1001" s="125"/>
      <c r="I1001" s="99"/>
      <c r="K1001" s="84"/>
      <c r="L1001" s="84"/>
      <c r="M1001" s="84"/>
      <c r="N1001" s="84"/>
      <c r="O1001" s="84"/>
      <c r="P1001" s="84"/>
      <c r="Q1001" s="84"/>
      <c r="R1001" s="84"/>
    </row>
    <row r="1002" ht="15.75" customHeight="1">
      <c r="A1002" s="125"/>
      <c r="B1002" s="125"/>
      <c r="C1002" s="125"/>
      <c r="D1002" s="125"/>
      <c r="E1002" s="126"/>
      <c r="F1002" s="126"/>
      <c r="G1002" s="125"/>
      <c r="H1002" s="125"/>
      <c r="I1002" s="99"/>
      <c r="K1002" s="84"/>
      <c r="L1002" s="84"/>
      <c r="M1002" s="84"/>
      <c r="N1002" s="84"/>
      <c r="O1002" s="84"/>
      <c r="P1002" s="84"/>
      <c r="Q1002" s="84"/>
      <c r="R1002" s="84"/>
    </row>
    <row r="1003" ht="15.75" customHeight="1">
      <c r="A1003" s="125"/>
      <c r="B1003" s="125"/>
      <c r="C1003" s="125"/>
      <c r="D1003" s="125"/>
      <c r="E1003" s="126"/>
      <c r="F1003" s="126"/>
      <c r="G1003" s="125"/>
      <c r="H1003" s="125"/>
      <c r="I1003" s="99"/>
      <c r="K1003" s="84"/>
      <c r="L1003" s="84"/>
      <c r="M1003" s="84"/>
      <c r="N1003" s="84"/>
      <c r="O1003" s="84"/>
      <c r="P1003" s="84"/>
      <c r="Q1003" s="84"/>
      <c r="R1003" s="84"/>
    </row>
    <row r="1004" ht="15.75" customHeight="1">
      <c r="A1004" s="125"/>
      <c r="B1004" s="125"/>
      <c r="C1004" s="125"/>
      <c r="D1004" s="125"/>
      <c r="E1004" s="126"/>
      <c r="F1004" s="126"/>
      <c r="G1004" s="125"/>
      <c r="H1004" s="125"/>
      <c r="I1004" s="99"/>
      <c r="K1004" s="84"/>
      <c r="L1004" s="84"/>
      <c r="M1004" s="84"/>
      <c r="N1004" s="84"/>
      <c r="O1004" s="84"/>
      <c r="P1004" s="84"/>
      <c r="Q1004" s="84"/>
      <c r="R1004" s="84"/>
    </row>
    <row r="1005" ht="15.75" customHeight="1">
      <c r="A1005" s="125"/>
      <c r="B1005" s="125"/>
      <c r="C1005" s="125"/>
      <c r="D1005" s="125"/>
      <c r="E1005" s="126"/>
      <c r="F1005" s="126"/>
      <c r="G1005" s="125"/>
      <c r="H1005" s="125"/>
      <c r="I1005" s="99"/>
      <c r="K1005" s="84"/>
      <c r="L1005" s="84"/>
      <c r="M1005" s="84"/>
      <c r="N1005" s="84"/>
      <c r="O1005" s="84"/>
      <c r="P1005" s="84"/>
      <c r="Q1005" s="84"/>
      <c r="R1005" s="84"/>
    </row>
    <row r="1006" ht="15.75" customHeight="1">
      <c r="A1006" s="125"/>
      <c r="B1006" s="125"/>
      <c r="C1006" s="125"/>
      <c r="D1006" s="125"/>
      <c r="E1006" s="126"/>
      <c r="F1006" s="126"/>
      <c r="G1006" s="125"/>
      <c r="H1006" s="125"/>
      <c r="I1006" s="99"/>
      <c r="K1006" s="84"/>
      <c r="L1006" s="84"/>
      <c r="M1006" s="84"/>
      <c r="N1006" s="84"/>
      <c r="O1006" s="84"/>
      <c r="P1006" s="84"/>
      <c r="Q1006" s="84"/>
      <c r="R1006" s="84"/>
    </row>
    <row r="1007" ht="15.75" customHeight="1">
      <c r="A1007" s="125"/>
      <c r="B1007" s="125"/>
      <c r="C1007" s="125"/>
      <c r="D1007" s="125"/>
      <c r="E1007" s="126"/>
      <c r="F1007" s="126"/>
      <c r="G1007" s="125"/>
      <c r="H1007" s="125"/>
      <c r="I1007" s="99"/>
      <c r="K1007" s="84"/>
      <c r="L1007" s="84"/>
      <c r="M1007" s="84"/>
      <c r="N1007" s="84"/>
      <c r="O1007" s="84"/>
      <c r="P1007" s="84"/>
      <c r="Q1007" s="84"/>
      <c r="R1007" s="84"/>
    </row>
    <row r="1008" ht="15.75" customHeight="1">
      <c r="A1008" s="125"/>
      <c r="B1008" s="125"/>
      <c r="C1008" s="125"/>
      <c r="D1008" s="125"/>
      <c r="E1008" s="126"/>
      <c r="F1008" s="126"/>
      <c r="G1008" s="125"/>
      <c r="H1008" s="125"/>
      <c r="I1008" s="99"/>
      <c r="K1008" s="84"/>
      <c r="L1008" s="84"/>
      <c r="M1008" s="84"/>
      <c r="N1008" s="84"/>
      <c r="O1008" s="84"/>
      <c r="P1008" s="84"/>
      <c r="Q1008" s="84"/>
      <c r="R1008" s="84"/>
    </row>
    <row r="1009" ht="15.75" customHeight="1">
      <c r="A1009" s="125"/>
      <c r="B1009" s="125"/>
      <c r="C1009" s="125"/>
      <c r="D1009" s="125"/>
      <c r="E1009" s="126"/>
      <c r="F1009" s="126"/>
      <c r="G1009" s="125"/>
      <c r="H1009" s="125"/>
      <c r="I1009" s="99"/>
      <c r="K1009" s="84"/>
      <c r="L1009" s="84"/>
      <c r="M1009" s="84"/>
      <c r="N1009" s="84"/>
      <c r="O1009" s="84"/>
      <c r="P1009" s="84"/>
      <c r="Q1009" s="84"/>
      <c r="R1009" s="84"/>
    </row>
    <row r="1010" ht="15.75" customHeight="1">
      <c r="A1010" s="125"/>
      <c r="B1010" s="125"/>
      <c r="C1010" s="125"/>
      <c r="D1010" s="125"/>
      <c r="E1010" s="126"/>
      <c r="F1010" s="126"/>
      <c r="G1010" s="125"/>
      <c r="H1010" s="125"/>
      <c r="I1010" s="99"/>
      <c r="K1010" s="84"/>
      <c r="L1010" s="84"/>
      <c r="M1010" s="84"/>
      <c r="N1010" s="84"/>
      <c r="O1010" s="84"/>
      <c r="P1010" s="84"/>
      <c r="Q1010" s="84"/>
      <c r="R1010" s="84"/>
    </row>
    <row r="1011" ht="15.75" customHeight="1">
      <c r="A1011" s="125"/>
      <c r="B1011" s="125"/>
      <c r="C1011" s="125"/>
      <c r="D1011" s="125"/>
      <c r="E1011" s="126"/>
      <c r="F1011" s="126"/>
      <c r="G1011" s="125"/>
      <c r="H1011" s="125"/>
      <c r="I1011" s="99"/>
      <c r="K1011" s="84"/>
      <c r="L1011" s="84"/>
      <c r="M1011" s="84"/>
      <c r="N1011" s="84"/>
      <c r="O1011" s="84"/>
      <c r="P1011" s="84"/>
      <c r="Q1011" s="84"/>
      <c r="R1011" s="84"/>
    </row>
    <row r="1012" ht="15.75" customHeight="1">
      <c r="A1012" s="125"/>
      <c r="B1012" s="125"/>
      <c r="C1012" s="125"/>
      <c r="D1012" s="125"/>
      <c r="E1012" s="126"/>
      <c r="F1012" s="126"/>
      <c r="G1012" s="125"/>
      <c r="H1012" s="125"/>
      <c r="I1012" s="99"/>
      <c r="K1012" s="84"/>
      <c r="L1012" s="84"/>
      <c r="M1012" s="84"/>
      <c r="N1012" s="84"/>
      <c r="O1012" s="84"/>
      <c r="P1012" s="84"/>
      <c r="Q1012" s="84"/>
      <c r="R1012" s="84"/>
    </row>
    <row r="1013" ht="15.75" customHeight="1">
      <c r="A1013" s="125"/>
      <c r="B1013" s="125"/>
      <c r="C1013" s="125"/>
      <c r="D1013" s="125"/>
      <c r="E1013" s="126"/>
      <c r="F1013" s="126"/>
      <c r="G1013" s="125"/>
      <c r="H1013" s="125"/>
      <c r="I1013" s="99"/>
      <c r="K1013" s="84"/>
      <c r="L1013" s="84"/>
      <c r="M1013" s="84"/>
      <c r="N1013" s="84"/>
      <c r="O1013" s="84"/>
      <c r="P1013" s="84"/>
      <c r="Q1013" s="84"/>
      <c r="R1013" s="84"/>
    </row>
    <row r="1014" ht="15.75" customHeight="1">
      <c r="A1014" s="125"/>
      <c r="B1014" s="125"/>
      <c r="C1014" s="125"/>
      <c r="D1014" s="125"/>
      <c r="E1014" s="126"/>
      <c r="F1014" s="126"/>
      <c r="G1014" s="125"/>
      <c r="H1014" s="125"/>
      <c r="I1014" s="99"/>
      <c r="K1014" s="84"/>
      <c r="L1014" s="84"/>
      <c r="M1014" s="84"/>
      <c r="N1014" s="84"/>
      <c r="O1014" s="84"/>
      <c r="P1014" s="84"/>
      <c r="Q1014" s="84"/>
      <c r="R1014" s="84"/>
    </row>
    <row r="1015" ht="15.75" customHeight="1">
      <c r="A1015" s="125"/>
      <c r="B1015" s="125"/>
      <c r="C1015" s="125"/>
      <c r="D1015" s="125"/>
      <c r="E1015" s="126"/>
      <c r="F1015" s="126"/>
      <c r="G1015" s="125"/>
      <c r="H1015" s="125"/>
      <c r="I1015" s="99"/>
      <c r="K1015" s="84"/>
      <c r="L1015" s="84"/>
      <c r="M1015" s="84"/>
      <c r="N1015" s="84"/>
      <c r="O1015" s="84"/>
      <c r="P1015" s="84"/>
      <c r="Q1015" s="84"/>
      <c r="R1015" s="84"/>
    </row>
    <row r="1016" ht="15.75" customHeight="1">
      <c r="A1016" s="125"/>
      <c r="B1016" s="125"/>
      <c r="C1016" s="125"/>
      <c r="D1016" s="125"/>
      <c r="E1016" s="126"/>
      <c r="F1016" s="126"/>
      <c r="G1016" s="125"/>
      <c r="H1016" s="125"/>
      <c r="I1016" s="99"/>
      <c r="K1016" s="84"/>
      <c r="L1016" s="84"/>
      <c r="M1016" s="84"/>
      <c r="N1016" s="84"/>
      <c r="O1016" s="84"/>
      <c r="P1016" s="84"/>
      <c r="Q1016" s="84"/>
      <c r="R1016" s="84"/>
    </row>
    <row r="1017" ht="15.75" customHeight="1">
      <c r="A1017" s="125"/>
      <c r="B1017" s="125"/>
      <c r="C1017" s="125"/>
      <c r="D1017" s="125"/>
      <c r="E1017" s="126"/>
      <c r="F1017" s="126"/>
      <c r="G1017" s="125"/>
      <c r="H1017" s="125"/>
      <c r="I1017" s="99"/>
      <c r="K1017" s="84"/>
      <c r="L1017" s="84"/>
      <c r="M1017" s="84"/>
      <c r="N1017" s="84"/>
      <c r="O1017" s="84"/>
      <c r="P1017" s="84"/>
      <c r="Q1017" s="84"/>
      <c r="R1017" s="84"/>
    </row>
    <row r="1018" ht="15.75" customHeight="1">
      <c r="A1018" s="125"/>
      <c r="B1018" s="125"/>
      <c r="C1018" s="125"/>
      <c r="D1018" s="125"/>
      <c r="E1018" s="126"/>
      <c r="F1018" s="126"/>
      <c r="G1018" s="125"/>
      <c r="H1018" s="125"/>
      <c r="I1018" s="99"/>
      <c r="K1018" s="84"/>
      <c r="L1018" s="84"/>
      <c r="M1018" s="84"/>
      <c r="N1018" s="84"/>
      <c r="O1018" s="84"/>
      <c r="P1018" s="84"/>
      <c r="Q1018" s="84"/>
      <c r="R1018" s="84"/>
    </row>
    <row r="1019" ht="15.75" customHeight="1">
      <c r="A1019" s="125"/>
      <c r="B1019" s="125"/>
      <c r="C1019" s="125"/>
      <c r="D1019" s="125"/>
      <c r="E1019" s="126"/>
      <c r="F1019" s="126"/>
      <c r="G1019" s="125"/>
      <c r="H1019" s="125"/>
      <c r="I1019" s="99"/>
      <c r="K1019" s="84"/>
      <c r="L1019" s="84"/>
      <c r="M1019" s="84"/>
      <c r="N1019" s="84"/>
      <c r="O1019" s="84"/>
      <c r="P1019" s="84"/>
      <c r="Q1019" s="84"/>
      <c r="R1019" s="84"/>
    </row>
    <row r="1020" ht="15.75" customHeight="1">
      <c r="A1020" s="125"/>
      <c r="B1020" s="125"/>
      <c r="C1020" s="125"/>
      <c r="D1020" s="125"/>
      <c r="E1020" s="126"/>
      <c r="F1020" s="126"/>
      <c r="G1020" s="125"/>
      <c r="H1020" s="125"/>
      <c r="I1020" s="99"/>
      <c r="K1020" s="84"/>
      <c r="L1020" s="84"/>
      <c r="M1020" s="84"/>
      <c r="N1020" s="84"/>
      <c r="O1020" s="84"/>
      <c r="P1020" s="84"/>
      <c r="Q1020" s="84"/>
      <c r="R1020" s="84"/>
    </row>
    <row r="1021" ht="15.75" customHeight="1">
      <c r="A1021" s="125"/>
      <c r="B1021" s="125"/>
      <c r="C1021" s="125"/>
      <c r="D1021" s="125"/>
      <c r="E1021" s="126"/>
      <c r="F1021" s="126"/>
      <c r="G1021" s="125"/>
      <c r="H1021" s="125"/>
      <c r="I1021" s="99"/>
      <c r="K1021" s="84"/>
      <c r="L1021" s="84"/>
      <c r="M1021" s="84"/>
      <c r="N1021" s="84"/>
      <c r="O1021" s="84"/>
      <c r="P1021" s="84"/>
      <c r="Q1021" s="84"/>
      <c r="R1021" s="84"/>
    </row>
    <row r="1022" ht="15.75" customHeight="1">
      <c r="A1022" s="125"/>
      <c r="B1022" s="125"/>
      <c r="C1022" s="125"/>
      <c r="D1022" s="125"/>
      <c r="E1022" s="126"/>
      <c r="F1022" s="126"/>
      <c r="G1022" s="125"/>
      <c r="H1022" s="125"/>
      <c r="I1022" s="99"/>
      <c r="K1022" s="84"/>
      <c r="L1022" s="84"/>
      <c r="M1022" s="84"/>
      <c r="N1022" s="84"/>
      <c r="O1022" s="84"/>
      <c r="P1022" s="84"/>
      <c r="Q1022" s="84"/>
      <c r="R1022" s="84"/>
    </row>
    <row r="1023" ht="15.75" customHeight="1">
      <c r="A1023" s="125"/>
      <c r="B1023" s="125"/>
      <c r="C1023" s="125"/>
      <c r="D1023" s="125"/>
      <c r="E1023" s="126"/>
      <c r="F1023" s="126"/>
      <c r="G1023" s="125"/>
      <c r="H1023" s="125"/>
      <c r="I1023" s="99"/>
      <c r="K1023" s="84"/>
      <c r="L1023" s="84"/>
      <c r="M1023" s="84"/>
      <c r="N1023" s="84"/>
      <c r="O1023" s="84"/>
      <c r="P1023" s="84"/>
      <c r="Q1023" s="84"/>
      <c r="R1023" s="84"/>
    </row>
    <row r="1024" ht="15.75" customHeight="1">
      <c r="A1024" s="125"/>
      <c r="B1024" s="125"/>
      <c r="C1024" s="125"/>
      <c r="D1024" s="125"/>
      <c r="E1024" s="126"/>
      <c r="F1024" s="126"/>
      <c r="G1024" s="125"/>
      <c r="H1024" s="125"/>
      <c r="I1024" s="99"/>
      <c r="K1024" s="84"/>
      <c r="L1024" s="84"/>
      <c r="M1024" s="84"/>
      <c r="N1024" s="84"/>
      <c r="O1024" s="84"/>
      <c r="P1024" s="84"/>
      <c r="Q1024" s="84"/>
      <c r="R1024" s="84"/>
    </row>
    <row r="1025" ht="15.75" customHeight="1">
      <c r="A1025" s="125"/>
      <c r="B1025" s="125"/>
      <c r="C1025" s="125"/>
      <c r="D1025" s="125"/>
      <c r="E1025" s="126"/>
      <c r="F1025" s="126"/>
      <c r="G1025" s="125"/>
      <c r="H1025" s="125"/>
      <c r="I1025" s="99"/>
      <c r="K1025" s="84"/>
      <c r="L1025" s="84"/>
      <c r="M1025" s="84"/>
      <c r="N1025" s="84"/>
      <c r="O1025" s="84"/>
      <c r="P1025" s="84"/>
      <c r="Q1025" s="84"/>
      <c r="R1025" s="84"/>
    </row>
    <row r="1026" ht="15.75" customHeight="1">
      <c r="A1026" s="125"/>
      <c r="B1026" s="125"/>
      <c r="C1026" s="125"/>
      <c r="D1026" s="125"/>
      <c r="E1026" s="126"/>
      <c r="F1026" s="126"/>
      <c r="G1026" s="125"/>
      <c r="H1026" s="125"/>
      <c r="I1026" s="99"/>
      <c r="K1026" s="84"/>
      <c r="L1026" s="84"/>
      <c r="M1026" s="84"/>
      <c r="N1026" s="84"/>
      <c r="O1026" s="84"/>
      <c r="P1026" s="84"/>
      <c r="Q1026" s="84"/>
      <c r="R1026" s="84"/>
    </row>
    <row r="1027" ht="15.75" customHeight="1">
      <c r="A1027" s="125"/>
      <c r="B1027" s="125"/>
      <c r="C1027" s="125"/>
      <c r="D1027" s="125"/>
      <c r="E1027" s="126"/>
      <c r="F1027" s="126"/>
      <c r="G1027" s="125"/>
      <c r="H1027" s="125"/>
      <c r="I1027" s="99"/>
      <c r="K1027" s="84"/>
      <c r="L1027" s="84"/>
      <c r="M1027" s="84"/>
      <c r="N1027" s="84"/>
      <c r="O1027" s="84"/>
      <c r="P1027" s="84"/>
      <c r="Q1027" s="84"/>
      <c r="R1027" s="84"/>
    </row>
    <row r="1028" ht="15.75" customHeight="1">
      <c r="A1028" s="125"/>
      <c r="B1028" s="125"/>
      <c r="C1028" s="125"/>
      <c r="D1028" s="125"/>
      <c r="E1028" s="126"/>
      <c r="F1028" s="126"/>
      <c r="G1028" s="125"/>
      <c r="H1028" s="125"/>
      <c r="I1028" s="99"/>
      <c r="K1028" s="84"/>
      <c r="L1028" s="84"/>
      <c r="M1028" s="84"/>
      <c r="N1028" s="84"/>
      <c r="O1028" s="84"/>
      <c r="P1028" s="84"/>
      <c r="Q1028" s="84"/>
      <c r="R1028" s="84"/>
    </row>
    <row r="1029" ht="15.75" customHeight="1">
      <c r="A1029" s="125"/>
      <c r="B1029" s="125"/>
      <c r="C1029" s="125"/>
      <c r="D1029" s="125"/>
      <c r="E1029" s="126"/>
      <c r="F1029" s="126"/>
      <c r="G1029" s="125"/>
      <c r="H1029" s="125"/>
      <c r="I1029" s="99"/>
      <c r="K1029" s="84"/>
      <c r="L1029" s="84"/>
      <c r="M1029" s="84"/>
      <c r="N1029" s="84"/>
      <c r="O1029" s="84"/>
      <c r="P1029" s="84"/>
      <c r="Q1029" s="84"/>
      <c r="R1029" s="84"/>
    </row>
    <row r="1030" ht="15.75" customHeight="1">
      <c r="A1030" s="125"/>
      <c r="B1030" s="125"/>
      <c r="C1030" s="125"/>
      <c r="D1030" s="125"/>
      <c r="E1030" s="126"/>
      <c r="F1030" s="126"/>
      <c r="G1030" s="125"/>
      <c r="H1030" s="125"/>
      <c r="I1030" s="99"/>
      <c r="K1030" s="84"/>
      <c r="L1030" s="84"/>
      <c r="M1030" s="84"/>
      <c r="N1030" s="84"/>
      <c r="O1030" s="84"/>
      <c r="P1030" s="84"/>
      <c r="Q1030" s="84"/>
      <c r="R1030" s="84"/>
    </row>
    <row r="1031" ht="15.75" customHeight="1">
      <c r="A1031" s="125"/>
      <c r="B1031" s="125"/>
      <c r="C1031" s="125"/>
      <c r="D1031" s="125"/>
      <c r="E1031" s="126"/>
      <c r="F1031" s="126"/>
      <c r="G1031" s="125"/>
      <c r="H1031" s="125"/>
      <c r="I1031" s="99"/>
      <c r="K1031" s="84"/>
      <c r="L1031" s="84"/>
      <c r="M1031" s="84"/>
      <c r="N1031" s="84"/>
      <c r="O1031" s="84"/>
      <c r="P1031" s="84"/>
      <c r="Q1031" s="84"/>
      <c r="R1031" s="84"/>
    </row>
    <row r="1032" ht="15.75" customHeight="1">
      <c r="A1032" s="125"/>
      <c r="B1032" s="125"/>
      <c r="C1032" s="125"/>
      <c r="D1032" s="125"/>
      <c r="E1032" s="126"/>
      <c r="F1032" s="126"/>
      <c r="G1032" s="125"/>
      <c r="H1032" s="125"/>
      <c r="I1032" s="99"/>
      <c r="K1032" s="84"/>
      <c r="L1032" s="84"/>
      <c r="M1032" s="84"/>
      <c r="N1032" s="84"/>
      <c r="O1032" s="84"/>
      <c r="P1032" s="84"/>
      <c r="Q1032" s="84"/>
      <c r="R1032" s="84"/>
    </row>
    <row r="1033" ht="15.75" customHeight="1">
      <c r="A1033" s="125"/>
      <c r="B1033" s="125"/>
      <c r="C1033" s="125"/>
      <c r="D1033" s="125"/>
      <c r="E1033" s="126"/>
      <c r="F1033" s="126"/>
      <c r="G1033" s="125"/>
      <c r="H1033" s="125"/>
      <c r="I1033" s="99"/>
      <c r="K1033" s="84"/>
      <c r="L1033" s="84"/>
      <c r="M1033" s="84"/>
      <c r="N1033" s="84"/>
      <c r="O1033" s="84"/>
      <c r="P1033" s="84"/>
      <c r="Q1033" s="84"/>
      <c r="R1033" s="84"/>
    </row>
    <row r="1034" ht="15.75" customHeight="1">
      <c r="A1034" s="125"/>
      <c r="B1034" s="125"/>
      <c r="C1034" s="125"/>
      <c r="D1034" s="125"/>
      <c r="E1034" s="126"/>
      <c r="F1034" s="126"/>
      <c r="G1034" s="125"/>
      <c r="H1034" s="125"/>
      <c r="I1034" s="99"/>
      <c r="K1034" s="84"/>
      <c r="L1034" s="84"/>
      <c r="M1034" s="84"/>
      <c r="N1034" s="84"/>
      <c r="O1034" s="84"/>
      <c r="P1034" s="84"/>
      <c r="Q1034" s="84"/>
      <c r="R1034" s="84"/>
    </row>
    <row r="1035" ht="15.75" customHeight="1">
      <c r="A1035" s="125"/>
      <c r="B1035" s="125"/>
      <c r="C1035" s="125"/>
      <c r="D1035" s="125"/>
      <c r="E1035" s="126"/>
      <c r="F1035" s="126"/>
      <c r="G1035" s="125"/>
      <c r="H1035" s="125"/>
      <c r="I1035" s="99"/>
      <c r="K1035" s="84"/>
      <c r="L1035" s="84"/>
      <c r="M1035" s="84"/>
      <c r="N1035" s="84"/>
      <c r="O1035" s="84"/>
      <c r="P1035" s="84"/>
      <c r="Q1035" s="84"/>
      <c r="R1035" s="84"/>
    </row>
    <row r="1036" ht="15.75" customHeight="1">
      <c r="A1036" s="125"/>
      <c r="B1036" s="125"/>
      <c r="C1036" s="125"/>
      <c r="D1036" s="125"/>
      <c r="E1036" s="126"/>
      <c r="F1036" s="126"/>
      <c r="G1036" s="125"/>
      <c r="H1036" s="125"/>
      <c r="I1036" s="99"/>
      <c r="K1036" s="84"/>
      <c r="L1036" s="84"/>
      <c r="M1036" s="84"/>
      <c r="N1036" s="84"/>
      <c r="O1036" s="84"/>
      <c r="P1036" s="84"/>
      <c r="Q1036" s="84"/>
      <c r="R1036" s="84"/>
    </row>
    <row r="1037" ht="15.75" customHeight="1">
      <c r="A1037" s="125"/>
      <c r="B1037" s="125"/>
      <c r="C1037" s="125"/>
      <c r="D1037" s="125"/>
      <c r="E1037" s="126"/>
      <c r="F1037" s="126"/>
      <c r="G1037" s="125"/>
      <c r="H1037" s="125"/>
      <c r="I1037" s="99"/>
      <c r="K1037" s="84"/>
      <c r="L1037" s="84"/>
      <c r="M1037" s="84"/>
      <c r="N1037" s="84"/>
      <c r="O1037" s="84"/>
      <c r="P1037" s="84"/>
      <c r="Q1037" s="84"/>
      <c r="R1037" s="84"/>
    </row>
    <row r="1038" ht="15.75" customHeight="1">
      <c r="A1038" s="125"/>
      <c r="B1038" s="125"/>
      <c r="C1038" s="125"/>
      <c r="D1038" s="125"/>
      <c r="E1038" s="126"/>
      <c r="F1038" s="126"/>
      <c r="G1038" s="125"/>
      <c r="H1038" s="125"/>
      <c r="I1038" s="99"/>
      <c r="K1038" s="84"/>
      <c r="L1038" s="84"/>
      <c r="M1038" s="84"/>
      <c r="N1038" s="84"/>
      <c r="O1038" s="84"/>
      <c r="P1038" s="84"/>
      <c r="Q1038" s="84"/>
      <c r="R1038" s="84"/>
    </row>
    <row r="1039" ht="15.75" customHeight="1">
      <c r="A1039" s="125"/>
      <c r="B1039" s="125"/>
      <c r="C1039" s="125"/>
      <c r="D1039" s="125"/>
      <c r="E1039" s="126"/>
      <c r="F1039" s="126"/>
      <c r="G1039" s="125"/>
      <c r="H1039" s="125"/>
      <c r="I1039" s="99"/>
      <c r="K1039" s="84"/>
      <c r="L1039" s="84"/>
      <c r="M1039" s="84"/>
      <c r="N1039" s="84"/>
      <c r="O1039" s="84"/>
      <c r="P1039" s="84"/>
      <c r="Q1039" s="84"/>
      <c r="R1039" s="84"/>
    </row>
    <row r="1040" ht="15.75" customHeight="1">
      <c r="A1040" s="125"/>
      <c r="B1040" s="125"/>
      <c r="C1040" s="125"/>
      <c r="D1040" s="125"/>
      <c r="E1040" s="126"/>
      <c r="F1040" s="126"/>
      <c r="G1040" s="125"/>
      <c r="H1040" s="125"/>
      <c r="I1040" s="99"/>
      <c r="K1040" s="84"/>
      <c r="L1040" s="84"/>
      <c r="M1040" s="84"/>
      <c r="N1040" s="84"/>
      <c r="O1040" s="84"/>
      <c r="P1040" s="84"/>
      <c r="Q1040" s="84"/>
      <c r="R1040" s="84"/>
    </row>
    <row r="1041" ht="15.75" customHeight="1">
      <c r="A1041" s="125"/>
      <c r="B1041" s="125"/>
      <c r="C1041" s="125"/>
      <c r="D1041" s="125"/>
      <c r="E1041" s="126"/>
      <c r="F1041" s="126"/>
      <c r="G1041" s="125"/>
      <c r="H1041" s="125"/>
      <c r="I1041" s="99"/>
      <c r="K1041" s="84"/>
      <c r="L1041" s="84"/>
      <c r="M1041" s="84"/>
      <c r="N1041" s="84"/>
      <c r="O1041" s="84"/>
      <c r="P1041" s="84"/>
      <c r="Q1041" s="84"/>
      <c r="R1041" s="84"/>
    </row>
    <row r="1042" ht="15.75" customHeight="1">
      <c r="A1042" s="125"/>
      <c r="B1042" s="125"/>
      <c r="C1042" s="125"/>
      <c r="D1042" s="125"/>
      <c r="E1042" s="126"/>
      <c r="F1042" s="126"/>
      <c r="G1042" s="125"/>
      <c r="H1042" s="125"/>
      <c r="I1042" s="99"/>
      <c r="K1042" s="84"/>
      <c r="L1042" s="84"/>
      <c r="M1042" s="84"/>
      <c r="N1042" s="84"/>
      <c r="O1042" s="84"/>
      <c r="P1042" s="84"/>
      <c r="Q1042" s="84"/>
      <c r="R1042" s="84"/>
    </row>
    <row r="1043" ht="15.75" customHeight="1">
      <c r="A1043" s="125"/>
      <c r="B1043" s="125"/>
      <c r="C1043" s="125"/>
      <c r="D1043" s="125"/>
      <c r="E1043" s="126"/>
      <c r="F1043" s="126"/>
      <c r="G1043" s="125"/>
      <c r="H1043" s="125"/>
      <c r="I1043" s="99"/>
      <c r="K1043" s="84"/>
      <c r="L1043" s="84"/>
      <c r="M1043" s="84"/>
      <c r="N1043" s="84"/>
      <c r="O1043" s="84"/>
      <c r="P1043" s="84"/>
      <c r="Q1043" s="84"/>
      <c r="R1043" s="84"/>
    </row>
    <row r="1044" ht="15.75" customHeight="1">
      <c r="A1044" s="125"/>
      <c r="B1044" s="125"/>
      <c r="C1044" s="125"/>
      <c r="D1044" s="125"/>
      <c r="E1044" s="126"/>
      <c r="F1044" s="126"/>
      <c r="G1044" s="125"/>
      <c r="H1044" s="125"/>
      <c r="I1044" s="99"/>
      <c r="K1044" s="84"/>
      <c r="L1044" s="84"/>
      <c r="M1044" s="84"/>
      <c r="N1044" s="84"/>
      <c r="O1044" s="84"/>
      <c r="P1044" s="84"/>
      <c r="Q1044" s="84"/>
      <c r="R1044" s="84"/>
    </row>
    <row r="1045" ht="15.75" customHeight="1">
      <c r="A1045" s="125"/>
      <c r="B1045" s="125"/>
      <c r="C1045" s="125"/>
      <c r="D1045" s="125"/>
      <c r="E1045" s="126"/>
      <c r="F1045" s="126"/>
      <c r="G1045" s="125"/>
      <c r="H1045" s="125"/>
      <c r="I1045" s="99"/>
      <c r="K1045" s="84"/>
      <c r="L1045" s="84"/>
      <c r="M1045" s="84"/>
      <c r="N1045" s="84"/>
      <c r="O1045" s="84"/>
      <c r="P1045" s="84"/>
      <c r="Q1045" s="84"/>
      <c r="R1045" s="84"/>
    </row>
    <row r="1046" ht="15.75" customHeight="1">
      <c r="A1046" s="125"/>
      <c r="B1046" s="125"/>
      <c r="C1046" s="125"/>
      <c r="D1046" s="125"/>
      <c r="E1046" s="126"/>
      <c r="F1046" s="126"/>
      <c r="G1046" s="125"/>
      <c r="H1046" s="125"/>
      <c r="I1046" s="99"/>
      <c r="K1046" s="84"/>
      <c r="L1046" s="84"/>
      <c r="M1046" s="84"/>
      <c r="N1046" s="84"/>
      <c r="O1046" s="84"/>
      <c r="P1046" s="84"/>
      <c r="Q1046" s="84"/>
      <c r="R1046" s="84"/>
    </row>
    <row r="1047" ht="15.75" customHeight="1">
      <c r="A1047" s="125"/>
      <c r="B1047" s="125"/>
      <c r="C1047" s="125"/>
      <c r="D1047" s="125"/>
      <c r="E1047" s="126"/>
      <c r="F1047" s="126"/>
      <c r="G1047" s="125"/>
      <c r="H1047" s="125"/>
      <c r="I1047" s="99"/>
      <c r="K1047" s="84"/>
      <c r="L1047" s="84"/>
      <c r="M1047" s="84"/>
      <c r="N1047" s="84"/>
      <c r="O1047" s="84"/>
      <c r="P1047" s="84"/>
      <c r="Q1047" s="84"/>
      <c r="R1047" s="84"/>
    </row>
    <row r="1048" ht="15.75" customHeight="1">
      <c r="A1048" s="125"/>
      <c r="B1048" s="125"/>
      <c r="C1048" s="125"/>
      <c r="D1048" s="125"/>
      <c r="E1048" s="126"/>
      <c r="F1048" s="126"/>
      <c r="G1048" s="125"/>
      <c r="H1048" s="125"/>
      <c r="I1048" s="99"/>
      <c r="K1048" s="84"/>
      <c r="L1048" s="84"/>
      <c r="M1048" s="84"/>
      <c r="N1048" s="84"/>
      <c r="O1048" s="84"/>
      <c r="P1048" s="84"/>
      <c r="Q1048" s="84"/>
      <c r="R1048" s="84"/>
    </row>
    <row r="1049" ht="15.75" customHeight="1">
      <c r="A1049" s="125"/>
      <c r="B1049" s="125"/>
      <c r="C1049" s="125"/>
      <c r="D1049" s="125"/>
      <c r="E1049" s="126"/>
      <c r="F1049" s="126"/>
      <c r="G1049" s="125"/>
      <c r="H1049" s="125"/>
      <c r="I1049" s="99"/>
      <c r="K1049" s="84"/>
      <c r="L1049" s="84"/>
      <c r="M1049" s="84"/>
      <c r="N1049" s="84"/>
      <c r="O1049" s="84"/>
      <c r="P1049" s="84"/>
      <c r="Q1049" s="84"/>
      <c r="R1049" s="84"/>
    </row>
    <row r="1050" ht="15.75" customHeight="1">
      <c r="A1050" s="125"/>
      <c r="B1050" s="125"/>
      <c r="C1050" s="125"/>
      <c r="D1050" s="125"/>
      <c r="E1050" s="126"/>
      <c r="F1050" s="126"/>
      <c r="G1050" s="125"/>
      <c r="H1050" s="125"/>
      <c r="I1050" s="99"/>
      <c r="K1050" s="84"/>
      <c r="L1050" s="84"/>
      <c r="M1050" s="84"/>
      <c r="N1050" s="84"/>
      <c r="O1050" s="84"/>
      <c r="P1050" s="84"/>
      <c r="Q1050" s="84"/>
      <c r="R1050" s="84"/>
    </row>
    <row r="1051" ht="15.75" customHeight="1">
      <c r="A1051" s="125"/>
      <c r="B1051" s="125"/>
      <c r="C1051" s="125"/>
      <c r="D1051" s="125"/>
      <c r="E1051" s="126"/>
      <c r="F1051" s="126"/>
      <c r="G1051" s="125"/>
      <c r="H1051" s="125"/>
      <c r="I1051" s="99"/>
      <c r="K1051" s="84"/>
      <c r="L1051" s="84"/>
      <c r="M1051" s="84"/>
      <c r="N1051" s="84"/>
      <c r="O1051" s="84"/>
      <c r="P1051" s="84"/>
      <c r="Q1051" s="84"/>
      <c r="R1051" s="84"/>
    </row>
    <row r="1052" ht="15.75" customHeight="1">
      <c r="A1052" s="125"/>
      <c r="B1052" s="125"/>
      <c r="C1052" s="125"/>
      <c r="D1052" s="125"/>
      <c r="E1052" s="126"/>
      <c r="F1052" s="126"/>
      <c r="G1052" s="125"/>
      <c r="H1052" s="125"/>
      <c r="I1052" s="99"/>
      <c r="K1052" s="84"/>
      <c r="L1052" s="84"/>
      <c r="M1052" s="84"/>
      <c r="N1052" s="84"/>
      <c r="O1052" s="84"/>
      <c r="P1052" s="84"/>
      <c r="Q1052" s="84"/>
      <c r="R1052" s="84"/>
    </row>
    <row r="1053" ht="15.75" customHeight="1">
      <c r="A1053" s="125"/>
      <c r="B1053" s="125"/>
      <c r="C1053" s="125"/>
      <c r="D1053" s="125"/>
      <c r="E1053" s="126"/>
      <c r="F1053" s="126"/>
      <c r="G1053" s="125"/>
      <c r="H1053" s="125"/>
      <c r="I1053" s="99"/>
      <c r="K1053" s="84"/>
      <c r="L1053" s="84"/>
      <c r="M1053" s="84"/>
      <c r="N1053" s="84"/>
      <c r="O1053" s="84"/>
      <c r="P1053" s="84"/>
      <c r="Q1053" s="84"/>
      <c r="R1053" s="84"/>
    </row>
    <row r="1054" ht="15.75" customHeight="1">
      <c r="A1054" s="125"/>
      <c r="B1054" s="125"/>
      <c r="C1054" s="125"/>
      <c r="D1054" s="125"/>
      <c r="E1054" s="126"/>
      <c r="F1054" s="126"/>
      <c r="G1054" s="125"/>
      <c r="H1054" s="125"/>
      <c r="I1054" s="99"/>
      <c r="K1054" s="84"/>
      <c r="L1054" s="84"/>
      <c r="M1054" s="84"/>
      <c r="N1054" s="84"/>
      <c r="O1054" s="84"/>
      <c r="P1054" s="84"/>
      <c r="Q1054" s="84"/>
      <c r="R1054" s="84"/>
    </row>
    <row r="1055" ht="15.75" customHeight="1">
      <c r="A1055" s="125"/>
      <c r="B1055" s="125"/>
      <c r="C1055" s="125"/>
      <c r="D1055" s="125"/>
      <c r="E1055" s="126"/>
      <c r="F1055" s="126"/>
      <c r="G1055" s="125"/>
      <c r="H1055" s="125"/>
      <c r="I1055" s="99"/>
      <c r="K1055" s="84"/>
      <c r="L1055" s="84"/>
      <c r="M1055" s="84"/>
      <c r="N1055" s="84"/>
      <c r="O1055" s="84"/>
      <c r="P1055" s="84"/>
      <c r="Q1055" s="84"/>
      <c r="R1055" s="84"/>
    </row>
    <row r="1056" ht="15.75" customHeight="1">
      <c r="A1056" s="125"/>
      <c r="B1056" s="125"/>
      <c r="C1056" s="125"/>
      <c r="D1056" s="125"/>
      <c r="E1056" s="126"/>
      <c r="F1056" s="126"/>
      <c r="G1056" s="125"/>
      <c r="H1056" s="125"/>
      <c r="I1056" s="99"/>
      <c r="K1056" s="84"/>
      <c r="L1056" s="84"/>
      <c r="M1056" s="84"/>
      <c r="N1056" s="84"/>
      <c r="O1056" s="84"/>
      <c r="P1056" s="84"/>
      <c r="Q1056" s="84"/>
      <c r="R1056" s="84"/>
    </row>
    <row r="1057" ht="15.75" customHeight="1">
      <c r="A1057" s="125"/>
      <c r="B1057" s="125"/>
      <c r="C1057" s="125"/>
      <c r="D1057" s="125"/>
      <c r="E1057" s="126"/>
      <c r="F1057" s="126"/>
      <c r="G1057" s="125"/>
      <c r="H1057" s="125"/>
      <c r="I1057" s="99"/>
      <c r="K1057" s="84"/>
      <c r="L1057" s="84"/>
      <c r="M1057" s="84"/>
      <c r="N1057" s="84"/>
      <c r="O1057" s="84"/>
      <c r="P1057" s="84"/>
      <c r="Q1057" s="84"/>
      <c r="R1057" s="84"/>
    </row>
    <row r="1058" ht="15.75" customHeight="1">
      <c r="A1058" s="125"/>
      <c r="B1058" s="125"/>
      <c r="C1058" s="125"/>
      <c r="D1058" s="125"/>
      <c r="E1058" s="126"/>
      <c r="F1058" s="126"/>
      <c r="G1058" s="125"/>
      <c r="H1058" s="125"/>
      <c r="I1058" s="99"/>
      <c r="K1058" s="84"/>
      <c r="L1058" s="84"/>
      <c r="M1058" s="84"/>
      <c r="N1058" s="84"/>
      <c r="O1058" s="84"/>
      <c r="P1058" s="84"/>
      <c r="Q1058" s="84"/>
      <c r="R1058" s="84"/>
    </row>
    <row r="1059" ht="15.75" customHeight="1">
      <c r="A1059" s="125"/>
      <c r="B1059" s="125"/>
      <c r="C1059" s="125"/>
      <c r="D1059" s="125"/>
      <c r="E1059" s="126"/>
      <c r="F1059" s="126"/>
      <c r="G1059" s="125"/>
      <c r="H1059" s="125"/>
      <c r="I1059" s="99"/>
      <c r="K1059" s="84"/>
      <c r="L1059" s="84"/>
      <c r="M1059" s="84"/>
      <c r="N1059" s="84"/>
      <c r="O1059" s="84"/>
      <c r="P1059" s="84"/>
      <c r="Q1059" s="84"/>
      <c r="R1059" s="84"/>
    </row>
    <row r="1060" ht="15.75" customHeight="1">
      <c r="A1060" s="125"/>
      <c r="B1060" s="125"/>
      <c r="C1060" s="125"/>
      <c r="D1060" s="125"/>
      <c r="E1060" s="126"/>
      <c r="F1060" s="126"/>
      <c r="G1060" s="125"/>
      <c r="H1060" s="125"/>
      <c r="I1060" s="99"/>
      <c r="K1060" s="84"/>
      <c r="L1060" s="84"/>
      <c r="M1060" s="84"/>
      <c r="N1060" s="84"/>
      <c r="O1060" s="84"/>
      <c r="P1060" s="84"/>
      <c r="Q1060" s="84"/>
      <c r="R1060" s="84"/>
    </row>
    <row r="1061" ht="15.75" customHeight="1">
      <c r="A1061" s="125"/>
      <c r="B1061" s="125"/>
      <c r="C1061" s="125"/>
      <c r="D1061" s="125"/>
      <c r="E1061" s="126"/>
      <c r="F1061" s="126"/>
      <c r="G1061" s="125"/>
      <c r="H1061" s="125"/>
      <c r="I1061" s="99"/>
      <c r="K1061" s="84"/>
      <c r="L1061" s="84"/>
      <c r="M1061" s="84"/>
      <c r="N1061" s="84"/>
      <c r="O1061" s="84"/>
      <c r="P1061" s="84"/>
      <c r="Q1061" s="84"/>
      <c r="R1061" s="84"/>
    </row>
    <row r="1062" ht="15.75" customHeight="1">
      <c r="A1062" s="125"/>
      <c r="B1062" s="125"/>
      <c r="C1062" s="125"/>
      <c r="D1062" s="125"/>
      <c r="E1062" s="126"/>
      <c r="F1062" s="126"/>
      <c r="G1062" s="125"/>
      <c r="H1062" s="125"/>
      <c r="I1062" s="99"/>
      <c r="K1062" s="84"/>
      <c r="L1062" s="84"/>
      <c r="M1062" s="84"/>
      <c r="N1062" s="84"/>
      <c r="O1062" s="84"/>
      <c r="P1062" s="84"/>
      <c r="Q1062" s="84"/>
      <c r="R1062" s="84"/>
    </row>
    <row r="1063" ht="15.75" customHeight="1">
      <c r="A1063" s="125"/>
      <c r="B1063" s="125"/>
      <c r="C1063" s="125"/>
      <c r="D1063" s="125"/>
      <c r="E1063" s="126"/>
      <c r="F1063" s="126"/>
      <c r="G1063" s="125"/>
      <c r="H1063" s="125"/>
      <c r="I1063" s="99"/>
      <c r="K1063" s="84"/>
      <c r="L1063" s="84"/>
      <c r="M1063" s="84"/>
      <c r="N1063" s="84"/>
      <c r="O1063" s="84"/>
      <c r="P1063" s="84"/>
      <c r="Q1063" s="84"/>
      <c r="R1063" s="84"/>
    </row>
    <row r="1064" ht="15.75" customHeight="1">
      <c r="A1064" s="125"/>
      <c r="B1064" s="125"/>
      <c r="C1064" s="125"/>
      <c r="D1064" s="125"/>
      <c r="E1064" s="126"/>
      <c r="F1064" s="126"/>
      <c r="G1064" s="125"/>
      <c r="H1064" s="125"/>
      <c r="I1064" s="99"/>
      <c r="K1064" s="84"/>
      <c r="L1064" s="84"/>
      <c r="M1064" s="84"/>
      <c r="N1064" s="84"/>
      <c r="O1064" s="84"/>
      <c r="P1064" s="84"/>
      <c r="Q1064" s="84"/>
      <c r="R1064" s="84"/>
    </row>
    <row r="1065" ht="15.75" customHeight="1">
      <c r="A1065" s="125"/>
      <c r="B1065" s="125"/>
      <c r="C1065" s="125"/>
      <c r="D1065" s="125"/>
      <c r="E1065" s="126"/>
      <c r="F1065" s="126"/>
      <c r="G1065" s="125"/>
      <c r="H1065" s="125"/>
      <c r="I1065" s="99"/>
      <c r="K1065" s="84"/>
      <c r="L1065" s="84"/>
      <c r="M1065" s="84"/>
      <c r="N1065" s="84"/>
      <c r="O1065" s="84"/>
      <c r="P1065" s="84"/>
      <c r="Q1065" s="84"/>
      <c r="R1065" s="84"/>
    </row>
    <row r="1066" ht="15.75" customHeight="1">
      <c r="A1066" s="125"/>
      <c r="B1066" s="125"/>
      <c r="C1066" s="125"/>
      <c r="D1066" s="125"/>
      <c r="E1066" s="126"/>
      <c r="F1066" s="126"/>
      <c r="G1066" s="125"/>
      <c r="H1066" s="125"/>
      <c r="I1066" s="99"/>
      <c r="K1066" s="84"/>
      <c r="L1066" s="84"/>
      <c r="M1066" s="84"/>
      <c r="N1066" s="84"/>
      <c r="O1066" s="84"/>
      <c r="P1066" s="84"/>
      <c r="Q1066" s="84"/>
      <c r="R1066" s="84"/>
    </row>
    <row r="1067" ht="15.75" customHeight="1">
      <c r="A1067" s="125"/>
      <c r="B1067" s="125"/>
      <c r="C1067" s="125"/>
      <c r="D1067" s="125"/>
      <c r="E1067" s="126"/>
      <c r="F1067" s="126"/>
      <c r="G1067" s="125"/>
      <c r="H1067" s="125"/>
      <c r="I1067" s="99"/>
      <c r="K1067" s="84"/>
      <c r="L1067" s="84"/>
      <c r="M1067" s="84"/>
      <c r="N1067" s="84"/>
      <c r="O1067" s="84"/>
      <c r="P1067" s="84"/>
      <c r="Q1067" s="84"/>
      <c r="R1067" s="84"/>
    </row>
    <row r="1068" ht="15.75" customHeight="1">
      <c r="A1068" s="125"/>
      <c r="B1068" s="125"/>
      <c r="C1068" s="125"/>
      <c r="D1068" s="125"/>
      <c r="E1068" s="126"/>
      <c r="F1068" s="126"/>
      <c r="G1068" s="125"/>
      <c r="H1068" s="125"/>
      <c r="I1068" s="99"/>
      <c r="K1068" s="84"/>
      <c r="L1068" s="84"/>
      <c r="M1068" s="84"/>
      <c r="N1068" s="84"/>
      <c r="O1068" s="84"/>
      <c r="P1068" s="84"/>
      <c r="Q1068" s="84"/>
      <c r="R1068" s="84"/>
    </row>
    <row r="1069" ht="15.75" customHeight="1">
      <c r="A1069" s="125"/>
      <c r="B1069" s="125"/>
      <c r="C1069" s="125"/>
      <c r="D1069" s="125"/>
      <c r="E1069" s="126"/>
      <c r="F1069" s="126"/>
      <c r="G1069" s="125"/>
      <c r="H1069" s="125"/>
      <c r="I1069" s="99"/>
      <c r="K1069" s="84"/>
      <c r="L1069" s="84"/>
      <c r="M1069" s="84"/>
      <c r="N1069" s="84"/>
      <c r="O1069" s="84"/>
      <c r="P1069" s="84"/>
      <c r="Q1069" s="84"/>
      <c r="R1069" s="84"/>
    </row>
    <row r="1070" ht="15.75" customHeight="1">
      <c r="A1070" s="125"/>
      <c r="B1070" s="125"/>
      <c r="C1070" s="125"/>
      <c r="D1070" s="125"/>
      <c r="E1070" s="126"/>
      <c r="F1070" s="126"/>
      <c r="G1070" s="125"/>
      <c r="H1070" s="125"/>
      <c r="I1070" s="99"/>
      <c r="K1070" s="84"/>
      <c r="L1070" s="84"/>
      <c r="M1070" s="84"/>
      <c r="N1070" s="84"/>
      <c r="O1070" s="84"/>
      <c r="P1070" s="84"/>
      <c r="Q1070" s="84"/>
      <c r="R1070" s="84"/>
    </row>
    <row r="1071" ht="15.75" customHeight="1">
      <c r="A1071" s="125"/>
      <c r="B1071" s="125"/>
      <c r="C1071" s="125"/>
      <c r="D1071" s="125"/>
      <c r="E1071" s="126"/>
      <c r="F1071" s="126"/>
      <c r="G1071" s="125"/>
      <c r="H1071" s="125"/>
      <c r="I1071" s="99"/>
      <c r="K1071" s="84"/>
      <c r="L1071" s="84"/>
      <c r="M1071" s="84"/>
      <c r="N1071" s="84"/>
      <c r="O1071" s="84"/>
      <c r="P1071" s="84"/>
      <c r="Q1071" s="84"/>
      <c r="R1071" s="84"/>
    </row>
    <row r="1072" ht="15.75" customHeight="1">
      <c r="A1072" s="125"/>
      <c r="B1072" s="125"/>
      <c r="C1072" s="125"/>
      <c r="D1072" s="125"/>
      <c r="E1072" s="126"/>
      <c r="F1072" s="126"/>
      <c r="G1072" s="125"/>
      <c r="H1072" s="125"/>
      <c r="I1072" s="99"/>
      <c r="K1072" s="84"/>
      <c r="L1072" s="84"/>
      <c r="M1072" s="84"/>
      <c r="N1072" s="84"/>
      <c r="O1072" s="84"/>
      <c r="P1072" s="84"/>
      <c r="Q1072" s="84"/>
      <c r="R1072" s="84"/>
    </row>
    <row r="1073" ht="15.75" customHeight="1">
      <c r="A1073" s="125"/>
      <c r="B1073" s="125"/>
      <c r="C1073" s="125"/>
      <c r="D1073" s="125"/>
      <c r="E1073" s="126"/>
      <c r="F1073" s="126"/>
      <c r="G1073" s="125"/>
      <c r="H1073" s="125"/>
      <c r="I1073" s="99"/>
      <c r="K1073" s="84"/>
      <c r="L1073" s="84"/>
      <c r="M1073" s="84"/>
      <c r="N1073" s="84"/>
      <c r="O1073" s="84"/>
      <c r="P1073" s="84"/>
      <c r="Q1073" s="84"/>
      <c r="R1073" s="84"/>
    </row>
    <row r="1074" ht="15.75" customHeight="1">
      <c r="A1074" s="125"/>
      <c r="B1074" s="125"/>
      <c r="C1074" s="125"/>
      <c r="D1074" s="125"/>
      <c r="E1074" s="126"/>
      <c r="F1074" s="126"/>
      <c r="G1074" s="125"/>
      <c r="H1074" s="125"/>
      <c r="I1074" s="99"/>
      <c r="K1074" s="84"/>
      <c r="L1074" s="84"/>
      <c r="M1074" s="84"/>
      <c r="N1074" s="84"/>
      <c r="O1074" s="84"/>
      <c r="P1074" s="84"/>
      <c r="Q1074" s="84"/>
      <c r="R1074" s="84"/>
    </row>
    <row r="1075" ht="15.75" customHeight="1">
      <c r="A1075" s="125"/>
      <c r="B1075" s="125"/>
      <c r="C1075" s="125"/>
      <c r="D1075" s="125"/>
      <c r="E1075" s="126"/>
      <c r="F1075" s="126"/>
      <c r="G1075" s="125"/>
      <c r="H1075" s="125"/>
      <c r="I1075" s="99"/>
      <c r="K1075" s="84"/>
      <c r="L1075" s="84"/>
      <c r="M1075" s="84"/>
      <c r="N1075" s="84"/>
      <c r="O1075" s="84"/>
      <c r="P1075" s="84"/>
      <c r="Q1075" s="84"/>
      <c r="R1075" s="84"/>
    </row>
    <row r="1076" ht="15.75" customHeight="1">
      <c r="A1076" s="125"/>
      <c r="B1076" s="125"/>
      <c r="C1076" s="125"/>
      <c r="D1076" s="125"/>
      <c r="E1076" s="126"/>
      <c r="F1076" s="126"/>
      <c r="G1076" s="125"/>
      <c r="H1076" s="125"/>
      <c r="I1076" s="99"/>
      <c r="K1076" s="84"/>
      <c r="L1076" s="84"/>
      <c r="M1076" s="84"/>
      <c r="N1076" s="84"/>
      <c r="O1076" s="84"/>
      <c r="P1076" s="84"/>
      <c r="Q1076" s="84"/>
      <c r="R1076" s="84"/>
    </row>
    <row r="1077" ht="15.75" customHeight="1">
      <c r="A1077" s="125"/>
      <c r="B1077" s="125"/>
      <c r="C1077" s="125"/>
      <c r="D1077" s="125"/>
      <c r="E1077" s="126"/>
      <c r="F1077" s="126"/>
      <c r="G1077" s="125"/>
      <c r="H1077" s="125"/>
      <c r="I1077" s="99"/>
      <c r="K1077" s="84"/>
      <c r="L1077" s="84"/>
      <c r="M1077" s="84"/>
      <c r="N1077" s="84"/>
      <c r="O1077" s="84"/>
      <c r="P1077" s="84"/>
      <c r="Q1077" s="84"/>
      <c r="R1077" s="84"/>
    </row>
    <row r="1078" ht="15.75" customHeight="1">
      <c r="A1078" s="125"/>
      <c r="B1078" s="125"/>
      <c r="C1078" s="125"/>
      <c r="D1078" s="125"/>
      <c r="E1078" s="126"/>
      <c r="F1078" s="126"/>
      <c r="G1078" s="125"/>
      <c r="H1078" s="125"/>
      <c r="I1078" s="99"/>
      <c r="K1078" s="84"/>
      <c r="L1078" s="84"/>
      <c r="M1078" s="84"/>
      <c r="N1078" s="84"/>
      <c r="O1078" s="84"/>
      <c r="P1078" s="84"/>
      <c r="Q1078" s="84"/>
      <c r="R1078" s="84"/>
    </row>
    <row r="1079" ht="15.75" customHeight="1">
      <c r="A1079" s="125"/>
      <c r="B1079" s="125"/>
      <c r="C1079" s="125"/>
      <c r="D1079" s="125"/>
      <c r="E1079" s="126"/>
      <c r="F1079" s="126"/>
      <c r="G1079" s="125"/>
      <c r="H1079" s="125"/>
      <c r="I1079" s="99"/>
      <c r="K1079" s="84"/>
      <c r="L1079" s="84"/>
      <c r="M1079" s="84"/>
      <c r="N1079" s="84"/>
      <c r="O1079" s="84"/>
      <c r="P1079" s="84"/>
      <c r="Q1079" s="84"/>
      <c r="R1079" s="84"/>
    </row>
    <row r="1080" ht="15.75" customHeight="1">
      <c r="A1080" s="125"/>
      <c r="B1080" s="125"/>
      <c r="C1080" s="125"/>
      <c r="D1080" s="125"/>
      <c r="E1080" s="126"/>
      <c r="F1080" s="126"/>
      <c r="G1080" s="125"/>
      <c r="H1080" s="125"/>
      <c r="I1080" s="99"/>
      <c r="K1080" s="84"/>
      <c r="L1080" s="84"/>
      <c r="M1080" s="84"/>
      <c r="N1080" s="84"/>
      <c r="O1080" s="84"/>
      <c r="P1080" s="84"/>
      <c r="Q1080" s="84"/>
      <c r="R1080" s="84"/>
    </row>
    <row r="1081" ht="15.75" customHeight="1">
      <c r="A1081" s="125"/>
      <c r="B1081" s="125"/>
      <c r="C1081" s="125"/>
      <c r="D1081" s="125"/>
      <c r="E1081" s="126"/>
      <c r="F1081" s="126"/>
      <c r="G1081" s="125"/>
      <c r="H1081" s="125"/>
      <c r="I1081" s="99"/>
      <c r="K1081" s="84"/>
      <c r="L1081" s="84"/>
      <c r="M1081" s="84"/>
      <c r="N1081" s="84"/>
      <c r="O1081" s="84"/>
      <c r="P1081" s="84"/>
      <c r="Q1081" s="84"/>
      <c r="R1081" s="84"/>
    </row>
    <row r="1082" ht="15.75" customHeight="1">
      <c r="A1082" s="125"/>
      <c r="B1082" s="125"/>
      <c r="C1082" s="125"/>
      <c r="D1082" s="125"/>
      <c r="E1082" s="126"/>
      <c r="F1082" s="126"/>
      <c r="G1082" s="125"/>
      <c r="H1082" s="125"/>
      <c r="I1082" s="99"/>
      <c r="K1082" s="84"/>
      <c r="L1082" s="84"/>
      <c r="M1082" s="84"/>
      <c r="N1082" s="84"/>
      <c r="O1082" s="84"/>
      <c r="P1082" s="84"/>
      <c r="Q1082" s="84"/>
      <c r="R1082" s="84"/>
    </row>
    <row r="1083" ht="15.75" customHeight="1">
      <c r="A1083" s="125"/>
      <c r="B1083" s="125"/>
      <c r="C1083" s="125"/>
      <c r="D1083" s="125"/>
      <c r="E1083" s="126"/>
      <c r="F1083" s="126"/>
      <c r="G1083" s="125"/>
      <c r="H1083" s="125"/>
      <c r="I1083" s="99"/>
      <c r="K1083" s="84"/>
      <c r="L1083" s="84"/>
      <c r="M1083" s="84"/>
      <c r="N1083" s="84"/>
      <c r="O1083" s="84"/>
      <c r="P1083" s="84"/>
      <c r="Q1083" s="84"/>
      <c r="R1083" s="84"/>
    </row>
    <row r="1084" ht="15.75" customHeight="1">
      <c r="A1084" s="125"/>
      <c r="B1084" s="125"/>
      <c r="C1084" s="125"/>
      <c r="D1084" s="125"/>
      <c r="E1084" s="126"/>
      <c r="F1084" s="126"/>
      <c r="G1084" s="125"/>
      <c r="H1084" s="125"/>
      <c r="I1084" s="99"/>
      <c r="K1084" s="84"/>
      <c r="L1084" s="84"/>
      <c r="M1084" s="84"/>
      <c r="N1084" s="84"/>
      <c r="O1084" s="84"/>
      <c r="P1084" s="84"/>
      <c r="Q1084" s="84"/>
      <c r="R1084" s="84"/>
    </row>
    <row r="1085" ht="15.75" customHeight="1">
      <c r="A1085" s="125"/>
      <c r="B1085" s="125"/>
      <c r="C1085" s="125"/>
      <c r="D1085" s="125"/>
      <c r="E1085" s="126"/>
      <c r="F1085" s="126"/>
      <c r="G1085" s="125"/>
      <c r="H1085" s="125"/>
      <c r="I1085" s="99"/>
      <c r="K1085" s="84"/>
      <c r="L1085" s="84"/>
      <c r="M1085" s="84"/>
      <c r="N1085" s="84"/>
      <c r="O1085" s="84"/>
      <c r="P1085" s="84"/>
      <c r="Q1085" s="84"/>
      <c r="R1085" s="84"/>
    </row>
    <row r="1086" ht="15.75" customHeight="1">
      <c r="A1086" s="125"/>
      <c r="B1086" s="125"/>
      <c r="C1086" s="125"/>
      <c r="D1086" s="125"/>
      <c r="E1086" s="126"/>
      <c r="F1086" s="126"/>
      <c r="G1086" s="125"/>
      <c r="H1086" s="125"/>
      <c r="I1086" s="99"/>
      <c r="K1086" s="84"/>
      <c r="L1086" s="84"/>
      <c r="M1086" s="84"/>
      <c r="N1086" s="84"/>
      <c r="O1086" s="84"/>
      <c r="P1086" s="84"/>
      <c r="Q1086" s="84"/>
      <c r="R1086" s="84"/>
    </row>
    <row r="1087" ht="15.75" customHeight="1">
      <c r="A1087" s="125"/>
      <c r="B1087" s="125"/>
      <c r="C1087" s="125"/>
      <c r="D1087" s="125"/>
      <c r="E1087" s="126"/>
      <c r="F1087" s="126"/>
      <c r="G1087" s="125"/>
      <c r="H1087" s="125"/>
      <c r="I1087" s="99"/>
      <c r="K1087" s="84"/>
      <c r="L1087" s="84"/>
      <c r="M1087" s="84"/>
      <c r="N1087" s="84"/>
      <c r="O1087" s="84"/>
      <c r="P1087" s="84"/>
      <c r="Q1087" s="84"/>
      <c r="R1087" s="84"/>
    </row>
    <row r="1088" ht="15.75" customHeight="1">
      <c r="A1088" s="125"/>
      <c r="B1088" s="125"/>
      <c r="C1088" s="125"/>
      <c r="D1088" s="125"/>
      <c r="E1088" s="126"/>
      <c r="F1088" s="126"/>
      <c r="G1088" s="125"/>
      <c r="H1088" s="125"/>
      <c r="I1088" s="99"/>
      <c r="K1088" s="84"/>
      <c r="L1088" s="84"/>
      <c r="M1088" s="84"/>
      <c r="N1088" s="84"/>
      <c r="O1088" s="84"/>
      <c r="P1088" s="84"/>
      <c r="Q1088" s="84"/>
      <c r="R1088" s="84"/>
    </row>
    <row r="1089" ht="15.75" customHeight="1">
      <c r="A1089" s="125"/>
      <c r="B1089" s="125"/>
      <c r="C1089" s="125"/>
      <c r="D1089" s="125"/>
      <c r="E1089" s="126"/>
      <c r="F1089" s="126"/>
      <c r="G1089" s="125"/>
      <c r="H1089" s="125"/>
      <c r="I1089" s="99"/>
      <c r="K1089" s="84"/>
      <c r="L1089" s="84"/>
      <c r="M1089" s="84"/>
      <c r="N1089" s="84"/>
      <c r="O1089" s="84"/>
      <c r="P1089" s="84"/>
      <c r="Q1089" s="84"/>
      <c r="R1089" s="84"/>
    </row>
    <row r="1090" ht="15.75" customHeight="1">
      <c r="A1090" s="125"/>
      <c r="B1090" s="125"/>
      <c r="C1090" s="125"/>
      <c r="D1090" s="125"/>
      <c r="E1090" s="126"/>
      <c r="F1090" s="126"/>
      <c r="G1090" s="125"/>
      <c r="H1090" s="125"/>
      <c r="I1090" s="99"/>
      <c r="K1090" s="84"/>
      <c r="L1090" s="84"/>
      <c r="M1090" s="84"/>
      <c r="N1090" s="84"/>
      <c r="O1090" s="84"/>
      <c r="P1090" s="84"/>
      <c r="Q1090" s="84"/>
      <c r="R1090" s="84"/>
    </row>
    <row r="1091" ht="15.75" customHeight="1">
      <c r="A1091" s="125"/>
      <c r="B1091" s="125"/>
      <c r="C1091" s="125"/>
      <c r="D1091" s="125"/>
      <c r="E1091" s="126"/>
      <c r="F1091" s="126"/>
      <c r="G1091" s="125"/>
      <c r="H1091" s="125"/>
      <c r="I1091" s="99"/>
      <c r="K1091" s="84"/>
      <c r="L1091" s="84"/>
      <c r="M1091" s="84"/>
      <c r="N1091" s="84"/>
      <c r="O1091" s="84"/>
      <c r="P1091" s="84"/>
      <c r="Q1091" s="84"/>
      <c r="R1091" s="84"/>
    </row>
    <row r="1092" ht="15.75" customHeight="1">
      <c r="A1092" s="125"/>
      <c r="B1092" s="125"/>
      <c r="C1092" s="125"/>
      <c r="D1092" s="125"/>
      <c r="E1092" s="126"/>
      <c r="F1092" s="126"/>
      <c r="G1092" s="125"/>
      <c r="H1092" s="125"/>
      <c r="I1092" s="99"/>
      <c r="K1092" s="84"/>
      <c r="L1092" s="84"/>
      <c r="M1092" s="84"/>
      <c r="N1092" s="84"/>
      <c r="O1092" s="84"/>
      <c r="P1092" s="84"/>
      <c r="Q1092" s="84"/>
      <c r="R1092" s="84"/>
    </row>
    <row r="1093" ht="15.75" customHeight="1">
      <c r="A1093" s="125"/>
      <c r="B1093" s="125"/>
      <c r="C1093" s="125"/>
      <c r="D1093" s="125"/>
      <c r="E1093" s="126"/>
      <c r="F1093" s="126"/>
      <c r="G1093" s="125"/>
      <c r="H1093" s="125"/>
      <c r="I1093" s="99"/>
      <c r="K1093" s="84"/>
      <c r="L1093" s="84"/>
      <c r="M1093" s="84"/>
      <c r="N1093" s="84"/>
      <c r="O1093" s="84"/>
      <c r="P1093" s="84"/>
      <c r="Q1093" s="84"/>
      <c r="R1093" s="84"/>
    </row>
    <row r="1094" ht="15.75" customHeight="1">
      <c r="A1094" s="125"/>
      <c r="B1094" s="125"/>
      <c r="C1094" s="125"/>
      <c r="D1094" s="125"/>
      <c r="E1094" s="126"/>
      <c r="F1094" s="126"/>
      <c r="G1094" s="125"/>
      <c r="H1094" s="125"/>
      <c r="I1094" s="99"/>
      <c r="K1094" s="84"/>
      <c r="L1094" s="84"/>
      <c r="M1094" s="84"/>
      <c r="N1094" s="84"/>
      <c r="O1094" s="84"/>
      <c r="P1094" s="84"/>
      <c r="Q1094" s="84"/>
      <c r="R1094" s="84"/>
    </row>
    <row r="1095" ht="15.75" customHeight="1">
      <c r="A1095" s="125"/>
      <c r="B1095" s="125"/>
      <c r="C1095" s="125"/>
      <c r="D1095" s="125"/>
      <c r="E1095" s="126"/>
      <c r="F1095" s="126"/>
      <c r="G1095" s="125"/>
      <c r="H1095" s="125"/>
      <c r="I1095" s="99"/>
      <c r="K1095" s="84"/>
      <c r="L1095" s="84"/>
      <c r="M1095" s="84"/>
      <c r="N1095" s="84"/>
      <c r="O1095" s="84"/>
      <c r="P1095" s="84"/>
      <c r="Q1095" s="84"/>
      <c r="R1095" s="84"/>
    </row>
    <row r="1096" ht="15.75" customHeight="1">
      <c r="A1096" s="125"/>
      <c r="B1096" s="125"/>
      <c r="C1096" s="125"/>
      <c r="D1096" s="125"/>
      <c r="E1096" s="126"/>
      <c r="F1096" s="126"/>
      <c r="G1096" s="125"/>
      <c r="H1096" s="125"/>
      <c r="I1096" s="99"/>
      <c r="K1096" s="84"/>
      <c r="L1096" s="84"/>
      <c r="M1096" s="84"/>
      <c r="N1096" s="84"/>
      <c r="O1096" s="84"/>
      <c r="P1096" s="84"/>
      <c r="Q1096" s="84"/>
      <c r="R1096" s="84"/>
    </row>
    <row r="1097" ht="15.75" customHeight="1">
      <c r="A1097" s="125"/>
      <c r="B1097" s="125"/>
      <c r="C1097" s="125"/>
      <c r="D1097" s="125"/>
      <c r="E1097" s="126"/>
      <c r="F1097" s="126"/>
      <c r="G1097" s="125"/>
      <c r="H1097" s="125"/>
      <c r="I1097" s="99"/>
      <c r="K1097" s="84"/>
      <c r="L1097" s="84"/>
      <c r="M1097" s="84"/>
      <c r="N1097" s="84"/>
      <c r="O1097" s="84"/>
      <c r="P1097" s="84"/>
      <c r="Q1097" s="84"/>
      <c r="R1097" s="84"/>
    </row>
    <row r="1098" ht="15.75" customHeight="1">
      <c r="A1098" s="125"/>
      <c r="B1098" s="125"/>
      <c r="C1098" s="125"/>
      <c r="D1098" s="125"/>
      <c r="E1098" s="126"/>
      <c r="F1098" s="126"/>
      <c r="G1098" s="125"/>
      <c r="H1098" s="125"/>
      <c r="I1098" s="99"/>
      <c r="K1098" s="84"/>
      <c r="L1098" s="84"/>
      <c r="M1098" s="84"/>
      <c r="N1098" s="84"/>
      <c r="O1098" s="84"/>
      <c r="P1098" s="84"/>
      <c r="Q1098" s="84"/>
      <c r="R1098" s="84"/>
    </row>
    <row r="1099" ht="15.75" customHeight="1">
      <c r="A1099" s="125"/>
      <c r="B1099" s="125"/>
      <c r="C1099" s="125"/>
      <c r="D1099" s="125"/>
      <c r="E1099" s="126"/>
      <c r="F1099" s="126"/>
      <c r="G1099" s="125"/>
      <c r="H1099" s="125"/>
      <c r="I1099" s="99"/>
      <c r="K1099" s="84"/>
      <c r="L1099" s="84"/>
      <c r="M1099" s="84"/>
      <c r="N1099" s="84"/>
      <c r="O1099" s="84"/>
      <c r="P1099" s="84"/>
      <c r="Q1099" s="84"/>
      <c r="R1099" s="84"/>
    </row>
    <row r="1100" ht="15.75" customHeight="1">
      <c r="A1100" s="125"/>
      <c r="B1100" s="125"/>
      <c r="C1100" s="125"/>
      <c r="D1100" s="125"/>
      <c r="E1100" s="126"/>
      <c r="F1100" s="126"/>
      <c r="G1100" s="125"/>
      <c r="H1100" s="125"/>
      <c r="I1100" s="99"/>
      <c r="K1100" s="84"/>
      <c r="L1100" s="84"/>
      <c r="M1100" s="84"/>
      <c r="N1100" s="84"/>
      <c r="O1100" s="84"/>
      <c r="P1100" s="84"/>
      <c r="Q1100" s="84"/>
      <c r="R1100" s="84"/>
    </row>
    <row r="1101" ht="15.75" customHeight="1">
      <c r="A1101" s="125"/>
      <c r="B1101" s="125"/>
      <c r="C1101" s="125"/>
      <c r="D1101" s="125"/>
      <c r="E1101" s="126"/>
      <c r="F1101" s="126"/>
      <c r="G1101" s="125"/>
      <c r="H1101" s="125"/>
      <c r="I1101" s="99"/>
      <c r="K1101" s="84"/>
      <c r="L1101" s="84"/>
      <c r="M1101" s="84"/>
      <c r="N1101" s="84"/>
      <c r="O1101" s="84"/>
      <c r="P1101" s="84"/>
      <c r="Q1101" s="84"/>
      <c r="R1101" s="84"/>
    </row>
    <row r="1102" ht="15.75" customHeight="1">
      <c r="A1102" s="125"/>
      <c r="B1102" s="125"/>
      <c r="C1102" s="125"/>
      <c r="D1102" s="125"/>
      <c r="E1102" s="126"/>
      <c r="F1102" s="126"/>
      <c r="G1102" s="125"/>
      <c r="H1102" s="125"/>
      <c r="I1102" s="99"/>
      <c r="K1102" s="84"/>
      <c r="L1102" s="84"/>
      <c r="M1102" s="84"/>
      <c r="N1102" s="84"/>
      <c r="O1102" s="84"/>
      <c r="P1102" s="84"/>
      <c r="Q1102" s="84"/>
      <c r="R1102" s="84"/>
    </row>
    <row r="1103" ht="15.75" customHeight="1">
      <c r="A1103" s="125"/>
      <c r="B1103" s="125"/>
      <c r="C1103" s="125"/>
      <c r="D1103" s="125"/>
      <c r="E1103" s="126"/>
      <c r="F1103" s="126"/>
      <c r="G1103" s="125"/>
      <c r="H1103" s="125"/>
      <c r="I1103" s="99"/>
      <c r="K1103" s="84"/>
      <c r="L1103" s="84"/>
      <c r="M1103" s="84"/>
      <c r="N1103" s="84"/>
      <c r="O1103" s="84"/>
      <c r="P1103" s="84"/>
      <c r="Q1103" s="84"/>
      <c r="R1103" s="84"/>
    </row>
    <row r="1104" ht="15.75" customHeight="1">
      <c r="A1104" s="125"/>
      <c r="B1104" s="125"/>
      <c r="C1104" s="125"/>
      <c r="D1104" s="125"/>
      <c r="E1104" s="126"/>
      <c r="F1104" s="126"/>
      <c r="G1104" s="125"/>
      <c r="H1104" s="125"/>
      <c r="I1104" s="99"/>
      <c r="K1104" s="84"/>
      <c r="L1104" s="84"/>
      <c r="M1104" s="84"/>
      <c r="N1104" s="84"/>
      <c r="O1104" s="84"/>
      <c r="P1104" s="84"/>
      <c r="Q1104" s="84"/>
      <c r="R1104" s="84"/>
    </row>
    <row r="1105" ht="15.75" customHeight="1">
      <c r="A1105" s="125"/>
      <c r="B1105" s="125"/>
      <c r="C1105" s="125"/>
      <c r="D1105" s="125"/>
      <c r="E1105" s="126"/>
      <c r="F1105" s="126"/>
      <c r="G1105" s="125"/>
      <c r="H1105" s="125"/>
      <c r="I1105" s="99"/>
      <c r="K1105" s="84"/>
      <c r="L1105" s="84"/>
      <c r="M1105" s="84"/>
      <c r="N1105" s="84"/>
      <c r="O1105" s="84"/>
      <c r="P1105" s="84"/>
      <c r="Q1105" s="84"/>
      <c r="R1105" s="84"/>
    </row>
    <row r="1106" ht="15.75" customHeight="1">
      <c r="A1106" s="125"/>
      <c r="B1106" s="125"/>
      <c r="C1106" s="125"/>
      <c r="D1106" s="125"/>
      <c r="E1106" s="126"/>
      <c r="F1106" s="126"/>
      <c r="G1106" s="125"/>
      <c r="H1106" s="125"/>
      <c r="I1106" s="99"/>
      <c r="K1106" s="84"/>
      <c r="L1106" s="84"/>
      <c r="M1106" s="84"/>
      <c r="N1106" s="84"/>
      <c r="O1106" s="84"/>
      <c r="P1106" s="84"/>
      <c r="Q1106" s="84"/>
      <c r="R1106" s="84"/>
    </row>
    <row r="1107" ht="15.75" customHeight="1">
      <c r="A1107" s="125"/>
      <c r="B1107" s="125"/>
      <c r="C1107" s="125"/>
      <c r="D1107" s="125"/>
      <c r="E1107" s="126"/>
      <c r="F1107" s="126"/>
      <c r="G1107" s="125"/>
      <c r="H1107" s="125"/>
      <c r="I1107" s="99"/>
      <c r="K1107" s="84"/>
      <c r="L1107" s="84"/>
      <c r="M1107" s="84"/>
      <c r="N1107" s="84"/>
      <c r="O1107" s="84"/>
      <c r="P1107" s="84"/>
      <c r="Q1107" s="84"/>
      <c r="R1107" s="84"/>
    </row>
    <row r="1108" ht="15.75" customHeight="1">
      <c r="A1108" s="125"/>
      <c r="B1108" s="125"/>
      <c r="C1108" s="125"/>
      <c r="D1108" s="125"/>
      <c r="E1108" s="126"/>
      <c r="F1108" s="126"/>
      <c r="G1108" s="125"/>
      <c r="H1108" s="125"/>
      <c r="I1108" s="99"/>
      <c r="K1108" s="84"/>
      <c r="L1108" s="84"/>
      <c r="M1108" s="84"/>
      <c r="N1108" s="84"/>
      <c r="O1108" s="84"/>
      <c r="P1108" s="84"/>
      <c r="Q1108" s="84"/>
      <c r="R1108" s="84"/>
    </row>
    <row r="1109" ht="15.75" customHeight="1">
      <c r="A1109" s="125"/>
      <c r="B1109" s="125"/>
      <c r="C1109" s="125"/>
      <c r="D1109" s="125"/>
      <c r="E1109" s="126"/>
      <c r="F1109" s="126"/>
      <c r="G1109" s="125"/>
      <c r="H1109" s="125"/>
      <c r="I1109" s="99"/>
      <c r="K1109" s="84"/>
      <c r="L1109" s="84"/>
      <c r="M1109" s="84"/>
      <c r="N1109" s="84"/>
      <c r="O1109" s="84"/>
      <c r="P1109" s="84"/>
      <c r="Q1109" s="84"/>
      <c r="R1109" s="84"/>
    </row>
    <row r="1110" ht="15.75" customHeight="1">
      <c r="A1110" s="125"/>
      <c r="B1110" s="125"/>
      <c r="C1110" s="125"/>
      <c r="D1110" s="125"/>
      <c r="E1110" s="126"/>
      <c r="F1110" s="126"/>
      <c r="G1110" s="125"/>
      <c r="H1110" s="125"/>
      <c r="I1110" s="99"/>
      <c r="K1110" s="84"/>
      <c r="L1110" s="84"/>
      <c r="M1110" s="84"/>
      <c r="N1110" s="84"/>
      <c r="O1110" s="84"/>
      <c r="P1110" s="84"/>
      <c r="Q1110" s="84"/>
      <c r="R1110" s="84"/>
    </row>
    <row r="1111" ht="15.75" customHeight="1">
      <c r="A1111" s="125"/>
      <c r="B1111" s="125"/>
      <c r="C1111" s="125"/>
      <c r="D1111" s="125"/>
      <c r="E1111" s="126"/>
      <c r="F1111" s="126"/>
      <c r="G1111" s="125"/>
      <c r="H1111" s="125"/>
      <c r="I1111" s="99"/>
      <c r="K1111" s="84"/>
      <c r="L1111" s="84"/>
      <c r="M1111" s="84"/>
      <c r="N1111" s="84"/>
      <c r="O1111" s="84"/>
      <c r="P1111" s="84"/>
      <c r="Q1111" s="84"/>
      <c r="R1111" s="84"/>
    </row>
    <row r="1112" ht="15.75" customHeight="1">
      <c r="A1112" s="125"/>
      <c r="B1112" s="125"/>
      <c r="C1112" s="125"/>
      <c r="D1112" s="125"/>
      <c r="E1112" s="126"/>
      <c r="F1112" s="126"/>
      <c r="G1112" s="125"/>
      <c r="H1112" s="125"/>
      <c r="I1112" s="99"/>
      <c r="K1112" s="84"/>
      <c r="L1112" s="84"/>
      <c r="M1112" s="84"/>
      <c r="N1112" s="84"/>
      <c r="O1112" s="84"/>
      <c r="P1112" s="84"/>
      <c r="Q1112" s="84"/>
      <c r="R1112" s="84"/>
    </row>
    <row r="1113" ht="15.75" customHeight="1">
      <c r="A1113" s="125"/>
      <c r="B1113" s="125"/>
      <c r="C1113" s="125"/>
      <c r="D1113" s="125"/>
      <c r="E1113" s="126"/>
      <c r="F1113" s="126"/>
      <c r="G1113" s="125"/>
      <c r="H1113" s="125"/>
      <c r="I1113" s="99"/>
      <c r="K1113" s="84"/>
      <c r="L1113" s="84"/>
      <c r="M1113" s="84"/>
      <c r="N1113" s="84"/>
      <c r="O1113" s="84"/>
      <c r="P1113" s="84"/>
      <c r="Q1113" s="84"/>
      <c r="R1113" s="84"/>
    </row>
    <row r="1114" ht="15.75" customHeight="1">
      <c r="A1114" s="125"/>
      <c r="B1114" s="125"/>
      <c r="C1114" s="125"/>
      <c r="D1114" s="125"/>
      <c r="E1114" s="126"/>
      <c r="F1114" s="126"/>
      <c r="G1114" s="125"/>
      <c r="H1114" s="125"/>
      <c r="I1114" s="99"/>
      <c r="K1114" s="84"/>
      <c r="L1114" s="84"/>
      <c r="M1114" s="84"/>
      <c r="N1114" s="84"/>
      <c r="O1114" s="84"/>
      <c r="P1114" s="84"/>
      <c r="Q1114" s="84"/>
      <c r="R1114" s="84"/>
    </row>
    <row r="1115" ht="15.75" customHeight="1">
      <c r="A1115" s="125"/>
      <c r="B1115" s="125"/>
      <c r="C1115" s="125"/>
      <c r="D1115" s="125"/>
      <c r="E1115" s="126"/>
      <c r="F1115" s="126"/>
      <c r="G1115" s="125"/>
      <c r="H1115" s="125"/>
      <c r="I1115" s="99"/>
      <c r="K1115" s="84"/>
      <c r="L1115" s="84"/>
      <c r="M1115" s="84"/>
      <c r="N1115" s="84"/>
      <c r="O1115" s="84"/>
      <c r="P1115" s="84"/>
      <c r="Q1115" s="84"/>
      <c r="R1115" s="84"/>
    </row>
    <row r="1116" ht="15.75" customHeight="1">
      <c r="A1116" s="125"/>
      <c r="B1116" s="125"/>
      <c r="C1116" s="125"/>
      <c r="D1116" s="125"/>
      <c r="E1116" s="126"/>
      <c r="F1116" s="126"/>
      <c r="G1116" s="125"/>
      <c r="H1116" s="125"/>
      <c r="I1116" s="99"/>
      <c r="K1116" s="84"/>
      <c r="L1116" s="84"/>
      <c r="M1116" s="84"/>
      <c r="N1116" s="84"/>
      <c r="O1116" s="84"/>
      <c r="P1116" s="84"/>
      <c r="Q1116" s="84"/>
      <c r="R1116" s="84"/>
    </row>
    <row r="1117" ht="15.75" customHeight="1">
      <c r="A1117" s="125"/>
      <c r="B1117" s="125"/>
      <c r="C1117" s="125"/>
      <c r="D1117" s="125"/>
      <c r="E1117" s="126"/>
      <c r="F1117" s="126"/>
      <c r="G1117" s="125"/>
      <c r="H1117" s="125"/>
      <c r="I1117" s="99"/>
      <c r="K1117" s="84"/>
      <c r="L1117" s="84"/>
      <c r="M1117" s="84"/>
      <c r="N1117" s="84"/>
      <c r="O1117" s="84"/>
      <c r="P1117" s="84"/>
      <c r="Q1117" s="84"/>
      <c r="R1117" s="84"/>
    </row>
    <row r="1118" ht="15.75" customHeight="1">
      <c r="A1118" s="125"/>
      <c r="B1118" s="125"/>
      <c r="C1118" s="125"/>
      <c r="D1118" s="125"/>
      <c r="E1118" s="126"/>
      <c r="F1118" s="126"/>
      <c r="G1118" s="125"/>
      <c r="H1118" s="125"/>
      <c r="I1118" s="99"/>
      <c r="K1118" s="84"/>
      <c r="L1118" s="84"/>
      <c r="M1118" s="84"/>
      <c r="N1118" s="84"/>
      <c r="O1118" s="84"/>
      <c r="P1118" s="84"/>
      <c r="Q1118" s="84"/>
      <c r="R1118" s="84"/>
    </row>
    <row r="1119" ht="15.75" customHeight="1">
      <c r="A1119" s="125"/>
      <c r="B1119" s="125"/>
      <c r="C1119" s="125"/>
      <c r="D1119" s="125"/>
      <c r="E1119" s="126"/>
      <c r="F1119" s="126"/>
      <c r="G1119" s="125"/>
      <c r="H1119" s="125"/>
      <c r="I1119" s="99"/>
      <c r="K1119" s="84"/>
      <c r="L1119" s="84"/>
      <c r="M1119" s="84"/>
      <c r="N1119" s="84"/>
      <c r="O1119" s="84"/>
      <c r="P1119" s="84"/>
      <c r="Q1119" s="84"/>
      <c r="R1119" s="84"/>
    </row>
    <row r="1120" ht="15.75" customHeight="1">
      <c r="A1120" s="125"/>
      <c r="B1120" s="125"/>
      <c r="C1120" s="125"/>
      <c r="D1120" s="125"/>
      <c r="E1120" s="126"/>
      <c r="F1120" s="126"/>
      <c r="G1120" s="125"/>
      <c r="H1120" s="125"/>
      <c r="I1120" s="99"/>
      <c r="K1120" s="84"/>
      <c r="L1120" s="84"/>
      <c r="M1120" s="84"/>
      <c r="N1120" s="84"/>
      <c r="O1120" s="84"/>
      <c r="P1120" s="84"/>
      <c r="Q1120" s="84"/>
      <c r="R1120" s="84"/>
    </row>
    <row r="1121" ht="15.75" customHeight="1">
      <c r="A1121" s="125"/>
      <c r="B1121" s="125"/>
      <c r="C1121" s="125"/>
      <c r="D1121" s="125"/>
      <c r="E1121" s="126"/>
      <c r="F1121" s="126"/>
      <c r="G1121" s="125"/>
      <c r="H1121" s="125"/>
      <c r="I1121" s="99"/>
      <c r="K1121" s="84"/>
      <c r="L1121" s="84"/>
      <c r="M1121" s="84"/>
      <c r="N1121" s="84"/>
      <c r="O1121" s="84"/>
      <c r="P1121" s="84"/>
      <c r="Q1121" s="84"/>
      <c r="R1121" s="84"/>
    </row>
    <row r="1122" ht="15.75" customHeight="1">
      <c r="A1122" s="125"/>
      <c r="B1122" s="125"/>
      <c r="C1122" s="125"/>
      <c r="D1122" s="125"/>
      <c r="E1122" s="126"/>
      <c r="F1122" s="126"/>
      <c r="G1122" s="125"/>
      <c r="H1122" s="125"/>
      <c r="I1122" s="99"/>
      <c r="K1122" s="84"/>
      <c r="L1122" s="84"/>
      <c r="M1122" s="84"/>
      <c r="N1122" s="84"/>
      <c r="O1122" s="84"/>
      <c r="P1122" s="84"/>
      <c r="Q1122" s="84"/>
      <c r="R1122" s="84"/>
    </row>
    <row r="1123" ht="15.75" customHeight="1">
      <c r="A1123" s="125"/>
      <c r="B1123" s="125"/>
      <c r="C1123" s="125"/>
      <c r="D1123" s="125"/>
      <c r="E1123" s="126"/>
      <c r="F1123" s="126"/>
      <c r="G1123" s="125"/>
      <c r="H1123" s="125"/>
      <c r="I1123" s="99"/>
      <c r="K1123" s="84"/>
      <c r="L1123" s="84"/>
      <c r="M1123" s="84"/>
      <c r="N1123" s="84"/>
      <c r="O1123" s="84"/>
      <c r="P1123" s="84"/>
      <c r="Q1123" s="84"/>
      <c r="R1123" s="84"/>
    </row>
    <row r="1124" ht="15.75" customHeight="1">
      <c r="A1124" s="125"/>
      <c r="B1124" s="125"/>
      <c r="C1124" s="125"/>
      <c r="D1124" s="125"/>
      <c r="E1124" s="126"/>
      <c r="F1124" s="126"/>
      <c r="G1124" s="125"/>
      <c r="H1124" s="125"/>
      <c r="I1124" s="99"/>
      <c r="K1124" s="84"/>
      <c r="L1124" s="84"/>
      <c r="M1124" s="84"/>
      <c r="N1124" s="84"/>
      <c r="O1124" s="84"/>
      <c r="P1124" s="84"/>
      <c r="Q1124" s="84"/>
      <c r="R1124" s="84"/>
    </row>
    <row r="1125" ht="15.75" customHeight="1">
      <c r="A1125" s="125"/>
      <c r="B1125" s="125"/>
      <c r="C1125" s="125"/>
      <c r="D1125" s="125"/>
      <c r="E1125" s="126"/>
      <c r="F1125" s="126"/>
      <c r="G1125" s="125"/>
      <c r="H1125" s="125"/>
      <c r="I1125" s="99"/>
      <c r="K1125" s="84"/>
      <c r="L1125" s="84"/>
      <c r="M1125" s="84"/>
      <c r="N1125" s="84"/>
      <c r="O1125" s="84"/>
      <c r="P1125" s="84"/>
      <c r="Q1125" s="84"/>
      <c r="R1125" s="84"/>
    </row>
    <row r="1126" ht="15.75" customHeight="1">
      <c r="A1126" s="125"/>
      <c r="B1126" s="125"/>
      <c r="C1126" s="125"/>
      <c r="D1126" s="125"/>
      <c r="E1126" s="126"/>
      <c r="F1126" s="126"/>
      <c r="G1126" s="125"/>
      <c r="H1126" s="125"/>
      <c r="I1126" s="99"/>
      <c r="K1126" s="84"/>
      <c r="L1126" s="84"/>
      <c r="M1126" s="84"/>
      <c r="N1126" s="84"/>
      <c r="O1126" s="84"/>
      <c r="P1126" s="84"/>
      <c r="Q1126" s="84"/>
      <c r="R1126" s="84"/>
    </row>
    <row r="1127" ht="15.75" customHeight="1">
      <c r="A1127" s="125"/>
      <c r="B1127" s="125"/>
      <c r="C1127" s="125"/>
      <c r="D1127" s="125"/>
      <c r="E1127" s="126"/>
      <c r="F1127" s="126"/>
      <c r="G1127" s="125"/>
      <c r="H1127" s="125"/>
      <c r="I1127" s="99"/>
      <c r="K1127" s="84"/>
      <c r="L1127" s="84"/>
      <c r="M1127" s="84"/>
      <c r="N1127" s="84"/>
      <c r="O1127" s="84"/>
      <c r="P1127" s="84"/>
      <c r="Q1127" s="84"/>
      <c r="R1127" s="84"/>
    </row>
    <row r="1128" ht="15.75" customHeight="1">
      <c r="A1128" s="125"/>
      <c r="B1128" s="125"/>
      <c r="C1128" s="125"/>
      <c r="D1128" s="125"/>
      <c r="E1128" s="126"/>
      <c r="F1128" s="126"/>
      <c r="G1128" s="125"/>
      <c r="H1128" s="125"/>
      <c r="I1128" s="99"/>
      <c r="K1128" s="84"/>
      <c r="L1128" s="84"/>
      <c r="M1128" s="84"/>
      <c r="N1128" s="84"/>
      <c r="O1128" s="84"/>
      <c r="P1128" s="84"/>
      <c r="Q1128" s="84"/>
      <c r="R1128" s="84"/>
    </row>
    <row r="1129" ht="15.75" customHeight="1">
      <c r="A1129" s="125"/>
      <c r="B1129" s="125"/>
      <c r="C1129" s="125"/>
      <c r="D1129" s="125"/>
      <c r="E1129" s="126"/>
      <c r="F1129" s="126"/>
      <c r="G1129" s="125"/>
      <c r="H1129" s="125"/>
      <c r="I1129" s="99"/>
      <c r="K1129" s="84"/>
      <c r="L1129" s="84"/>
      <c r="M1129" s="84"/>
      <c r="N1129" s="84"/>
      <c r="O1129" s="84"/>
      <c r="P1129" s="84"/>
      <c r="Q1129" s="84"/>
      <c r="R1129" s="84"/>
    </row>
    <row r="1130" ht="15.75" customHeight="1">
      <c r="A1130" s="125"/>
      <c r="B1130" s="125"/>
      <c r="C1130" s="125"/>
      <c r="D1130" s="125"/>
      <c r="E1130" s="126"/>
      <c r="F1130" s="126"/>
      <c r="G1130" s="125"/>
      <c r="H1130" s="125"/>
      <c r="I1130" s="99"/>
      <c r="K1130" s="84"/>
      <c r="L1130" s="84"/>
      <c r="M1130" s="84"/>
      <c r="N1130" s="84"/>
      <c r="O1130" s="84"/>
      <c r="P1130" s="84"/>
      <c r="Q1130" s="84"/>
      <c r="R1130" s="84"/>
    </row>
    <row r="1131" ht="15.75" customHeight="1">
      <c r="A1131" s="125"/>
      <c r="B1131" s="125"/>
      <c r="C1131" s="125"/>
      <c r="D1131" s="125"/>
      <c r="E1131" s="126"/>
      <c r="F1131" s="126"/>
      <c r="G1131" s="125"/>
      <c r="H1131" s="125"/>
      <c r="I1131" s="99"/>
      <c r="K1131" s="84"/>
      <c r="L1131" s="84"/>
      <c r="M1131" s="84"/>
      <c r="N1131" s="84"/>
      <c r="O1131" s="84"/>
      <c r="P1131" s="84"/>
      <c r="Q1131" s="84"/>
      <c r="R1131" s="84"/>
    </row>
    <row r="1132" ht="15.75" customHeight="1">
      <c r="A1132" s="125"/>
      <c r="B1132" s="125"/>
      <c r="C1132" s="125"/>
      <c r="D1132" s="125"/>
      <c r="E1132" s="126"/>
      <c r="F1132" s="126"/>
      <c r="G1132" s="125"/>
      <c r="H1132" s="125"/>
      <c r="I1132" s="99"/>
      <c r="K1132" s="84"/>
      <c r="L1132" s="84"/>
      <c r="M1132" s="84"/>
      <c r="N1132" s="84"/>
      <c r="O1132" s="84"/>
      <c r="P1132" s="84"/>
      <c r="Q1132" s="84"/>
      <c r="R1132" s="84"/>
    </row>
    <row r="1133" ht="15.75" customHeight="1">
      <c r="A1133" s="125"/>
      <c r="B1133" s="125"/>
      <c r="C1133" s="125"/>
      <c r="D1133" s="125"/>
      <c r="E1133" s="126"/>
      <c r="F1133" s="126"/>
      <c r="G1133" s="125"/>
      <c r="H1133" s="125"/>
      <c r="I1133" s="99"/>
      <c r="K1133" s="84"/>
      <c r="L1133" s="84"/>
      <c r="M1133" s="84"/>
      <c r="N1133" s="84"/>
      <c r="O1133" s="84"/>
      <c r="P1133" s="84"/>
      <c r="Q1133" s="84"/>
      <c r="R1133" s="84"/>
    </row>
    <row r="1134" ht="15.75" customHeight="1">
      <c r="A1134" s="125"/>
      <c r="B1134" s="125"/>
      <c r="C1134" s="125"/>
      <c r="D1134" s="125"/>
      <c r="E1134" s="126"/>
      <c r="F1134" s="126"/>
      <c r="G1134" s="125"/>
      <c r="H1134" s="125"/>
      <c r="I1134" s="99"/>
      <c r="K1134" s="84"/>
      <c r="L1134" s="84"/>
      <c r="M1134" s="84"/>
      <c r="N1134" s="84"/>
      <c r="O1134" s="84"/>
      <c r="P1134" s="84"/>
      <c r="Q1134" s="84"/>
      <c r="R1134" s="84"/>
    </row>
    <row r="1135" ht="15.75" customHeight="1">
      <c r="A1135" s="125"/>
      <c r="B1135" s="125"/>
      <c r="C1135" s="125"/>
      <c r="D1135" s="125"/>
      <c r="E1135" s="126"/>
      <c r="F1135" s="126"/>
      <c r="G1135" s="125"/>
      <c r="H1135" s="125"/>
      <c r="I1135" s="99"/>
      <c r="K1135" s="84"/>
      <c r="L1135" s="84"/>
      <c r="M1135" s="84"/>
      <c r="N1135" s="84"/>
      <c r="O1135" s="84"/>
      <c r="P1135" s="84"/>
      <c r="Q1135" s="84"/>
      <c r="R1135" s="84"/>
    </row>
    <row r="1136" ht="15.75" customHeight="1">
      <c r="A1136" s="125"/>
      <c r="B1136" s="125"/>
      <c r="C1136" s="125"/>
      <c r="D1136" s="125"/>
      <c r="E1136" s="126"/>
      <c r="F1136" s="126"/>
      <c r="G1136" s="125"/>
      <c r="H1136" s="125"/>
      <c r="I1136" s="99"/>
      <c r="K1136" s="84"/>
      <c r="L1136" s="84"/>
      <c r="M1136" s="84"/>
      <c r="N1136" s="84"/>
      <c r="O1136" s="84"/>
      <c r="P1136" s="84"/>
      <c r="Q1136" s="84"/>
      <c r="R1136" s="84"/>
    </row>
    <row r="1137" ht="15.75" customHeight="1">
      <c r="A1137" s="125"/>
      <c r="B1137" s="125"/>
      <c r="C1137" s="125"/>
      <c r="D1137" s="125"/>
      <c r="E1137" s="126"/>
      <c r="F1137" s="126"/>
      <c r="G1137" s="125"/>
      <c r="H1137" s="125"/>
      <c r="I1137" s="99"/>
      <c r="K1137" s="84"/>
      <c r="L1137" s="84"/>
      <c r="M1137" s="84"/>
      <c r="N1137" s="84"/>
      <c r="O1137" s="84"/>
      <c r="P1137" s="84"/>
      <c r="Q1137" s="84"/>
      <c r="R1137" s="84"/>
    </row>
    <row r="1138" ht="15.75" customHeight="1">
      <c r="A1138" s="125"/>
      <c r="B1138" s="125"/>
      <c r="C1138" s="125"/>
      <c r="D1138" s="125"/>
      <c r="E1138" s="126"/>
      <c r="F1138" s="126"/>
      <c r="G1138" s="125"/>
      <c r="H1138" s="125"/>
      <c r="I1138" s="99"/>
      <c r="K1138" s="84"/>
      <c r="L1138" s="84"/>
      <c r="M1138" s="84"/>
      <c r="N1138" s="84"/>
      <c r="O1138" s="84"/>
      <c r="P1138" s="84"/>
      <c r="Q1138" s="84"/>
      <c r="R1138" s="84"/>
    </row>
    <row r="1139" ht="15.75" customHeight="1">
      <c r="A1139" s="125"/>
      <c r="B1139" s="125"/>
      <c r="C1139" s="125"/>
      <c r="D1139" s="125"/>
      <c r="E1139" s="126"/>
      <c r="F1139" s="126"/>
      <c r="G1139" s="125"/>
      <c r="H1139" s="125"/>
      <c r="I1139" s="99"/>
      <c r="K1139" s="84"/>
      <c r="L1139" s="84"/>
      <c r="M1139" s="84"/>
      <c r="N1139" s="84"/>
      <c r="O1139" s="84"/>
      <c r="P1139" s="84"/>
      <c r="Q1139" s="84"/>
      <c r="R1139" s="84"/>
    </row>
    <row r="1140" ht="15.75" customHeight="1">
      <c r="A1140" s="125"/>
      <c r="B1140" s="125"/>
      <c r="C1140" s="125"/>
      <c r="D1140" s="125"/>
      <c r="E1140" s="126"/>
      <c r="F1140" s="126"/>
      <c r="G1140" s="125"/>
      <c r="H1140" s="125"/>
      <c r="I1140" s="99"/>
      <c r="K1140" s="84"/>
      <c r="L1140" s="84"/>
      <c r="M1140" s="84"/>
      <c r="N1140" s="84"/>
      <c r="O1140" s="84"/>
      <c r="P1140" s="84"/>
      <c r="Q1140" s="84"/>
      <c r="R1140" s="84"/>
    </row>
    <row r="1141" ht="15.75" customHeight="1">
      <c r="A1141" s="125"/>
      <c r="B1141" s="125"/>
      <c r="C1141" s="125"/>
      <c r="D1141" s="125"/>
      <c r="E1141" s="126"/>
      <c r="F1141" s="126"/>
      <c r="G1141" s="125"/>
      <c r="H1141" s="125"/>
      <c r="I1141" s="99"/>
      <c r="K1141" s="84"/>
      <c r="L1141" s="84"/>
      <c r="M1141" s="84"/>
      <c r="N1141" s="84"/>
      <c r="O1141" s="84"/>
      <c r="P1141" s="84"/>
      <c r="Q1141" s="84"/>
      <c r="R1141" s="84"/>
    </row>
    <row r="1142" ht="15.75" customHeight="1">
      <c r="A1142" s="125"/>
      <c r="B1142" s="125"/>
      <c r="C1142" s="125"/>
      <c r="D1142" s="125"/>
      <c r="E1142" s="126"/>
      <c r="F1142" s="126"/>
      <c r="G1142" s="125"/>
      <c r="H1142" s="125"/>
      <c r="I1142" s="99"/>
      <c r="K1142" s="84"/>
      <c r="L1142" s="84"/>
      <c r="M1142" s="84"/>
      <c r="N1142" s="84"/>
      <c r="O1142" s="84"/>
      <c r="P1142" s="84"/>
      <c r="Q1142" s="84"/>
      <c r="R1142" s="84"/>
    </row>
    <row r="1143" ht="15.75" customHeight="1">
      <c r="A1143" s="125"/>
      <c r="B1143" s="125"/>
      <c r="C1143" s="125"/>
      <c r="D1143" s="125"/>
      <c r="E1143" s="126"/>
      <c r="F1143" s="126"/>
      <c r="G1143" s="125"/>
      <c r="H1143" s="125"/>
      <c r="I1143" s="99"/>
      <c r="K1143" s="84"/>
      <c r="L1143" s="84"/>
      <c r="M1143" s="84"/>
      <c r="N1143" s="84"/>
      <c r="O1143" s="84"/>
      <c r="P1143" s="84"/>
      <c r="Q1143" s="84"/>
      <c r="R1143" s="84"/>
    </row>
    <row r="1144" ht="15.75" customHeight="1">
      <c r="A1144" s="125"/>
      <c r="B1144" s="125"/>
      <c r="C1144" s="125"/>
      <c r="D1144" s="125"/>
      <c r="E1144" s="126"/>
      <c r="F1144" s="126"/>
      <c r="G1144" s="125"/>
      <c r="H1144" s="125"/>
      <c r="I1144" s="99"/>
      <c r="K1144" s="84"/>
      <c r="L1144" s="84"/>
      <c r="M1144" s="84"/>
      <c r="N1144" s="84"/>
      <c r="O1144" s="84"/>
      <c r="P1144" s="84"/>
      <c r="Q1144" s="84"/>
      <c r="R1144" s="84"/>
    </row>
    <row r="1145" ht="15.75" customHeight="1">
      <c r="A1145" s="125"/>
      <c r="B1145" s="125"/>
      <c r="C1145" s="125"/>
      <c r="D1145" s="125"/>
      <c r="E1145" s="126"/>
      <c r="F1145" s="126"/>
      <c r="G1145" s="125"/>
      <c r="H1145" s="125"/>
      <c r="I1145" s="99"/>
      <c r="K1145" s="84"/>
      <c r="L1145" s="84"/>
      <c r="M1145" s="84"/>
      <c r="N1145" s="84"/>
      <c r="O1145" s="84"/>
      <c r="P1145" s="84"/>
      <c r="Q1145" s="84"/>
      <c r="R1145" s="84"/>
    </row>
    <row r="1146" ht="15.75" customHeight="1">
      <c r="A1146" s="125"/>
      <c r="B1146" s="125"/>
      <c r="C1146" s="125"/>
      <c r="D1146" s="125"/>
      <c r="E1146" s="126"/>
      <c r="F1146" s="126"/>
      <c r="G1146" s="125"/>
      <c r="H1146" s="125"/>
      <c r="I1146" s="99"/>
      <c r="K1146" s="84"/>
      <c r="L1146" s="84"/>
      <c r="M1146" s="84"/>
      <c r="N1146" s="84"/>
      <c r="O1146" s="84"/>
      <c r="P1146" s="84"/>
      <c r="Q1146" s="84"/>
      <c r="R1146" s="84"/>
    </row>
    <row r="1147" ht="15.75" customHeight="1">
      <c r="A1147" s="125"/>
      <c r="B1147" s="125"/>
      <c r="C1147" s="125"/>
      <c r="D1147" s="125"/>
      <c r="E1147" s="126"/>
      <c r="F1147" s="126"/>
      <c r="G1147" s="125"/>
      <c r="H1147" s="125"/>
      <c r="I1147" s="99"/>
      <c r="K1147" s="84"/>
      <c r="L1147" s="84"/>
      <c r="M1147" s="84"/>
      <c r="N1147" s="84"/>
      <c r="O1147" s="84"/>
      <c r="P1147" s="84"/>
      <c r="Q1147" s="84"/>
      <c r="R1147" s="84"/>
    </row>
    <row r="1148" ht="15.75" customHeight="1">
      <c r="A1148" s="125"/>
      <c r="B1148" s="125"/>
      <c r="C1148" s="125"/>
      <c r="D1148" s="125"/>
      <c r="E1148" s="126"/>
      <c r="F1148" s="126"/>
      <c r="G1148" s="125"/>
      <c r="H1148" s="125"/>
      <c r="I1148" s="99"/>
      <c r="K1148" s="84"/>
      <c r="L1148" s="84"/>
      <c r="M1148" s="84"/>
      <c r="N1148" s="84"/>
      <c r="O1148" s="84"/>
      <c r="P1148" s="84"/>
      <c r="Q1148" s="84"/>
      <c r="R1148" s="84"/>
    </row>
    <row r="1149" ht="15.75" customHeight="1">
      <c r="A1149" s="125"/>
      <c r="B1149" s="125"/>
      <c r="C1149" s="125"/>
      <c r="D1149" s="125"/>
      <c r="E1149" s="126"/>
      <c r="F1149" s="126"/>
      <c r="G1149" s="125"/>
      <c r="H1149" s="125"/>
      <c r="I1149" s="99"/>
      <c r="K1149" s="84"/>
      <c r="L1149" s="84"/>
      <c r="M1149" s="84"/>
      <c r="N1149" s="84"/>
      <c r="O1149" s="84"/>
      <c r="P1149" s="84"/>
      <c r="Q1149" s="84"/>
      <c r="R1149" s="84"/>
    </row>
    <row r="1150" ht="15.75" customHeight="1">
      <c r="A1150" s="125"/>
      <c r="B1150" s="125"/>
      <c r="C1150" s="125"/>
      <c r="D1150" s="125"/>
      <c r="E1150" s="126"/>
      <c r="F1150" s="126"/>
      <c r="G1150" s="125"/>
      <c r="H1150" s="125"/>
      <c r="I1150" s="99"/>
      <c r="K1150" s="84"/>
      <c r="L1150" s="84"/>
      <c r="M1150" s="84"/>
      <c r="N1150" s="84"/>
      <c r="O1150" s="84"/>
      <c r="P1150" s="84"/>
      <c r="Q1150" s="84"/>
      <c r="R1150" s="84"/>
    </row>
    <row r="1151" ht="15.75" customHeight="1">
      <c r="A1151" s="125"/>
      <c r="B1151" s="125"/>
      <c r="C1151" s="125"/>
      <c r="D1151" s="125"/>
      <c r="E1151" s="126"/>
      <c r="F1151" s="126"/>
      <c r="G1151" s="125"/>
      <c r="H1151" s="125"/>
      <c r="I1151" s="99"/>
      <c r="K1151" s="84"/>
      <c r="L1151" s="84"/>
      <c r="M1151" s="84"/>
      <c r="N1151" s="84"/>
      <c r="O1151" s="84"/>
      <c r="P1151" s="84"/>
      <c r="Q1151" s="84"/>
      <c r="R1151" s="84"/>
    </row>
    <row r="1152" ht="15.75" customHeight="1">
      <c r="A1152" s="125"/>
      <c r="B1152" s="125"/>
      <c r="C1152" s="125"/>
      <c r="D1152" s="125"/>
      <c r="E1152" s="126"/>
      <c r="F1152" s="126"/>
      <c r="G1152" s="125"/>
      <c r="H1152" s="125"/>
      <c r="I1152" s="99"/>
      <c r="K1152" s="84"/>
      <c r="L1152" s="84"/>
      <c r="M1152" s="84"/>
      <c r="N1152" s="84"/>
      <c r="O1152" s="84"/>
      <c r="P1152" s="84"/>
      <c r="Q1152" s="84"/>
      <c r="R1152" s="84"/>
    </row>
    <row r="1153" ht="15.75" customHeight="1">
      <c r="A1153" s="125"/>
      <c r="B1153" s="125"/>
      <c r="C1153" s="125"/>
      <c r="D1153" s="125"/>
      <c r="E1153" s="126"/>
      <c r="F1153" s="126"/>
      <c r="G1153" s="125"/>
      <c r="H1153" s="125"/>
      <c r="I1153" s="99"/>
      <c r="K1153" s="84"/>
      <c r="L1153" s="84"/>
      <c r="M1153" s="84"/>
      <c r="N1153" s="84"/>
      <c r="O1153" s="84"/>
      <c r="P1153" s="84"/>
      <c r="Q1153" s="84"/>
      <c r="R1153" s="84"/>
    </row>
    <row r="1154" ht="15.75" customHeight="1">
      <c r="A1154" s="125"/>
      <c r="B1154" s="125"/>
      <c r="C1154" s="125"/>
      <c r="D1154" s="125"/>
      <c r="E1154" s="126"/>
      <c r="F1154" s="126"/>
      <c r="G1154" s="125"/>
      <c r="H1154" s="125"/>
      <c r="I1154" s="99"/>
      <c r="K1154" s="84"/>
      <c r="L1154" s="84"/>
      <c r="M1154" s="84"/>
      <c r="N1154" s="84"/>
      <c r="O1154" s="84"/>
      <c r="P1154" s="84"/>
      <c r="Q1154" s="84"/>
      <c r="R1154" s="84"/>
    </row>
    <row r="1155" ht="15.75" customHeight="1">
      <c r="A1155" s="125"/>
      <c r="B1155" s="125"/>
      <c r="C1155" s="125"/>
      <c r="D1155" s="125"/>
      <c r="E1155" s="126"/>
      <c r="F1155" s="126"/>
      <c r="G1155" s="125"/>
      <c r="H1155" s="125"/>
      <c r="I1155" s="99"/>
      <c r="K1155" s="84"/>
      <c r="L1155" s="84"/>
      <c r="M1155" s="84"/>
      <c r="N1155" s="84"/>
      <c r="O1155" s="84"/>
      <c r="P1155" s="84"/>
      <c r="Q1155" s="84"/>
      <c r="R1155" s="84"/>
    </row>
    <row r="1156" ht="15.75" customHeight="1">
      <c r="A1156" s="125"/>
      <c r="B1156" s="125"/>
      <c r="C1156" s="125"/>
      <c r="D1156" s="125"/>
      <c r="E1156" s="126"/>
      <c r="F1156" s="126"/>
      <c r="G1156" s="125"/>
      <c r="H1156" s="125"/>
      <c r="I1156" s="99"/>
      <c r="K1156" s="84"/>
      <c r="L1156" s="84"/>
      <c r="M1156" s="84"/>
      <c r="N1156" s="84"/>
      <c r="O1156" s="84"/>
      <c r="P1156" s="84"/>
      <c r="Q1156" s="84"/>
      <c r="R1156" s="84"/>
    </row>
    <row r="1157" ht="15.75" customHeight="1">
      <c r="A1157" s="125"/>
      <c r="B1157" s="125"/>
      <c r="C1157" s="125"/>
      <c r="D1157" s="125"/>
      <c r="E1157" s="126"/>
      <c r="F1157" s="126"/>
      <c r="G1157" s="125"/>
      <c r="H1157" s="125"/>
      <c r="I1157" s="99"/>
      <c r="K1157" s="84"/>
      <c r="L1157" s="84"/>
      <c r="M1157" s="84"/>
      <c r="N1157" s="84"/>
      <c r="O1157" s="84"/>
      <c r="P1157" s="84"/>
      <c r="Q1157" s="84"/>
      <c r="R1157" s="84"/>
    </row>
    <row r="1158" ht="15.75" customHeight="1">
      <c r="A1158" s="125"/>
      <c r="B1158" s="125"/>
      <c r="C1158" s="125"/>
      <c r="D1158" s="125"/>
      <c r="E1158" s="126"/>
      <c r="F1158" s="126"/>
      <c r="G1158" s="125"/>
      <c r="H1158" s="125"/>
      <c r="I1158" s="99"/>
      <c r="K1158" s="84"/>
      <c r="L1158" s="84"/>
      <c r="M1158" s="84"/>
      <c r="N1158" s="84"/>
      <c r="O1158" s="84"/>
      <c r="P1158" s="84"/>
      <c r="Q1158" s="84"/>
      <c r="R1158" s="84"/>
    </row>
    <row r="1159" ht="15.75" customHeight="1">
      <c r="A1159" s="125"/>
      <c r="B1159" s="125"/>
      <c r="C1159" s="125"/>
      <c r="D1159" s="125"/>
      <c r="E1159" s="126"/>
      <c r="F1159" s="126"/>
      <c r="G1159" s="125"/>
      <c r="H1159" s="125"/>
      <c r="I1159" s="99"/>
      <c r="K1159" s="84"/>
      <c r="L1159" s="84"/>
      <c r="M1159" s="84"/>
      <c r="N1159" s="84"/>
      <c r="O1159" s="84"/>
      <c r="P1159" s="84"/>
      <c r="Q1159" s="84"/>
      <c r="R1159" s="84"/>
    </row>
    <row r="1160" ht="15.75" customHeight="1">
      <c r="A1160" s="125"/>
      <c r="B1160" s="125"/>
      <c r="C1160" s="125"/>
      <c r="D1160" s="125"/>
      <c r="E1160" s="126"/>
      <c r="F1160" s="126"/>
      <c r="G1160" s="125"/>
      <c r="H1160" s="125"/>
      <c r="I1160" s="99"/>
      <c r="K1160" s="84"/>
      <c r="L1160" s="84"/>
      <c r="M1160" s="84"/>
      <c r="N1160" s="84"/>
      <c r="O1160" s="84"/>
      <c r="P1160" s="84"/>
      <c r="Q1160" s="84"/>
      <c r="R1160" s="84"/>
    </row>
    <row r="1161" ht="15.75" customHeight="1">
      <c r="A1161" s="125"/>
      <c r="B1161" s="125"/>
      <c r="C1161" s="125"/>
      <c r="D1161" s="125"/>
      <c r="E1161" s="126"/>
      <c r="F1161" s="126"/>
      <c r="G1161" s="125"/>
      <c r="H1161" s="125"/>
      <c r="I1161" s="99"/>
      <c r="K1161" s="84"/>
      <c r="L1161" s="84"/>
      <c r="M1161" s="84"/>
      <c r="N1161" s="84"/>
      <c r="O1161" s="84"/>
      <c r="P1161" s="84"/>
      <c r="Q1161" s="84"/>
      <c r="R1161" s="84"/>
    </row>
    <row r="1162" ht="15.75" customHeight="1">
      <c r="A1162" s="125"/>
      <c r="B1162" s="125"/>
      <c r="C1162" s="125"/>
      <c r="D1162" s="125"/>
      <c r="E1162" s="126"/>
      <c r="F1162" s="126"/>
      <c r="G1162" s="125"/>
      <c r="H1162" s="125"/>
      <c r="I1162" s="99"/>
      <c r="K1162" s="84"/>
      <c r="L1162" s="84"/>
      <c r="M1162" s="84"/>
      <c r="N1162" s="84"/>
      <c r="O1162" s="84"/>
      <c r="P1162" s="84"/>
      <c r="Q1162" s="84"/>
      <c r="R1162" s="84"/>
    </row>
    <row r="1163" ht="15.75" customHeight="1">
      <c r="A1163" s="125"/>
      <c r="B1163" s="125"/>
      <c r="C1163" s="125"/>
      <c r="D1163" s="125"/>
      <c r="E1163" s="126"/>
      <c r="F1163" s="126"/>
      <c r="G1163" s="125"/>
      <c r="H1163" s="125"/>
      <c r="I1163" s="99"/>
      <c r="K1163" s="84"/>
      <c r="L1163" s="84"/>
      <c r="M1163" s="84"/>
      <c r="N1163" s="84"/>
      <c r="O1163" s="84"/>
      <c r="P1163" s="84"/>
      <c r="Q1163" s="84"/>
      <c r="R1163" s="84"/>
    </row>
    <row r="1164" ht="15.75" customHeight="1">
      <c r="A1164" s="125"/>
      <c r="B1164" s="125"/>
      <c r="C1164" s="125"/>
      <c r="D1164" s="125"/>
      <c r="E1164" s="126"/>
      <c r="F1164" s="126"/>
      <c r="G1164" s="125"/>
      <c r="H1164" s="125"/>
      <c r="I1164" s="99"/>
      <c r="K1164" s="84"/>
      <c r="L1164" s="84"/>
      <c r="M1164" s="84"/>
      <c r="N1164" s="84"/>
      <c r="O1164" s="84"/>
      <c r="P1164" s="84"/>
      <c r="Q1164" s="84"/>
      <c r="R1164" s="84"/>
    </row>
    <row r="1165" ht="15.75" customHeight="1">
      <c r="A1165" s="125"/>
      <c r="B1165" s="125"/>
      <c r="C1165" s="125"/>
      <c r="D1165" s="125"/>
      <c r="E1165" s="126"/>
      <c r="F1165" s="126"/>
      <c r="G1165" s="125"/>
      <c r="H1165" s="125"/>
      <c r="I1165" s="99"/>
      <c r="K1165" s="84"/>
      <c r="L1165" s="84"/>
      <c r="M1165" s="84"/>
      <c r="N1165" s="84"/>
      <c r="O1165" s="84"/>
      <c r="P1165" s="84"/>
      <c r="Q1165" s="84"/>
      <c r="R1165" s="84"/>
    </row>
    <row r="1166" ht="15.75" customHeight="1">
      <c r="A1166" s="125"/>
      <c r="B1166" s="125"/>
      <c r="C1166" s="125"/>
      <c r="D1166" s="125"/>
      <c r="E1166" s="126"/>
      <c r="F1166" s="126"/>
      <c r="G1166" s="125"/>
      <c r="H1166" s="125"/>
      <c r="I1166" s="99"/>
      <c r="K1166" s="84"/>
      <c r="L1166" s="84"/>
      <c r="M1166" s="84"/>
      <c r="N1166" s="84"/>
      <c r="O1166" s="84"/>
      <c r="P1166" s="84"/>
      <c r="Q1166" s="84"/>
      <c r="R1166" s="84"/>
    </row>
    <row r="1167" ht="15.75" customHeight="1">
      <c r="A1167" s="125"/>
      <c r="B1167" s="125"/>
      <c r="C1167" s="125"/>
      <c r="D1167" s="125"/>
      <c r="E1167" s="126"/>
      <c r="F1167" s="126"/>
      <c r="G1167" s="125"/>
      <c r="H1167" s="125"/>
      <c r="I1167" s="99"/>
      <c r="K1167" s="84"/>
      <c r="L1167" s="84"/>
      <c r="M1167" s="84"/>
      <c r="N1167" s="84"/>
      <c r="O1167" s="84"/>
      <c r="P1167" s="84"/>
      <c r="Q1167" s="84"/>
      <c r="R1167" s="84"/>
    </row>
    <row r="1168" ht="15.75" customHeight="1">
      <c r="A1168" s="125"/>
      <c r="B1168" s="125"/>
      <c r="C1168" s="125"/>
      <c r="D1168" s="125"/>
      <c r="E1168" s="126"/>
      <c r="F1168" s="126"/>
      <c r="G1168" s="125"/>
      <c r="H1168" s="125"/>
      <c r="I1168" s="99"/>
      <c r="K1168" s="84"/>
      <c r="L1168" s="84"/>
      <c r="M1168" s="84"/>
      <c r="N1168" s="84"/>
      <c r="O1168" s="84"/>
      <c r="P1168" s="84"/>
      <c r="Q1168" s="84"/>
      <c r="R1168" s="84"/>
    </row>
    <row r="1169" ht="15.75" customHeight="1">
      <c r="A1169" s="125"/>
      <c r="B1169" s="125"/>
      <c r="C1169" s="125"/>
      <c r="D1169" s="125"/>
      <c r="E1169" s="126"/>
      <c r="F1169" s="126"/>
      <c r="G1169" s="125"/>
      <c r="H1169" s="125"/>
      <c r="I1169" s="99"/>
      <c r="K1169" s="84"/>
      <c r="L1169" s="84"/>
      <c r="M1169" s="84"/>
      <c r="N1169" s="84"/>
      <c r="O1169" s="84"/>
      <c r="P1169" s="84"/>
      <c r="Q1169" s="84"/>
      <c r="R1169" s="84"/>
    </row>
    <row r="1170" ht="15.75" customHeight="1">
      <c r="A1170" s="125"/>
      <c r="B1170" s="125"/>
      <c r="C1170" s="125"/>
      <c r="D1170" s="125"/>
      <c r="E1170" s="126"/>
      <c r="F1170" s="126"/>
      <c r="G1170" s="125"/>
      <c r="H1170" s="125"/>
      <c r="I1170" s="99"/>
      <c r="K1170" s="84"/>
      <c r="L1170" s="84"/>
      <c r="M1170" s="84"/>
      <c r="N1170" s="84"/>
      <c r="O1170" s="84"/>
      <c r="P1170" s="84"/>
      <c r="Q1170" s="84"/>
      <c r="R1170" s="84"/>
    </row>
    <row r="1171" ht="15.75" customHeight="1">
      <c r="A1171" s="125"/>
      <c r="B1171" s="125"/>
      <c r="C1171" s="125"/>
      <c r="D1171" s="125"/>
      <c r="E1171" s="126"/>
      <c r="F1171" s="126"/>
      <c r="G1171" s="125"/>
      <c r="H1171" s="125"/>
      <c r="I1171" s="99"/>
      <c r="K1171" s="84"/>
      <c r="L1171" s="84"/>
      <c r="M1171" s="84"/>
      <c r="N1171" s="84"/>
      <c r="O1171" s="84"/>
      <c r="P1171" s="84"/>
      <c r="Q1171" s="84"/>
      <c r="R1171" s="84"/>
    </row>
    <row r="1172" ht="15.75" customHeight="1">
      <c r="A1172" s="125"/>
      <c r="B1172" s="125"/>
      <c r="C1172" s="125"/>
      <c r="D1172" s="125"/>
      <c r="E1172" s="126"/>
      <c r="F1172" s="126"/>
      <c r="G1172" s="125"/>
      <c r="H1172" s="125"/>
      <c r="I1172" s="99"/>
      <c r="K1172" s="84"/>
      <c r="L1172" s="84"/>
      <c r="M1172" s="84"/>
      <c r="N1172" s="84"/>
      <c r="O1172" s="84"/>
      <c r="P1172" s="84"/>
      <c r="Q1172" s="84"/>
      <c r="R1172" s="84"/>
    </row>
    <row r="1173" ht="15.75" customHeight="1">
      <c r="A1173" s="125"/>
      <c r="B1173" s="125"/>
      <c r="C1173" s="125"/>
      <c r="D1173" s="125"/>
      <c r="E1173" s="126"/>
      <c r="F1173" s="126"/>
      <c r="G1173" s="125"/>
      <c r="H1173" s="125"/>
      <c r="I1173" s="99"/>
      <c r="K1173" s="84"/>
      <c r="L1173" s="84"/>
      <c r="M1173" s="84"/>
      <c r="N1173" s="84"/>
      <c r="O1173" s="84"/>
      <c r="P1173" s="84"/>
      <c r="Q1173" s="84"/>
      <c r="R1173" s="84"/>
    </row>
    <row r="1174" ht="15.75" customHeight="1">
      <c r="A1174" s="125"/>
      <c r="B1174" s="125"/>
      <c r="C1174" s="125"/>
      <c r="D1174" s="125"/>
      <c r="E1174" s="126"/>
      <c r="F1174" s="126"/>
      <c r="G1174" s="125"/>
      <c r="H1174" s="125"/>
      <c r="I1174" s="99"/>
      <c r="K1174" s="84"/>
      <c r="L1174" s="84"/>
      <c r="M1174" s="84"/>
      <c r="N1174" s="84"/>
      <c r="O1174" s="84"/>
      <c r="P1174" s="84"/>
      <c r="Q1174" s="84"/>
      <c r="R1174" s="84"/>
    </row>
    <row r="1175" ht="15.75" customHeight="1">
      <c r="A1175" s="125"/>
      <c r="B1175" s="125"/>
      <c r="C1175" s="125"/>
      <c r="D1175" s="125"/>
      <c r="E1175" s="126"/>
      <c r="F1175" s="126"/>
      <c r="G1175" s="125"/>
      <c r="H1175" s="125"/>
      <c r="I1175" s="99"/>
      <c r="K1175" s="84"/>
      <c r="L1175" s="84"/>
      <c r="M1175" s="84"/>
      <c r="N1175" s="84"/>
      <c r="O1175" s="84"/>
      <c r="P1175" s="84"/>
      <c r="Q1175" s="84"/>
      <c r="R1175" s="84"/>
    </row>
    <row r="1176" ht="15.75" customHeight="1">
      <c r="A1176" s="125"/>
      <c r="B1176" s="125"/>
      <c r="C1176" s="125"/>
      <c r="D1176" s="125"/>
      <c r="E1176" s="126"/>
      <c r="F1176" s="126"/>
      <c r="G1176" s="125"/>
      <c r="H1176" s="125"/>
      <c r="I1176" s="99"/>
      <c r="K1176" s="84"/>
      <c r="L1176" s="84"/>
      <c r="M1176" s="84"/>
      <c r="N1176" s="84"/>
      <c r="O1176" s="84"/>
      <c r="P1176" s="84"/>
      <c r="Q1176" s="84"/>
      <c r="R1176" s="84"/>
    </row>
    <row r="1177" ht="15.75" customHeight="1">
      <c r="A1177" s="125"/>
      <c r="B1177" s="125"/>
      <c r="C1177" s="125"/>
      <c r="D1177" s="125"/>
      <c r="E1177" s="126"/>
      <c r="F1177" s="126"/>
      <c r="G1177" s="125"/>
      <c r="H1177" s="125"/>
      <c r="I1177" s="99"/>
      <c r="K1177" s="84"/>
      <c r="L1177" s="84"/>
      <c r="M1177" s="84"/>
      <c r="N1177" s="84"/>
      <c r="O1177" s="84"/>
      <c r="P1177" s="84"/>
      <c r="Q1177" s="84"/>
      <c r="R1177" s="84"/>
    </row>
    <row r="1178" ht="15.75" customHeight="1">
      <c r="A1178" s="125"/>
      <c r="B1178" s="125"/>
      <c r="C1178" s="125"/>
      <c r="D1178" s="125"/>
      <c r="E1178" s="126"/>
      <c r="F1178" s="126"/>
      <c r="G1178" s="125"/>
      <c r="H1178" s="125"/>
      <c r="I1178" s="99"/>
      <c r="K1178" s="84"/>
      <c r="L1178" s="84"/>
      <c r="M1178" s="84"/>
      <c r="N1178" s="84"/>
      <c r="O1178" s="84"/>
      <c r="P1178" s="84"/>
      <c r="Q1178" s="84"/>
      <c r="R1178" s="84"/>
    </row>
    <row r="1179" ht="15.75" customHeight="1">
      <c r="A1179" s="125"/>
      <c r="B1179" s="125"/>
      <c r="C1179" s="125"/>
      <c r="D1179" s="125"/>
      <c r="E1179" s="126"/>
      <c r="F1179" s="126"/>
      <c r="G1179" s="125"/>
      <c r="H1179" s="125"/>
      <c r="I1179" s="99"/>
      <c r="K1179" s="84"/>
      <c r="L1179" s="84"/>
      <c r="M1179" s="84"/>
      <c r="N1179" s="84"/>
      <c r="O1179" s="84"/>
      <c r="P1179" s="84"/>
      <c r="Q1179" s="84"/>
      <c r="R1179" s="84"/>
    </row>
    <row r="1180" ht="15.75" customHeight="1">
      <c r="A1180" s="125"/>
      <c r="B1180" s="125"/>
      <c r="C1180" s="125"/>
      <c r="D1180" s="125"/>
      <c r="E1180" s="126"/>
      <c r="F1180" s="126"/>
      <c r="G1180" s="125"/>
      <c r="H1180" s="125"/>
      <c r="I1180" s="99"/>
      <c r="K1180" s="84"/>
      <c r="L1180" s="84"/>
      <c r="M1180" s="84"/>
      <c r="N1180" s="84"/>
      <c r="O1180" s="84"/>
      <c r="P1180" s="84"/>
      <c r="Q1180" s="84"/>
      <c r="R1180" s="84"/>
    </row>
    <row r="1181" ht="15.75" customHeight="1">
      <c r="A1181" s="125"/>
      <c r="B1181" s="125"/>
      <c r="C1181" s="125"/>
      <c r="D1181" s="125"/>
      <c r="E1181" s="126"/>
      <c r="F1181" s="126"/>
      <c r="G1181" s="125"/>
      <c r="H1181" s="125"/>
      <c r="I1181" s="99"/>
      <c r="K1181" s="84"/>
      <c r="L1181" s="84"/>
      <c r="M1181" s="84"/>
      <c r="N1181" s="84"/>
      <c r="O1181" s="84"/>
      <c r="P1181" s="84"/>
      <c r="Q1181" s="84"/>
      <c r="R1181" s="84"/>
    </row>
    <row r="1182" ht="15.75" customHeight="1">
      <c r="A1182" s="125"/>
      <c r="B1182" s="125"/>
      <c r="C1182" s="125"/>
      <c r="D1182" s="125"/>
      <c r="E1182" s="126"/>
      <c r="F1182" s="126"/>
      <c r="G1182" s="125"/>
      <c r="H1182" s="125"/>
      <c r="I1182" s="99"/>
      <c r="K1182" s="84"/>
      <c r="L1182" s="84"/>
      <c r="M1182" s="84"/>
      <c r="N1182" s="84"/>
      <c r="O1182" s="84"/>
      <c r="P1182" s="84"/>
      <c r="Q1182" s="84"/>
      <c r="R1182" s="84"/>
    </row>
    <row r="1183" ht="15.75" customHeight="1">
      <c r="A1183" s="125"/>
      <c r="B1183" s="125"/>
      <c r="C1183" s="125"/>
      <c r="D1183" s="125"/>
      <c r="E1183" s="126"/>
      <c r="F1183" s="126"/>
      <c r="G1183" s="125"/>
      <c r="H1183" s="125"/>
      <c r="I1183" s="99"/>
      <c r="K1183" s="84"/>
      <c r="L1183" s="84"/>
      <c r="M1183" s="84"/>
      <c r="N1183" s="84"/>
      <c r="O1183" s="84"/>
      <c r="P1183" s="84"/>
      <c r="Q1183" s="84"/>
      <c r="R1183" s="84"/>
    </row>
    <row r="1184" ht="15.75" customHeight="1">
      <c r="A1184" s="125"/>
      <c r="B1184" s="125"/>
      <c r="C1184" s="125"/>
      <c r="D1184" s="125"/>
      <c r="E1184" s="126"/>
      <c r="F1184" s="126"/>
      <c r="G1184" s="125"/>
      <c r="H1184" s="125"/>
      <c r="I1184" s="99"/>
      <c r="K1184" s="84"/>
      <c r="L1184" s="84"/>
      <c r="M1184" s="84"/>
      <c r="N1184" s="84"/>
      <c r="O1184" s="84"/>
      <c r="P1184" s="84"/>
      <c r="Q1184" s="84"/>
      <c r="R1184" s="84"/>
    </row>
    <row r="1185" ht="15.75" customHeight="1">
      <c r="A1185" s="125"/>
      <c r="B1185" s="125"/>
      <c r="C1185" s="125"/>
      <c r="D1185" s="125"/>
      <c r="E1185" s="126"/>
      <c r="F1185" s="126"/>
      <c r="G1185" s="125"/>
      <c r="H1185" s="125"/>
      <c r="I1185" s="99"/>
      <c r="K1185" s="84"/>
      <c r="L1185" s="84"/>
      <c r="M1185" s="84"/>
      <c r="N1185" s="84"/>
      <c r="O1185" s="84"/>
      <c r="P1185" s="84"/>
      <c r="Q1185" s="84"/>
      <c r="R1185" s="84"/>
    </row>
    <row r="1186" ht="15.75" customHeight="1">
      <c r="A1186" s="125"/>
      <c r="B1186" s="125"/>
      <c r="C1186" s="125"/>
      <c r="D1186" s="125"/>
      <c r="E1186" s="126"/>
      <c r="F1186" s="126"/>
      <c r="G1186" s="125"/>
      <c r="H1186" s="125"/>
      <c r="I1186" s="99"/>
      <c r="K1186" s="84"/>
      <c r="L1186" s="84"/>
      <c r="M1186" s="84"/>
      <c r="N1186" s="84"/>
      <c r="O1186" s="84"/>
      <c r="P1186" s="84"/>
      <c r="Q1186" s="84"/>
      <c r="R1186" s="84"/>
    </row>
    <row r="1187" ht="15.75" customHeight="1">
      <c r="A1187" s="125"/>
      <c r="B1187" s="125"/>
      <c r="C1187" s="125"/>
      <c r="D1187" s="125"/>
      <c r="E1187" s="126"/>
      <c r="F1187" s="126"/>
      <c r="G1187" s="125"/>
      <c r="H1187" s="125"/>
      <c r="I1187" s="99"/>
      <c r="K1187" s="84"/>
      <c r="L1187" s="84"/>
      <c r="M1187" s="84"/>
      <c r="N1187" s="84"/>
      <c r="O1187" s="84"/>
      <c r="P1187" s="84"/>
      <c r="Q1187" s="84"/>
      <c r="R1187" s="84"/>
    </row>
    <row r="1188" ht="15.75" customHeight="1">
      <c r="A1188" s="125"/>
      <c r="B1188" s="125"/>
      <c r="C1188" s="125"/>
      <c r="D1188" s="125"/>
      <c r="E1188" s="126"/>
      <c r="F1188" s="126"/>
      <c r="G1188" s="125"/>
      <c r="H1188" s="125"/>
      <c r="I1188" s="99"/>
      <c r="K1188" s="84"/>
      <c r="L1188" s="84"/>
      <c r="M1188" s="84"/>
      <c r="N1188" s="84"/>
      <c r="O1188" s="84"/>
      <c r="P1188" s="84"/>
      <c r="Q1188" s="84"/>
      <c r="R1188" s="84"/>
    </row>
    <row r="1189" ht="15.75" customHeight="1">
      <c r="A1189" s="125"/>
      <c r="B1189" s="125"/>
      <c r="C1189" s="125"/>
      <c r="D1189" s="125"/>
      <c r="E1189" s="126"/>
      <c r="F1189" s="126"/>
      <c r="G1189" s="125"/>
      <c r="H1189" s="125"/>
      <c r="I1189" s="99"/>
      <c r="K1189" s="84"/>
      <c r="L1189" s="84"/>
      <c r="M1189" s="84"/>
      <c r="N1189" s="84"/>
      <c r="O1189" s="84"/>
      <c r="P1189" s="84"/>
      <c r="Q1189" s="84"/>
      <c r="R1189" s="84"/>
    </row>
    <row r="1190" ht="15.75" customHeight="1">
      <c r="A1190" s="125"/>
      <c r="B1190" s="125"/>
      <c r="C1190" s="125"/>
      <c r="D1190" s="125"/>
      <c r="E1190" s="126"/>
      <c r="F1190" s="126"/>
      <c r="G1190" s="125"/>
      <c r="H1190" s="125"/>
      <c r="I1190" s="99"/>
      <c r="K1190" s="84"/>
      <c r="L1190" s="84"/>
      <c r="M1190" s="84"/>
      <c r="N1190" s="84"/>
      <c r="O1190" s="84"/>
      <c r="P1190" s="84"/>
      <c r="Q1190" s="84"/>
      <c r="R1190" s="84"/>
    </row>
    <row r="1191" ht="15.75" customHeight="1">
      <c r="A1191" s="125"/>
      <c r="B1191" s="125"/>
      <c r="C1191" s="125"/>
      <c r="D1191" s="125"/>
      <c r="E1191" s="126"/>
      <c r="F1191" s="126"/>
      <c r="G1191" s="125"/>
      <c r="H1191" s="125"/>
      <c r="I1191" s="99"/>
      <c r="K1191" s="84"/>
      <c r="L1191" s="84"/>
      <c r="M1191" s="84"/>
      <c r="N1191" s="84"/>
      <c r="O1191" s="84"/>
      <c r="P1191" s="84"/>
      <c r="Q1191" s="84"/>
      <c r="R1191" s="84"/>
    </row>
    <row r="1192" ht="15.75" customHeight="1">
      <c r="A1192" s="125"/>
      <c r="B1192" s="125"/>
      <c r="C1192" s="125"/>
      <c r="D1192" s="125"/>
      <c r="E1192" s="126"/>
      <c r="F1192" s="126"/>
      <c r="G1192" s="125"/>
      <c r="H1192" s="125"/>
      <c r="I1192" s="99"/>
      <c r="K1192" s="84"/>
      <c r="L1192" s="84"/>
      <c r="M1192" s="84"/>
      <c r="N1192" s="84"/>
      <c r="O1192" s="84"/>
      <c r="P1192" s="84"/>
      <c r="Q1192" s="84"/>
      <c r="R1192" s="84"/>
    </row>
    <row r="1193" ht="15.75" customHeight="1">
      <c r="A1193" s="125"/>
      <c r="B1193" s="125"/>
      <c r="C1193" s="125"/>
      <c r="D1193" s="125"/>
      <c r="E1193" s="126"/>
      <c r="F1193" s="126"/>
      <c r="G1193" s="125"/>
      <c r="H1193" s="125"/>
      <c r="I1193" s="99"/>
      <c r="K1193" s="84"/>
      <c r="L1193" s="84"/>
      <c r="M1193" s="84"/>
      <c r="N1193" s="84"/>
      <c r="O1193" s="84"/>
      <c r="P1193" s="84"/>
      <c r="Q1193" s="84"/>
      <c r="R1193" s="84"/>
    </row>
    <row r="1194" ht="15.75" customHeight="1">
      <c r="A1194" s="125"/>
      <c r="B1194" s="125"/>
      <c r="C1194" s="125"/>
      <c r="D1194" s="125"/>
      <c r="E1194" s="126"/>
      <c r="F1194" s="126"/>
      <c r="G1194" s="125"/>
      <c r="H1194" s="125"/>
      <c r="I1194" s="99"/>
      <c r="K1194" s="84"/>
      <c r="L1194" s="84"/>
      <c r="M1194" s="84"/>
      <c r="N1194" s="84"/>
      <c r="O1194" s="84"/>
      <c r="P1194" s="84"/>
      <c r="Q1194" s="84"/>
      <c r="R1194" s="84"/>
    </row>
    <row r="1195" ht="15.75" customHeight="1">
      <c r="A1195" s="125"/>
      <c r="B1195" s="125"/>
      <c r="C1195" s="125"/>
      <c r="D1195" s="125"/>
      <c r="E1195" s="126"/>
      <c r="F1195" s="126"/>
      <c r="G1195" s="125"/>
      <c r="H1195" s="125"/>
      <c r="I1195" s="99"/>
      <c r="K1195" s="84"/>
      <c r="L1195" s="84"/>
      <c r="M1195" s="84"/>
      <c r="N1195" s="84"/>
      <c r="O1195" s="84"/>
      <c r="P1195" s="84"/>
      <c r="Q1195" s="84"/>
      <c r="R1195" s="84"/>
    </row>
    <row r="1196" ht="15.75" customHeight="1">
      <c r="A1196" s="125"/>
      <c r="B1196" s="125"/>
      <c r="C1196" s="125"/>
      <c r="D1196" s="125"/>
      <c r="E1196" s="126"/>
      <c r="F1196" s="126"/>
      <c r="G1196" s="125"/>
      <c r="H1196" s="125"/>
      <c r="I1196" s="99"/>
      <c r="K1196" s="84"/>
      <c r="L1196" s="84"/>
      <c r="M1196" s="84"/>
      <c r="N1196" s="84"/>
      <c r="O1196" s="84"/>
      <c r="P1196" s="84"/>
      <c r="Q1196" s="84"/>
      <c r="R1196" s="84"/>
    </row>
    <row r="1197" ht="15.75" customHeight="1">
      <c r="A1197" s="125"/>
      <c r="B1197" s="125"/>
      <c r="C1197" s="125"/>
      <c r="D1197" s="125"/>
      <c r="E1197" s="126"/>
      <c r="F1197" s="126"/>
      <c r="G1197" s="125"/>
      <c r="H1197" s="125"/>
      <c r="I1197" s="99"/>
      <c r="K1197" s="84"/>
      <c r="L1197" s="84"/>
      <c r="M1197" s="84"/>
      <c r="N1197" s="84"/>
      <c r="O1197" s="84"/>
      <c r="P1197" s="84"/>
      <c r="Q1197" s="84"/>
      <c r="R1197" s="84"/>
    </row>
    <row r="1198" ht="15.75" customHeight="1">
      <c r="A1198" s="125"/>
      <c r="B1198" s="125"/>
      <c r="C1198" s="125"/>
      <c r="D1198" s="125"/>
      <c r="E1198" s="126"/>
      <c r="F1198" s="126"/>
      <c r="G1198" s="125"/>
      <c r="H1198" s="125"/>
      <c r="I1198" s="99"/>
      <c r="K1198" s="84"/>
      <c r="L1198" s="84"/>
      <c r="M1198" s="84"/>
      <c r="N1198" s="84"/>
      <c r="O1198" s="84"/>
      <c r="P1198" s="84"/>
      <c r="Q1198" s="84"/>
      <c r="R1198" s="84"/>
    </row>
    <row r="1199" ht="15.75" customHeight="1">
      <c r="A1199" s="125"/>
      <c r="B1199" s="125"/>
      <c r="C1199" s="125"/>
      <c r="D1199" s="125"/>
      <c r="E1199" s="126"/>
      <c r="F1199" s="126"/>
      <c r="G1199" s="125"/>
      <c r="H1199" s="125"/>
      <c r="I1199" s="99"/>
      <c r="K1199" s="84"/>
      <c r="L1199" s="84"/>
      <c r="M1199" s="84"/>
      <c r="N1199" s="84"/>
      <c r="O1199" s="84"/>
      <c r="P1199" s="84"/>
      <c r="Q1199" s="84"/>
      <c r="R1199" s="84"/>
    </row>
    <row r="1200" ht="15.75" customHeight="1">
      <c r="A1200" s="125"/>
      <c r="B1200" s="125"/>
      <c r="C1200" s="125"/>
      <c r="D1200" s="125"/>
      <c r="E1200" s="126"/>
      <c r="F1200" s="126"/>
      <c r="G1200" s="125"/>
      <c r="H1200" s="125"/>
      <c r="I1200" s="99"/>
      <c r="K1200" s="84"/>
      <c r="L1200" s="84"/>
      <c r="M1200" s="84"/>
      <c r="N1200" s="84"/>
      <c r="O1200" s="84"/>
      <c r="P1200" s="84"/>
      <c r="Q1200" s="84"/>
      <c r="R1200" s="84"/>
    </row>
    <row r="1201" ht="15.75" customHeight="1">
      <c r="A1201" s="125"/>
      <c r="B1201" s="125"/>
      <c r="C1201" s="125"/>
      <c r="D1201" s="125"/>
      <c r="E1201" s="126"/>
      <c r="F1201" s="126"/>
      <c r="G1201" s="125"/>
      <c r="H1201" s="125"/>
      <c r="I1201" s="99"/>
      <c r="K1201" s="84"/>
      <c r="L1201" s="84"/>
      <c r="M1201" s="84"/>
      <c r="N1201" s="84"/>
      <c r="O1201" s="84"/>
      <c r="P1201" s="84"/>
      <c r="Q1201" s="84"/>
      <c r="R1201" s="84"/>
    </row>
    <row r="1202" ht="15.75" customHeight="1">
      <c r="A1202" s="125"/>
      <c r="B1202" s="125"/>
      <c r="C1202" s="125"/>
      <c r="D1202" s="125"/>
      <c r="E1202" s="126"/>
      <c r="F1202" s="126"/>
      <c r="G1202" s="125"/>
      <c r="H1202" s="125"/>
      <c r="I1202" s="99"/>
      <c r="K1202" s="84"/>
      <c r="L1202" s="84"/>
      <c r="M1202" s="84"/>
      <c r="N1202" s="84"/>
      <c r="O1202" s="84"/>
      <c r="P1202" s="84"/>
      <c r="Q1202" s="84"/>
      <c r="R1202" s="84"/>
    </row>
    <row r="1203" ht="15.75" customHeight="1">
      <c r="A1203" s="125"/>
      <c r="B1203" s="125"/>
      <c r="C1203" s="125"/>
      <c r="D1203" s="125"/>
      <c r="E1203" s="126"/>
      <c r="F1203" s="126"/>
      <c r="G1203" s="125"/>
      <c r="H1203" s="125"/>
      <c r="I1203" s="99"/>
      <c r="K1203" s="84"/>
      <c r="L1203" s="84"/>
      <c r="M1203" s="84"/>
      <c r="N1203" s="84"/>
      <c r="O1203" s="84"/>
      <c r="P1203" s="84"/>
      <c r="Q1203" s="84"/>
      <c r="R1203" s="84"/>
    </row>
    <row r="1204" ht="15.75" customHeight="1">
      <c r="A1204" s="125"/>
      <c r="B1204" s="125"/>
      <c r="C1204" s="125"/>
      <c r="D1204" s="125"/>
      <c r="E1204" s="126"/>
      <c r="F1204" s="126"/>
      <c r="G1204" s="125"/>
      <c r="H1204" s="125"/>
      <c r="I1204" s="99"/>
      <c r="K1204" s="84"/>
      <c r="L1204" s="84"/>
      <c r="M1204" s="84"/>
      <c r="N1204" s="84"/>
      <c r="O1204" s="84"/>
      <c r="P1204" s="84"/>
      <c r="Q1204" s="84"/>
      <c r="R1204" s="84"/>
    </row>
    <row r="1205" ht="15.75" customHeight="1">
      <c r="A1205" s="125"/>
      <c r="B1205" s="125"/>
      <c r="C1205" s="125"/>
      <c r="D1205" s="125"/>
      <c r="E1205" s="126"/>
      <c r="F1205" s="126"/>
      <c r="G1205" s="125"/>
      <c r="H1205" s="125"/>
      <c r="I1205" s="99"/>
      <c r="K1205" s="84"/>
      <c r="L1205" s="84"/>
      <c r="M1205" s="84"/>
      <c r="N1205" s="84"/>
      <c r="O1205" s="84"/>
      <c r="P1205" s="84"/>
      <c r="Q1205" s="84"/>
      <c r="R1205" s="84"/>
    </row>
    <row r="1206" ht="15.75" customHeight="1">
      <c r="A1206" s="125"/>
      <c r="B1206" s="125"/>
      <c r="C1206" s="125"/>
      <c r="D1206" s="125"/>
      <c r="E1206" s="126"/>
      <c r="F1206" s="126"/>
      <c r="G1206" s="125"/>
      <c r="H1206" s="125"/>
      <c r="I1206" s="99"/>
      <c r="K1206" s="84"/>
      <c r="L1206" s="84"/>
      <c r="M1206" s="84"/>
      <c r="N1206" s="84"/>
      <c r="O1206" s="84"/>
      <c r="P1206" s="84"/>
      <c r="Q1206" s="84"/>
      <c r="R1206" s="84"/>
    </row>
    <row r="1207" ht="15.75" customHeight="1">
      <c r="A1207" s="125"/>
      <c r="B1207" s="125"/>
      <c r="C1207" s="125"/>
      <c r="D1207" s="125"/>
      <c r="E1207" s="126"/>
      <c r="F1207" s="126"/>
      <c r="G1207" s="125"/>
      <c r="H1207" s="125"/>
      <c r="I1207" s="99"/>
      <c r="K1207" s="84"/>
      <c r="L1207" s="84"/>
      <c r="M1207" s="84"/>
      <c r="N1207" s="84"/>
      <c r="O1207" s="84"/>
      <c r="P1207" s="84"/>
      <c r="Q1207" s="84"/>
      <c r="R1207" s="84"/>
    </row>
    <row r="1208" ht="15.75" customHeight="1">
      <c r="A1208" s="125"/>
      <c r="B1208" s="125"/>
      <c r="C1208" s="125"/>
      <c r="D1208" s="125"/>
      <c r="E1208" s="126"/>
      <c r="F1208" s="126"/>
      <c r="G1208" s="125"/>
      <c r="H1208" s="125"/>
      <c r="I1208" s="99"/>
      <c r="K1208" s="84"/>
      <c r="L1208" s="84"/>
      <c r="M1208" s="84"/>
      <c r="N1208" s="84"/>
      <c r="O1208" s="84"/>
      <c r="P1208" s="84"/>
      <c r="Q1208" s="84"/>
      <c r="R1208" s="84"/>
    </row>
    <row r="1209" ht="15.75" customHeight="1">
      <c r="A1209" s="125"/>
      <c r="B1209" s="125"/>
      <c r="C1209" s="125"/>
      <c r="D1209" s="125"/>
      <c r="E1209" s="126"/>
      <c r="F1209" s="126"/>
      <c r="G1209" s="125"/>
      <c r="H1209" s="125"/>
      <c r="I1209" s="99"/>
      <c r="K1209" s="84"/>
      <c r="L1209" s="84"/>
      <c r="M1209" s="84"/>
      <c r="N1209" s="84"/>
      <c r="O1209" s="84"/>
      <c r="P1209" s="84"/>
      <c r="Q1209" s="84"/>
      <c r="R1209" s="84"/>
    </row>
    <row r="1210" ht="15.75" customHeight="1">
      <c r="A1210" s="125"/>
      <c r="B1210" s="125"/>
      <c r="C1210" s="125"/>
      <c r="D1210" s="125"/>
      <c r="E1210" s="126"/>
      <c r="F1210" s="126"/>
      <c r="G1210" s="125"/>
      <c r="H1210" s="125"/>
      <c r="I1210" s="99"/>
      <c r="K1210" s="84"/>
      <c r="L1210" s="84"/>
      <c r="M1210" s="84"/>
      <c r="N1210" s="84"/>
      <c r="O1210" s="84"/>
      <c r="P1210" s="84"/>
      <c r="Q1210" s="84"/>
      <c r="R1210" s="84"/>
    </row>
    <row r="1211" ht="15.75" customHeight="1">
      <c r="A1211" s="125"/>
      <c r="B1211" s="125"/>
      <c r="C1211" s="125"/>
      <c r="D1211" s="125"/>
      <c r="E1211" s="126"/>
      <c r="F1211" s="126"/>
      <c r="G1211" s="125"/>
      <c r="H1211" s="125"/>
      <c r="I1211" s="99"/>
      <c r="K1211" s="84"/>
      <c r="L1211" s="84"/>
      <c r="M1211" s="84"/>
      <c r="N1211" s="84"/>
      <c r="O1211" s="84"/>
      <c r="P1211" s="84"/>
      <c r="Q1211" s="84"/>
      <c r="R1211" s="84"/>
    </row>
    <row r="1212" ht="15.75" customHeight="1">
      <c r="A1212" s="125"/>
      <c r="B1212" s="125"/>
      <c r="C1212" s="125"/>
      <c r="D1212" s="125"/>
      <c r="E1212" s="126"/>
      <c r="F1212" s="126"/>
      <c r="G1212" s="125"/>
      <c r="H1212" s="125"/>
      <c r="I1212" s="99"/>
      <c r="K1212" s="84"/>
      <c r="L1212" s="84"/>
      <c r="M1212" s="84"/>
      <c r="N1212" s="84"/>
      <c r="O1212" s="84"/>
      <c r="P1212" s="84"/>
      <c r="Q1212" s="84"/>
      <c r="R1212" s="84"/>
    </row>
    <row r="1213" ht="15.75" customHeight="1">
      <c r="A1213" s="125"/>
      <c r="B1213" s="125"/>
      <c r="C1213" s="125"/>
      <c r="D1213" s="125"/>
      <c r="E1213" s="126"/>
      <c r="F1213" s="126"/>
      <c r="G1213" s="125"/>
      <c r="H1213" s="125"/>
      <c r="I1213" s="99"/>
      <c r="K1213" s="84"/>
      <c r="L1213" s="84"/>
      <c r="M1213" s="84"/>
      <c r="N1213" s="84"/>
      <c r="O1213" s="84"/>
      <c r="P1213" s="84"/>
      <c r="Q1213" s="84"/>
      <c r="R1213" s="84"/>
    </row>
    <row r="1214" ht="15.75" customHeight="1">
      <c r="A1214" s="125"/>
      <c r="B1214" s="125"/>
      <c r="C1214" s="125"/>
      <c r="D1214" s="125"/>
      <c r="E1214" s="126"/>
      <c r="F1214" s="126"/>
      <c r="G1214" s="125"/>
      <c r="H1214" s="125"/>
      <c r="I1214" s="99"/>
      <c r="K1214" s="84"/>
      <c r="L1214" s="84"/>
      <c r="M1214" s="84"/>
      <c r="N1214" s="84"/>
      <c r="O1214" s="84"/>
      <c r="P1214" s="84"/>
      <c r="Q1214" s="84"/>
      <c r="R1214" s="84"/>
    </row>
    <row r="1215" ht="15.75" customHeight="1">
      <c r="A1215" s="125"/>
      <c r="B1215" s="125"/>
      <c r="C1215" s="125"/>
      <c r="D1215" s="125"/>
      <c r="E1215" s="126"/>
      <c r="F1215" s="126"/>
      <c r="G1215" s="125"/>
      <c r="H1215" s="125"/>
      <c r="I1215" s="99"/>
      <c r="K1215" s="84"/>
      <c r="L1215" s="84"/>
      <c r="M1215" s="84"/>
      <c r="N1215" s="84"/>
      <c r="O1215" s="84"/>
      <c r="P1215" s="84"/>
      <c r="Q1215" s="84"/>
      <c r="R1215" s="84"/>
    </row>
    <row r="1216" ht="15.75" customHeight="1">
      <c r="A1216" s="125"/>
      <c r="B1216" s="125"/>
      <c r="C1216" s="125"/>
      <c r="D1216" s="125"/>
      <c r="E1216" s="126"/>
      <c r="F1216" s="126"/>
      <c r="G1216" s="125"/>
      <c r="H1216" s="125"/>
      <c r="I1216" s="99"/>
      <c r="K1216" s="84"/>
      <c r="L1216" s="84"/>
      <c r="M1216" s="84"/>
      <c r="N1216" s="84"/>
      <c r="O1216" s="84"/>
      <c r="P1216" s="84"/>
      <c r="Q1216" s="84"/>
      <c r="R1216" s="84"/>
    </row>
    <row r="1217" ht="15.75" customHeight="1">
      <c r="A1217" s="125"/>
      <c r="B1217" s="125"/>
      <c r="C1217" s="125"/>
      <c r="D1217" s="125"/>
      <c r="E1217" s="126"/>
      <c r="F1217" s="126"/>
      <c r="G1217" s="125"/>
      <c r="H1217" s="125"/>
      <c r="I1217" s="99"/>
      <c r="K1217" s="84"/>
      <c r="L1217" s="84"/>
      <c r="M1217" s="84"/>
      <c r="N1217" s="84"/>
      <c r="O1217" s="84"/>
      <c r="P1217" s="84"/>
      <c r="Q1217" s="84"/>
      <c r="R1217" s="84"/>
    </row>
    <row r="1218" ht="15.75" customHeight="1">
      <c r="A1218" s="125"/>
      <c r="B1218" s="125"/>
      <c r="C1218" s="125"/>
      <c r="D1218" s="125"/>
      <c r="E1218" s="126"/>
      <c r="F1218" s="126"/>
      <c r="G1218" s="125"/>
      <c r="H1218" s="125"/>
      <c r="I1218" s="99"/>
      <c r="K1218" s="84"/>
      <c r="L1218" s="84"/>
      <c r="M1218" s="84"/>
      <c r="N1218" s="84"/>
      <c r="O1218" s="84"/>
      <c r="P1218" s="84"/>
      <c r="Q1218" s="84"/>
      <c r="R1218" s="84"/>
    </row>
    <row r="1219" ht="15.75" customHeight="1">
      <c r="A1219" s="125"/>
      <c r="B1219" s="125"/>
      <c r="C1219" s="125"/>
      <c r="D1219" s="125"/>
      <c r="E1219" s="126"/>
      <c r="F1219" s="126"/>
      <c r="G1219" s="125"/>
      <c r="H1219" s="125"/>
      <c r="I1219" s="99"/>
      <c r="K1219" s="84"/>
      <c r="L1219" s="84"/>
      <c r="M1219" s="84"/>
      <c r="N1219" s="84"/>
      <c r="O1219" s="84"/>
      <c r="P1219" s="84"/>
      <c r="Q1219" s="84"/>
      <c r="R1219" s="84"/>
    </row>
    <row r="1220" ht="15.75" customHeight="1">
      <c r="A1220" s="125"/>
      <c r="B1220" s="125"/>
      <c r="C1220" s="125"/>
      <c r="D1220" s="125"/>
      <c r="E1220" s="126"/>
      <c r="F1220" s="126"/>
      <c r="G1220" s="125"/>
      <c r="H1220" s="125"/>
      <c r="I1220" s="99"/>
      <c r="K1220" s="84"/>
      <c r="L1220" s="84"/>
      <c r="M1220" s="84"/>
      <c r="N1220" s="84"/>
      <c r="O1220" s="84"/>
      <c r="P1220" s="84"/>
      <c r="Q1220" s="84"/>
      <c r="R1220" s="84"/>
    </row>
    <row r="1221" ht="15.75" customHeight="1">
      <c r="A1221" s="125"/>
      <c r="B1221" s="125"/>
      <c r="C1221" s="125"/>
      <c r="D1221" s="125"/>
      <c r="E1221" s="126"/>
      <c r="F1221" s="126"/>
      <c r="G1221" s="125"/>
      <c r="H1221" s="125"/>
      <c r="I1221" s="99"/>
      <c r="K1221" s="84"/>
      <c r="L1221" s="84"/>
      <c r="M1221" s="84"/>
      <c r="N1221" s="84"/>
      <c r="O1221" s="84"/>
      <c r="P1221" s="84"/>
      <c r="Q1221" s="84"/>
      <c r="R1221" s="84"/>
    </row>
    <row r="1222" ht="15.75" customHeight="1">
      <c r="A1222" s="125"/>
      <c r="B1222" s="125"/>
      <c r="C1222" s="125"/>
      <c r="D1222" s="125"/>
      <c r="E1222" s="126"/>
      <c r="F1222" s="126"/>
      <c r="G1222" s="125"/>
      <c r="H1222" s="125"/>
      <c r="I1222" s="99"/>
      <c r="K1222" s="84"/>
      <c r="L1222" s="84"/>
      <c r="M1222" s="84"/>
      <c r="N1222" s="84"/>
      <c r="O1222" s="84"/>
      <c r="P1222" s="84"/>
      <c r="Q1222" s="84"/>
      <c r="R1222" s="84"/>
    </row>
    <row r="1223" ht="15.75" customHeight="1">
      <c r="A1223" s="125"/>
      <c r="B1223" s="125"/>
      <c r="C1223" s="125"/>
      <c r="D1223" s="125"/>
      <c r="E1223" s="126"/>
      <c r="F1223" s="126"/>
      <c r="G1223" s="125"/>
      <c r="H1223" s="125"/>
      <c r="I1223" s="99"/>
      <c r="K1223" s="84"/>
      <c r="L1223" s="84"/>
      <c r="M1223" s="84"/>
      <c r="N1223" s="84"/>
      <c r="O1223" s="84"/>
      <c r="P1223" s="84"/>
      <c r="Q1223" s="84"/>
      <c r="R1223" s="84"/>
    </row>
    <row r="1224" ht="15.75" customHeight="1">
      <c r="A1224" s="125"/>
      <c r="B1224" s="125"/>
      <c r="C1224" s="125"/>
      <c r="D1224" s="125"/>
      <c r="E1224" s="126"/>
      <c r="F1224" s="126"/>
      <c r="G1224" s="125"/>
      <c r="H1224" s="125"/>
      <c r="I1224" s="99"/>
      <c r="K1224" s="84"/>
      <c r="L1224" s="84"/>
      <c r="M1224" s="84"/>
      <c r="N1224" s="84"/>
      <c r="O1224" s="84"/>
      <c r="P1224" s="84"/>
      <c r="Q1224" s="84"/>
      <c r="R1224" s="84"/>
    </row>
    <row r="1225" ht="15.75" customHeight="1">
      <c r="A1225" s="125"/>
      <c r="B1225" s="125"/>
      <c r="C1225" s="125"/>
      <c r="D1225" s="125"/>
      <c r="E1225" s="126"/>
      <c r="F1225" s="126"/>
      <c r="G1225" s="125"/>
      <c r="H1225" s="125"/>
      <c r="I1225" s="99"/>
      <c r="K1225" s="84"/>
      <c r="L1225" s="84"/>
      <c r="M1225" s="84"/>
      <c r="N1225" s="84"/>
      <c r="O1225" s="84"/>
      <c r="P1225" s="84"/>
      <c r="Q1225" s="84"/>
      <c r="R1225" s="84"/>
    </row>
    <row r="1226" ht="15.75" customHeight="1">
      <c r="A1226" s="125"/>
      <c r="B1226" s="125"/>
      <c r="C1226" s="125"/>
      <c r="D1226" s="125"/>
      <c r="E1226" s="126"/>
      <c r="F1226" s="126"/>
      <c r="G1226" s="125"/>
      <c r="H1226" s="125"/>
      <c r="I1226" s="99"/>
      <c r="K1226" s="84"/>
      <c r="L1226" s="84"/>
      <c r="M1226" s="84"/>
      <c r="N1226" s="84"/>
      <c r="O1226" s="84"/>
      <c r="P1226" s="84"/>
      <c r="Q1226" s="84"/>
      <c r="R1226" s="84"/>
    </row>
    <row r="1227" ht="15.75" customHeight="1">
      <c r="A1227" s="125"/>
      <c r="B1227" s="125"/>
      <c r="C1227" s="125"/>
      <c r="D1227" s="125"/>
      <c r="E1227" s="126"/>
      <c r="F1227" s="126"/>
      <c r="G1227" s="125"/>
      <c r="H1227" s="125"/>
      <c r="I1227" s="99"/>
      <c r="K1227" s="84"/>
      <c r="L1227" s="84"/>
      <c r="M1227" s="84"/>
      <c r="N1227" s="84"/>
      <c r="O1227" s="84"/>
      <c r="P1227" s="84"/>
      <c r="Q1227" s="84"/>
      <c r="R1227" s="84"/>
    </row>
    <row r="1228" ht="15.75" customHeight="1">
      <c r="A1228" s="125"/>
      <c r="B1228" s="125"/>
      <c r="C1228" s="125"/>
      <c r="D1228" s="125"/>
      <c r="E1228" s="126"/>
      <c r="F1228" s="126"/>
      <c r="G1228" s="125"/>
      <c r="H1228" s="125"/>
      <c r="I1228" s="99"/>
      <c r="K1228" s="84"/>
      <c r="L1228" s="84"/>
      <c r="M1228" s="84"/>
      <c r="N1228" s="84"/>
      <c r="O1228" s="84"/>
      <c r="P1228" s="84"/>
      <c r="Q1228" s="84"/>
      <c r="R1228" s="84"/>
    </row>
    <row r="1229" ht="15.75" customHeight="1">
      <c r="A1229" s="125"/>
      <c r="B1229" s="125"/>
      <c r="C1229" s="125"/>
      <c r="D1229" s="125"/>
      <c r="E1229" s="126"/>
      <c r="F1229" s="126"/>
      <c r="G1229" s="125"/>
      <c r="H1229" s="125"/>
      <c r="I1229" s="99"/>
      <c r="K1229" s="84"/>
      <c r="L1229" s="84"/>
      <c r="M1229" s="84"/>
      <c r="N1229" s="84"/>
      <c r="O1229" s="84"/>
      <c r="P1229" s="84"/>
      <c r="Q1229" s="84"/>
      <c r="R1229" s="84"/>
    </row>
    <row r="1230" ht="15.75" customHeight="1">
      <c r="A1230" s="125"/>
      <c r="B1230" s="125"/>
      <c r="C1230" s="125"/>
      <c r="D1230" s="125"/>
      <c r="E1230" s="126"/>
      <c r="F1230" s="126"/>
      <c r="G1230" s="125"/>
      <c r="H1230" s="125"/>
      <c r="I1230" s="99"/>
      <c r="K1230" s="84"/>
      <c r="L1230" s="84"/>
      <c r="M1230" s="84"/>
      <c r="N1230" s="84"/>
      <c r="O1230" s="84"/>
      <c r="P1230" s="84"/>
      <c r="Q1230" s="84"/>
      <c r="R1230" s="84"/>
    </row>
    <row r="1231" ht="15.75" customHeight="1">
      <c r="A1231" s="125"/>
      <c r="B1231" s="125"/>
      <c r="C1231" s="125"/>
      <c r="D1231" s="125"/>
      <c r="E1231" s="126"/>
      <c r="F1231" s="126"/>
      <c r="G1231" s="125"/>
      <c r="H1231" s="125"/>
      <c r="I1231" s="99"/>
      <c r="K1231" s="84"/>
      <c r="L1231" s="84"/>
      <c r="M1231" s="84"/>
      <c r="N1231" s="84"/>
      <c r="O1231" s="84"/>
      <c r="P1231" s="84"/>
      <c r="Q1231" s="84"/>
      <c r="R1231" s="84"/>
    </row>
    <row r="1232" ht="15.75" customHeight="1">
      <c r="A1232" s="125"/>
      <c r="B1232" s="125"/>
      <c r="C1232" s="125"/>
      <c r="D1232" s="125"/>
      <c r="E1232" s="126"/>
      <c r="F1232" s="126"/>
      <c r="G1232" s="125"/>
      <c r="H1232" s="125"/>
      <c r="I1232" s="99"/>
      <c r="K1232" s="84"/>
      <c r="L1232" s="84"/>
      <c r="M1232" s="84"/>
      <c r="N1232" s="84"/>
      <c r="O1232" s="84"/>
      <c r="P1232" s="84"/>
      <c r="Q1232" s="84"/>
      <c r="R1232" s="84"/>
    </row>
    <row r="1233" ht="15.75" customHeight="1">
      <c r="A1233" s="125"/>
      <c r="B1233" s="125"/>
      <c r="C1233" s="125"/>
      <c r="D1233" s="125"/>
      <c r="E1233" s="126"/>
      <c r="F1233" s="126"/>
      <c r="G1233" s="125"/>
      <c r="H1233" s="125"/>
      <c r="I1233" s="99"/>
      <c r="K1233" s="84"/>
      <c r="L1233" s="84"/>
      <c r="M1233" s="84"/>
      <c r="N1233" s="84"/>
      <c r="O1233" s="84"/>
      <c r="P1233" s="84"/>
      <c r="Q1233" s="84"/>
      <c r="R1233" s="84"/>
    </row>
    <row r="1234" ht="15.75" customHeight="1">
      <c r="A1234" s="125"/>
      <c r="B1234" s="125"/>
      <c r="C1234" s="125"/>
      <c r="D1234" s="125"/>
      <c r="E1234" s="126"/>
      <c r="F1234" s="126"/>
      <c r="G1234" s="125"/>
      <c r="H1234" s="125"/>
      <c r="I1234" s="99"/>
      <c r="K1234" s="84"/>
      <c r="L1234" s="84"/>
      <c r="M1234" s="84"/>
      <c r="N1234" s="84"/>
      <c r="O1234" s="84"/>
      <c r="P1234" s="84"/>
      <c r="Q1234" s="84"/>
      <c r="R1234" s="84"/>
    </row>
    <row r="1235" ht="15.75" customHeight="1">
      <c r="A1235" s="125"/>
      <c r="B1235" s="125"/>
      <c r="C1235" s="125"/>
      <c r="D1235" s="125"/>
      <c r="E1235" s="126"/>
      <c r="F1235" s="126"/>
      <c r="G1235" s="125"/>
      <c r="H1235" s="125"/>
      <c r="I1235" s="99"/>
      <c r="K1235" s="84"/>
      <c r="L1235" s="84"/>
      <c r="M1235" s="84"/>
      <c r="N1235" s="84"/>
      <c r="O1235" s="84"/>
      <c r="P1235" s="84"/>
      <c r="Q1235" s="84"/>
      <c r="R1235" s="84"/>
    </row>
    <row r="1236" ht="15.75" customHeight="1">
      <c r="A1236" s="125"/>
      <c r="B1236" s="125"/>
      <c r="C1236" s="125"/>
      <c r="D1236" s="125"/>
      <c r="E1236" s="126"/>
      <c r="F1236" s="126"/>
      <c r="G1236" s="125"/>
      <c r="H1236" s="125"/>
      <c r="I1236" s="99"/>
      <c r="K1236" s="84"/>
      <c r="L1236" s="84"/>
      <c r="M1236" s="84"/>
      <c r="N1236" s="84"/>
      <c r="O1236" s="84"/>
      <c r="P1236" s="84"/>
      <c r="Q1236" s="84"/>
      <c r="R1236" s="84"/>
    </row>
    <row r="1237" ht="15.75" customHeight="1">
      <c r="A1237" s="125"/>
      <c r="B1237" s="125"/>
      <c r="C1237" s="125"/>
      <c r="D1237" s="125"/>
      <c r="E1237" s="126"/>
      <c r="F1237" s="126"/>
      <c r="G1237" s="125"/>
      <c r="H1237" s="125"/>
      <c r="I1237" s="99"/>
      <c r="K1237" s="84"/>
      <c r="L1237" s="84"/>
      <c r="M1237" s="84"/>
      <c r="N1237" s="84"/>
      <c r="O1237" s="84"/>
      <c r="P1237" s="84"/>
      <c r="Q1237" s="84"/>
      <c r="R1237" s="84"/>
    </row>
    <row r="1238" ht="15.75" customHeight="1">
      <c r="A1238" s="125"/>
      <c r="B1238" s="125"/>
      <c r="C1238" s="125"/>
      <c r="D1238" s="125"/>
      <c r="E1238" s="126"/>
      <c r="F1238" s="126"/>
      <c r="G1238" s="125"/>
      <c r="H1238" s="125"/>
      <c r="I1238" s="99"/>
      <c r="K1238" s="84"/>
      <c r="L1238" s="84"/>
      <c r="M1238" s="84"/>
      <c r="N1238" s="84"/>
      <c r="O1238" s="84"/>
      <c r="P1238" s="84"/>
      <c r="Q1238" s="84"/>
      <c r="R1238" s="84"/>
    </row>
    <row r="1239" ht="15.75" customHeight="1">
      <c r="A1239" s="125"/>
      <c r="B1239" s="125"/>
      <c r="C1239" s="125"/>
      <c r="D1239" s="125"/>
      <c r="E1239" s="126"/>
      <c r="F1239" s="126"/>
      <c r="G1239" s="125"/>
      <c r="H1239" s="125"/>
      <c r="I1239" s="99"/>
      <c r="K1239" s="84"/>
      <c r="L1239" s="84"/>
      <c r="M1239" s="84"/>
      <c r="N1239" s="84"/>
      <c r="O1239" s="84"/>
      <c r="P1239" s="84"/>
      <c r="Q1239" s="84"/>
      <c r="R1239" s="84"/>
    </row>
    <row r="1240" ht="15.75" customHeight="1">
      <c r="A1240" s="125"/>
      <c r="B1240" s="125"/>
      <c r="C1240" s="125"/>
      <c r="D1240" s="125"/>
      <c r="E1240" s="126"/>
      <c r="F1240" s="126"/>
      <c r="G1240" s="125"/>
      <c r="H1240" s="125"/>
      <c r="I1240" s="99"/>
      <c r="K1240" s="84"/>
      <c r="L1240" s="84"/>
      <c r="M1240" s="84"/>
      <c r="N1240" s="84"/>
      <c r="O1240" s="84"/>
      <c r="P1240" s="84"/>
      <c r="Q1240" s="84"/>
      <c r="R1240" s="84"/>
    </row>
    <row r="1241" ht="15.75" customHeight="1">
      <c r="A1241" s="125"/>
      <c r="B1241" s="125"/>
      <c r="C1241" s="125"/>
      <c r="D1241" s="125"/>
      <c r="E1241" s="126"/>
      <c r="F1241" s="126"/>
      <c r="G1241" s="125"/>
      <c r="H1241" s="125"/>
      <c r="I1241" s="99"/>
      <c r="K1241" s="84"/>
      <c r="L1241" s="84"/>
      <c r="M1241" s="84"/>
      <c r="N1241" s="84"/>
      <c r="O1241" s="84"/>
      <c r="P1241" s="84"/>
      <c r="Q1241" s="84"/>
      <c r="R1241" s="84"/>
    </row>
    <row r="1242" ht="15.75" customHeight="1">
      <c r="A1242" s="125"/>
      <c r="B1242" s="125"/>
      <c r="C1242" s="125"/>
      <c r="D1242" s="125"/>
      <c r="E1242" s="126"/>
      <c r="F1242" s="126"/>
      <c r="G1242" s="125"/>
      <c r="H1242" s="125"/>
      <c r="I1242" s="99"/>
      <c r="K1242" s="84"/>
      <c r="L1242" s="84"/>
      <c r="M1242" s="84"/>
      <c r="N1242" s="84"/>
      <c r="O1242" s="84"/>
      <c r="P1242" s="84"/>
      <c r="Q1242" s="84"/>
      <c r="R1242" s="84"/>
    </row>
    <row r="1243" ht="15.75" customHeight="1">
      <c r="A1243" s="125"/>
      <c r="B1243" s="125"/>
      <c r="C1243" s="125"/>
      <c r="D1243" s="125"/>
      <c r="E1243" s="126"/>
      <c r="F1243" s="126"/>
      <c r="G1243" s="125"/>
      <c r="H1243" s="125"/>
      <c r="I1243" s="99"/>
      <c r="K1243" s="84"/>
      <c r="L1243" s="84"/>
      <c r="M1243" s="84"/>
      <c r="N1243" s="84"/>
      <c r="O1243" s="84"/>
      <c r="P1243" s="84"/>
      <c r="Q1243" s="84"/>
      <c r="R1243" s="84"/>
    </row>
    <row r="1244" ht="15.75" customHeight="1">
      <c r="A1244" s="125"/>
      <c r="B1244" s="125"/>
      <c r="C1244" s="125"/>
      <c r="D1244" s="125"/>
      <c r="E1244" s="126"/>
      <c r="F1244" s="126"/>
      <c r="G1244" s="125"/>
      <c r="H1244" s="125"/>
      <c r="I1244" s="99"/>
      <c r="K1244" s="84"/>
      <c r="L1244" s="84"/>
      <c r="M1244" s="84"/>
      <c r="N1244" s="84"/>
      <c r="O1244" s="84"/>
      <c r="P1244" s="84"/>
      <c r="Q1244" s="84"/>
      <c r="R1244" s="84"/>
    </row>
    <row r="1245" ht="15.75" customHeight="1">
      <c r="A1245" s="125"/>
      <c r="B1245" s="125"/>
      <c r="C1245" s="125"/>
      <c r="D1245" s="125"/>
      <c r="E1245" s="126"/>
      <c r="F1245" s="126"/>
      <c r="G1245" s="125"/>
      <c r="H1245" s="125"/>
      <c r="I1245" s="99"/>
      <c r="K1245" s="84"/>
      <c r="L1245" s="84"/>
      <c r="M1245" s="84"/>
      <c r="N1245" s="84"/>
      <c r="O1245" s="84"/>
      <c r="P1245" s="84"/>
      <c r="Q1245" s="84"/>
      <c r="R1245" s="84"/>
    </row>
    <row r="1246" ht="15.75" customHeight="1">
      <c r="A1246" s="125"/>
      <c r="B1246" s="125"/>
      <c r="C1246" s="125"/>
      <c r="D1246" s="125"/>
      <c r="E1246" s="126"/>
      <c r="F1246" s="126"/>
      <c r="G1246" s="125"/>
      <c r="H1246" s="125"/>
      <c r="I1246" s="99"/>
      <c r="K1246" s="84"/>
      <c r="L1246" s="84"/>
      <c r="M1246" s="84"/>
      <c r="N1246" s="84"/>
      <c r="O1246" s="84"/>
      <c r="P1246" s="84"/>
      <c r="Q1246" s="84"/>
      <c r="R1246" s="84"/>
    </row>
    <row r="1247" ht="15.75" customHeight="1">
      <c r="A1247" s="125"/>
      <c r="B1247" s="125"/>
      <c r="C1247" s="125"/>
      <c r="D1247" s="125"/>
      <c r="E1247" s="126"/>
      <c r="F1247" s="126"/>
      <c r="G1247" s="125"/>
      <c r="H1247" s="125"/>
      <c r="I1247" s="99"/>
      <c r="K1247" s="84"/>
      <c r="L1247" s="84"/>
      <c r="M1247" s="84"/>
      <c r="N1247" s="84"/>
      <c r="O1247" s="84"/>
      <c r="P1247" s="84"/>
      <c r="Q1247" s="84"/>
      <c r="R1247" s="84"/>
    </row>
    <row r="1248" ht="15.75" customHeight="1">
      <c r="A1248" s="125"/>
      <c r="B1248" s="125"/>
      <c r="C1248" s="125"/>
      <c r="D1248" s="125"/>
      <c r="E1248" s="126"/>
      <c r="F1248" s="126"/>
      <c r="G1248" s="125"/>
      <c r="H1248" s="125"/>
      <c r="I1248" s="99"/>
      <c r="K1248" s="84"/>
      <c r="L1248" s="84"/>
      <c r="M1248" s="84"/>
      <c r="N1248" s="84"/>
      <c r="O1248" s="84"/>
      <c r="P1248" s="84"/>
      <c r="Q1248" s="84"/>
      <c r="R1248" s="84"/>
    </row>
    <row r="1249" ht="15.75" customHeight="1">
      <c r="A1249" s="125"/>
      <c r="B1249" s="125"/>
      <c r="C1249" s="125"/>
      <c r="D1249" s="125"/>
      <c r="E1249" s="126"/>
      <c r="F1249" s="126"/>
      <c r="G1249" s="125"/>
      <c r="H1249" s="125"/>
      <c r="I1249" s="99"/>
      <c r="K1249" s="84"/>
      <c r="L1249" s="84"/>
      <c r="M1249" s="84"/>
      <c r="N1249" s="84"/>
      <c r="O1249" s="84"/>
      <c r="P1249" s="84"/>
      <c r="Q1249" s="84"/>
      <c r="R1249" s="84"/>
    </row>
    <row r="1250" ht="15.75" customHeight="1">
      <c r="A1250" s="125"/>
      <c r="B1250" s="125"/>
      <c r="C1250" s="125"/>
      <c r="D1250" s="125"/>
      <c r="E1250" s="126"/>
      <c r="F1250" s="126"/>
      <c r="G1250" s="125"/>
      <c r="H1250" s="125"/>
      <c r="I1250" s="99"/>
      <c r="K1250" s="84"/>
      <c r="L1250" s="84"/>
      <c r="M1250" s="84"/>
      <c r="N1250" s="84"/>
      <c r="O1250" s="84"/>
      <c r="P1250" s="84"/>
      <c r="Q1250" s="84"/>
      <c r="R1250" s="84"/>
    </row>
    <row r="1251" ht="15.75" customHeight="1">
      <c r="A1251" s="125"/>
      <c r="B1251" s="125"/>
      <c r="C1251" s="125"/>
      <c r="D1251" s="125"/>
      <c r="E1251" s="126"/>
      <c r="F1251" s="126"/>
      <c r="G1251" s="125"/>
      <c r="H1251" s="125"/>
      <c r="I1251" s="99"/>
      <c r="K1251" s="84"/>
      <c r="L1251" s="84"/>
      <c r="M1251" s="84"/>
      <c r="N1251" s="84"/>
      <c r="O1251" s="84"/>
      <c r="P1251" s="84"/>
      <c r="Q1251" s="84"/>
      <c r="R1251" s="84"/>
    </row>
    <row r="1252" ht="15.75" customHeight="1">
      <c r="A1252" s="125"/>
      <c r="B1252" s="125"/>
      <c r="C1252" s="125"/>
      <c r="D1252" s="125"/>
      <c r="E1252" s="126"/>
      <c r="F1252" s="126"/>
      <c r="G1252" s="125"/>
      <c r="H1252" s="125"/>
      <c r="I1252" s="99"/>
      <c r="K1252" s="84"/>
      <c r="L1252" s="84"/>
      <c r="M1252" s="84"/>
      <c r="N1252" s="84"/>
      <c r="O1252" s="84"/>
      <c r="P1252" s="84"/>
      <c r="Q1252" s="84"/>
      <c r="R1252" s="84"/>
    </row>
    <row r="1253" ht="15.75" customHeight="1">
      <c r="A1253" s="125"/>
      <c r="B1253" s="125"/>
      <c r="C1253" s="125"/>
      <c r="D1253" s="125"/>
      <c r="E1253" s="126"/>
      <c r="F1253" s="126"/>
      <c r="G1253" s="125"/>
      <c r="H1253" s="125"/>
      <c r="I1253" s="99"/>
      <c r="K1253" s="84"/>
      <c r="L1253" s="84"/>
      <c r="M1253" s="84"/>
      <c r="N1253" s="84"/>
      <c r="O1253" s="84"/>
      <c r="P1253" s="84"/>
      <c r="Q1253" s="84"/>
      <c r="R1253" s="84"/>
    </row>
    <row r="1254" ht="15.75" customHeight="1">
      <c r="A1254" s="125"/>
      <c r="B1254" s="125"/>
      <c r="C1254" s="125"/>
      <c r="D1254" s="125"/>
      <c r="E1254" s="126"/>
      <c r="F1254" s="126"/>
      <c r="G1254" s="125"/>
      <c r="H1254" s="125"/>
      <c r="I1254" s="99"/>
      <c r="K1254" s="84"/>
      <c r="L1254" s="84"/>
      <c r="M1254" s="84"/>
      <c r="N1254" s="84"/>
      <c r="O1254" s="84"/>
      <c r="P1254" s="84"/>
      <c r="Q1254" s="84"/>
      <c r="R1254" s="84"/>
    </row>
    <row r="1255" ht="15.75" customHeight="1">
      <c r="A1255" s="125"/>
      <c r="B1255" s="125"/>
      <c r="C1255" s="125"/>
      <c r="D1255" s="125"/>
      <c r="E1255" s="126"/>
      <c r="F1255" s="126"/>
      <c r="G1255" s="125"/>
      <c r="H1255" s="125"/>
      <c r="I1255" s="99"/>
      <c r="K1255" s="84"/>
      <c r="L1255" s="84"/>
      <c r="M1255" s="84"/>
      <c r="N1255" s="84"/>
      <c r="O1255" s="84"/>
      <c r="P1255" s="84"/>
      <c r="Q1255" s="84"/>
      <c r="R1255" s="84"/>
    </row>
    <row r="1256" ht="15.75" customHeight="1">
      <c r="A1256" s="125"/>
      <c r="B1256" s="125"/>
      <c r="C1256" s="125"/>
      <c r="D1256" s="125"/>
      <c r="E1256" s="126"/>
      <c r="F1256" s="126"/>
      <c r="G1256" s="125"/>
      <c r="H1256" s="125"/>
      <c r="I1256" s="99"/>
      <c r="K1256" s="84"/>
      <c r="L1256" s="84"/>
      <c r="M1256" s="84"/>
      <c r="N1256" s="84"/>
      <c r="O1256" s="84"/>
      <c r="P1256" s="84"/>
      <c r="Q1256" s="84"/>
      <c r="R1256" s="84"/>
    </row>
    <row r="1257" ht="15.75" customHeight="1">
      <c r="A1257" s="125"/>
      <c r="B1257" s="125"/>
      <c r="C1257" s="125"/>
      <c r="D1257" s="125"/>
      <c r="E1257" s="126"/>
      <c r="F1257" s="126"/>
      <c r="G1257" s="125"/>
      <c r="H1257" s="125"/>
      <c r="I1257" s="99"/>
      <c r="K1257" s="84"/>
      <c r="L1257" s="84"/>
      <c r="M1257" s="84"/>
      <c r="N1257" s="84"/>
      <c r="O1257" s="84"/>
      <c r="P1257" s="84"/>
      <c r="Q1257" s="84"/>
      <c r="R1257" s="84"/>
    </row>
    <row r="1258" ht="15.75" customHeight="1">
      <c r="A1258" s="125"/>
      <c r="B1258" s="125"/>
      <c r="C1258" s="125"/>
      <c r="D1258" s="125"/>
      <c r="E1258" s="126"/>
      <c r="F1258" s="126"/>
      <c r="G1258" s="125"/>
      <c r="H1258" s="125"/>
      <c r="I1258" s="99"/>
      <c r="K1258" s="84"/>
      <c r="L1258" s="84"/>
      <c r="M1258" s="84"/>
      <c r="N1258" s="84"/>
      <c r="O1258" s="84"/>
      <c r="P1258" s="84"/>
      <c r="Q1258" s="84"/>
      <c r="R1258" s="84"/>
    </row>
    <row r="1259" ht="15.75" customHeight="1">
      <c r="A1259" s="125"/>
      <c r="B1259" s="125"/>
      <c r="C1259" s="125"/>
      <c r="D1259" s="125"/>
      <c r="E1259" s="126"/>
      <c r="F1259" s="126"/>
      <c r="G1259" s="125"/>
      <c r="H1259" s="125"/>
      <c r="I1259" s="99"/>
      <c r="K1259" s="84"/>
      <c r="L1259" s="84"/>
      <c r="M1259" s="84"/>
      <c r="N1259" s="84"/>
      <c r="O1259" s="84"/>
      <c r="P1259" s="84"/>
      <c r="Q1259" s="84"/>
      <c r="R1259" s="84"/>
    </row>
    <row r="1260" ht="15.75" customHeight="1">
      <c r="A1260" s="125"/>
      <c r="B1260" s="125"/>
      <c r="C1260" s="125"/>
      <c r="D1260" s="125"/>
      <c r="E1260" s="126"/>
      <c r="F1260" s="126"/>
      <c r="G1260" s="125"/>
      <c r="H1260" s="125"/>
      <c r="I1260" s="99"/>
      <c r="K1260" s="84"/>
      <c r="L1260" s="84"/>
      <c r="M1260" s="84"/>
      <c r="N1260" s="84"/>
      <c r="O1260" s="84"/>
      <c r="P1260" s="84"/>
      <c r="Q1260" s="84"/>
      <c r="R1260" s="84"/>
    </row>
    <row r="1261" ht="15.75" customHeight="1">
      <c r="A1261" s="125"/>
      <c r="B1261" s="125"/>
      <c r="C1261" s="125"/>
      <c r="D1261" s="125"/>
      <c r="E1261" s="126"/>
      <c r="F1261" s="126"/>
      <c r="G1261" s="125"/>
      <c r="H1261" s="125"/>
      <c r="I1261" s="99"/>
      <c r="K1261" s="84"/>
      <c r="L1261" s="84"/>
      <c r="M1261" s="84"/>
      <c r="N1261" s="84"/>
      <c r="O1261" s="84"/>
      <c r="P1261" s="84"/>
      <c r="Q1261" s="84"/>
      <c r="R1261" s="84"/>
    </row>
    <row r="1262" ht="15.75" customHeight="1">
      <c r="A1262" s="125"/>
      <c r="B1262" s="125"/>
      <c r="C1262" s="125"/>
      <c r="D1262" s="125"/>
      <c r="E1262" s="126"/>
      <c r="F1262" s="126"/>
      <c r="G1262" s="125"/>
      <c r="H1262" s="125"/>
      <c r="I1262" s="99"/>
      <c r="K1262" s="84"/>
      <c r="L1262" s="84"/>
      <c r="M1262" s="84"/>
      <c r="N1262" s="84"/>
      <c r="O1262" s="84"/>
      <c r="P1262" s="84"/>
      <c r="Q1262" s="84"/>
      <c r="R1262" s="84"/>
    </row>
    <row r="1263" ht="15.75" customHeight="1">
      <c r="A1263" s="125"/>
      <c r="B1263" s="125"/>
      <c r="C1263" s="125"/>
      <c r="D1263" s="125"/>
      <c r="E1263" s="126"/>
      <c r="F1263" s="126"/>
      <c r="G1263" s="125"/>
      <c r="H1263" s="125"/>
      <c r="I1263" s="99"/>
      <c r="K1263" s="84"/>
      <c r="L1263" s="84"/>
      <c r="M1263" s="84"/>
      <c r="N1263" s="84"/>
      <c r="O1263" s="84"/>
      <c r="P1263" s="84"/>
      <c r="Q1263" s="84"/>
      <c r="R1263" s="84"/>
    </row>
    <row r="1264" ht="15.75" customHeight="1">
      <c r="A1264" s="125"/>
      <c r="B1264" s="125"/>
      <c r="C1264" s="125"/>
      <c r="D1264" s="125"/>
      <c r="E1264" s="126"/>
      <c r="F1264" s="126"/>
      <c r="G1264" s="125"/>
      <c r="H1264" s="125"/>
      <c r="I1264" s="99"/>
      <c r="K1264" s="84"/>
      <c r="L1264" s="84"/>
      <c r="M1264" s="84"/>
      <c r="N1264" s="84"/>
      <c r="O1264" s="84"/>
      <c r="P1264" s="84"/>
      <c r="Q1264" s="84"/>
      <c r="R1264" s="84"/>
    </row>
    <row r="1265" ht="15.75" customHeight="1">
      <c r="A1265" s="125"/>
      <c r="B1265" s="125"/>
      <c r="C1265" s="125"/>
      <c r="D1265" s="125"/>
      <c r="E1265" s="126"/>
      <c r="F1265" s="126"/>
      <c r="G1265" s="125"/>
      <c r="H1265" s="125"/>
      <c r="I1265" s="99"/>
      <c r="K1265" s="84"/>
      <c r="L1265" s="84"/>
      <c r="M1265" s="84"/>
      <c r="N1265" s="84"/>
      <c r="O1265" s="84"/>
      <c r="P1265" s="84"/>
      <c r="Q1265" s="84"/>
      <c r="R1265" s="84"/>
    </row>
    <row r="1266" ht="15.75" customHeight="1">
      <c r="A1266" s="125"/>
      <c r="B1266" s="125"/>
      <c r="C1266" s="125"/>
      <c r="D1266" s="125"/>
      <c r="E1266" s="126"/>
      <c r="F1266" s="126"/>
      <c r="G1266" s="125"/>
      <c r="H1266" s="125"/>
      <c r="I1266" s="99"/>
      <c r="K1266" s="84"/>
      <c r="L1266" s="84"/>
      <c r="M1266" s="84"/>
      <c r="N1266" s="84"/>
      <c r="O1266" s="84"/>
      <c r="P1266" s="84"/>
      <c r="Q1266" s="84"/>
      <c r="R1266" s="84"/>
    </row>
    <row r="1267" ht="15.75" customHeight="1">
      <c r="A1267" s="125"/>
      <c r="B1267" s="125"/>
      <c r="C1267" s="125"/>
      <c r="D1267" s="125"/>
      <c r="E1267" s="126"/>
      <c r="F1267" s="126"/>
      <c r="G1267" s="125"/>
      <c r="H1267" s="125"/>
      <c r="I1267" s="99"/>
      <c r="K1267" s="84"/>
      <c r="L1267" s="84"/>
      <c r="M1267" s="84"/>
      <c r="N1267" s="84"/>
      <c r="O1267" s="84"/>
      <c r="P1267" s="84"/>
      <c r="Q1267" s="84"/>
      <c r="R1267" s="84"/>
    </row>
    <row r="1268" ht="15.75" customHeight="1">
      <c r="A1268" s="125"/>
      <c r="B1268" s="125"/>
      <c r="C1268" s="125"/>
      <c r="D1268" s="125"/>
      <c r="E1268" s="126"/>
      <c r="F1268" s="126"/>
      <c r="G1268" s="125"/>
      <c r="H1268" s="125"/>
      <c r="I1268" s="99"/>
      <c r="K1268" s="84"/>
      <c r="L1268" s="84"/>
      <c r="M1268" s="84"/>
      <c r="N1268" s="84"/>
      <c r="O1268" s="84"/>
      <c r="P1268" s="84"/>
      <c r="Q1268" s="84"/>
      <c r="R1268" s="84"/>
    </row>
    <row r="1269" ht="15.75" customHeight="1">
      <c r="A1269" s="125"/>
      <c r="B1269" s="125"/>
      <c r="C1269" s="125"/>
      <c r="D1269" s="125"/>
      <c r="E1269" s="126"/>
      <c r="F1269" s="126"/>
      <c r="G1269" s="125"/>
      <c r="H1269" s="125"/>
      <c r="I1269" s="99"/>
      <c r="K1269" s="84"/>
      <c r="L1269" s="84"/>
      <c r="M1269" s="84"/>
      <c r="N1269" s="84"/>
      <c r="O1269" s="84"/>
      <c r="P1269" s="84"/>
      <c r="Q1269" s="84"/>
      <c r="R1269" s="84"/>
    </row>
    <row r="1270" ht="15.75" customHeight="1">
      <c r="A1270" s="125"/>
      <c r="B1270" s="125"/>
      <c r="C1270" s="125"/>
      <c r="D1270" s="125"/>
      <c r="E1270" s="126"/>
      <c r="F1270" s="126"/>
      <c r="G1270" s="125"/>
      <c r="H1270" s="125"/>
      <c r="I1270" s="99"/>
      <c r="K1270" s="84"/>
      <c r="L1270" s="84"/>
      <c r="M1270" s="84"/>
      <c r="N1270" s="84"/>
      <c r="O1270" s="84"/>
      <c r="P1270" s="84"/>
      <c r="Q1270" s="84"/>
      <c r="R1270" s="84"/>
    </row>
    <row r="1271" ht="15.75" customHeight="1">
      <c r="A1271" s="125"/>
      <c r="B1271" s="125"/>
      <c r="C1271" s="125"/>
      <c r="D1271" s="125"/>
      <c r="E1271" s="126"/>
      <c r="F1271" s="126"/>
      <c r="G1271" s="125"/>
      <c r="H1271" s="125"/>
      <c r="I1271" s="99"/>
      <c r="K1271" s="84"/>
      <c r="L1271" s="84"/>
      <c r="M1271" s="84"/>
      <c r="N1271" s="84"/>
      <c r="O1271" s="84"/>
      <c r="P1271" s="84"/>
      <c r="Q1271" s="84"/>
      <c r="R1271" s="84"/>
    </row>
    <row r="1272" ht="15.75" customHeight="1">
      <c r="A1272" s="125"/>
      <c r="B1272" s="125"/>
      <c r="C1272" s="125"/>
      <c r="D1272" s="125"/>
      <c r="E1272" s="126"/>
      <c r="F1272" s="126"/>
      <c r="G1272" s="125"/>
      <c r="H1272" s="125"/>
      <c r="I1272" s="99"/>
      <c r="K1272" s="84"/>
      <c r="L1272" s="84"/>
      <c r="M1272" s="84"/>
      <c r="N1272" s="84"/>
      <c r="O1272" s="84"/>
      <c r="P1272" s="84"/>
      <c r="Q1272" s="84"/>
      <c r="R1272" s="84"/>
    </row>
    <row r="1273" ht="15.75" customHeight="1">
      <c r="A1273" s="125"/>
      <c r="B1273" s="125"/>
      <c r="C1273" s="125"/>
      <c r="D1273" s="125"/>
      <c r="E1273" s="126"/>
      <c r="F1273" s="126"/>
      <c r="G1273" s="125"/>
      <c r="H1273" s="125"/>
      <c r="I1273" s="99"/>
      <c r="K1273" s="84"/>
      <c r="L1273" s="84"/>
      <c r="M1273" s="84"/>
      <c r="N1273" s="84"/>
      <c r="O1273" s="84"/>
      <c r="P1273" s="84"/>
      <c r="Q1273" s="84"/>
      <c r="R1273" s="84"/>
    </row>
    <row r="1274" ht="15.75" customHeight="1">
      <c r="A1274" s="125"/>
      <c r="B1274" s="125"/>
      <c r="C1274" s="125"/>
      <c r="D1274" s="125"/>
      <c r="E1274" s="126"/>
      <c r="F1274" s="126"/>
      <c r="G1274" s="125"/>
      <c r="H1274" s="125"/>
      <c r="I1274" s="99"/>
      <c r="K1274" s="84"/>
      <c r="L1274" s="84"/>
      <c r="M1274" s="84"/>
      <c r="N1274" s="84"/>
      <c r="O1274" s="84"/>
      <c r="P1274" s="84"/>
      <c r="Q1274" s="84"/>
      <c r="R1274" s="84"/>
    </row>
    <row r="1275" ht="15.75" customHeight="1">
      <c r="A1275" s="125"/>
      <c r="B1275" s="125"/>
      <c r="C1275" s="125"/>
      <c r="D1275" s="125"/>
      <c r="E1275" s="126"/>
      <c r="F1275" s="126"/>
      <c r="G1275" s="125"/>
      <c r="H1275" s="125"/>
      <c r="I1275" s="99"/>
      <c r="K1275" s="84"/>
      <c r="L1275" s="84"/>
      <c r="M1275" s="84"/>
      <c r="N1275" s="84"/>
      <c r="O1275" s="84"/>
      <c r="P1275" s="84"/>
      <c r="Q1275" s="84"/>
      <c r="R1275" s="84"/>
    </row>
    <row r="1276" ht="15.75" customHeight="1">
      <c r="A1276" s="125"/>
      <c r="B1276" s="125"/>
      <c r="C1276" s="125"/>
      <c r="D1276" s="125"/>
      <c r="E1276" s="126"/>
      <c r="F1276" s="126"/>
      <c r="G1276" s="125"/>
      <c r="H1276" s="125"/>
      <c r="I1276" s="99"/>
      <c r="K1276" s="84"/>
      <c r="L1276" s="84"/>
      <c r="M1276" s="84"/>
      <c r="N1276" s="84"/>
      <c r="O1276" s="84"/>
      <c r="P1276" s="84"/>
      <c r="Q1276" s="84"/>
      <c r="R1276" s="84"/>
    </row>
    <row r="1277" ht="15.75" customHeight="1">
      <c r="A1277" s="125"/>
      <c r="B1277" s="125"/>
      <c r="C1277" s="125"/>
      <c r="D1277" s="125"/>
      <c r="E1277" s="126"/>
      <c r="F1277" s="126"/>
      <c r="G1277" s="125"/>
      <c r="H1277" s="125"/>
      <c r="I1277" s="99"/>
      <c r="K1277" s="84"/>
      <c r="L1277" s="84"/>
      <c r="M1277" s="84"/>
      <c r="N1277" s="84"/>
      <c r="O1277" s="84"/>
      <c r="P1277" s="84"/>
      <c r="Q1277" s="84"/>
      <c r="R1277" s="84"/>
    </row>
    <row r="1278" ht="15.75" customHeight="1">
      <c r="A1278" s="125"/>
      <c r="B1278" s="125"/>
      <c r="C1278" s="125"/>
      <c r="D1278" s="125"/>
      <c r="E1278" s="126"/>
      <c r="F1278" s="126"/>
      <c r="G1278" s="125"/>
      <c r="H1278" s="125"/>
      <c r="I1278" s="99"/>
      <c r="K1278" s="84"/>
      <c r="L1278" s="84"/>
      <c r="M1278" s="84"/>
      <c r="N1278" s="84"/>
      <c r="O1278" s="84"/>
      <c r="P1278" s="84"/>
      <c r="Q1278" s="84"/>
      <c r="R1278" s="84"/>
    </row>
    <row r="1279" ht="15.75" customHeight="1">
      <c r="A1279" s="125"/>
      <c r="B1279" s="125"/>
      <c r="C1279" s="125"/>
      <c r="D1279" s="125"/>
      <c r="E1279" s="126"/>
      <c r="F1279" s="126"/>
      <c r="G1279" s="125"/>
      <c r="H1279" s="125"/>
      <c r="I1279" s="99"/>
      <c r="K1279" s="84"/>
      <c r="L1279" s="84"/>
      <c r="M1279" s="84"/>
      <c r="N1279" s="84"/>
      <c r="O1279" s="84"/>
      <c r="P1279" s="84"/>
      <c r="Q1279" s="84"/>
      <c r="R1279" s="84"/>
    </row>
    <row r="1280" ht="15.75" customHeight="1">
      <c r="A1280" s="125"/>
      <c r="B1280" s="125"/>
      <c r="C1280" s="125"/>
      <c r="D1280" s="125"/>
      <c r="E1280" s="126"/>
      <c r="F1280" s="126"/>
      <c r="G1280" s="125"/>
      <c r="H1280" s="125"/>
      <c r="I1280" s="99"/>
      <c r="K1280" s="84"/>
      <c r="L1280" s="84"/>
      <c r="M1280" s="84"/>
      <c r="N1280" s="84"/>
      <c r="O1280" s="84"/>
      <c r="P1280" s="84"/>
      <c r="Q1280" s="84"/>
      <c r="R1280" s="84"/>
    </row>
    <row r="1281" ht="15.75" customHeight="1">
      <c r="A1281" s="125"/>
      <c r="B1281" s="125"/>
      <c r="C1281" s="125"/>
      <c r="D1281" s="125"/>
      <c r="E1281" s="126"/>
      <c r="F1281" s="126"/>
      <c r="G1281" s="125"/>
      <c r="H1281" s="125"/>
      <c r="I1281" s="99"/>
      <c r="K1281" s="84"/>
      <c r="L1281" s="84"/>
      <c r="M1281" s="84"/>
      <c r="N1281" s="84"/>
      <c r="O1281" s="84"/>
      <c r="P1281" s="84"/>
      <c r="Q1281" s="84"/>
      <c r="R1281" s="84"/>
    </row>
    <row r="1282" ht="15.75" customHeight="1">
      <c r="A1282" s="125"/>
      <c r="B1282" s="125"/>
      <c r="C1282" s="125"/>
      <c r="D1282" s="125"/>
      <c r="E1282" s="126"/>
      <c r="F1282" s="126"/>
      <c r="G1282" s="125"/>
      <c r="H1282" s="125"/>
      <c r="I1282" s="99"/>
      <c r="K1282" s="84"/>
      <c r="L1282" s="84"/>
      <c r="M1282" s="84"/>
      <c r="N1282" s="84"/>
      <c r="O1282" s="84"/>
      <c r="P1282" s="84"/>
      <c r="Q1282" s="84"/>
      <c r="R1282" s="84"/>
    </row>
    <row r="1283" ht="15.75" customHeight="1">
      <c r="A1283" s="125"/>
      <c r="B1283" s="125"/>
      <c r="C1283" s="125"/>
      <c r="D1283" s="125"/>
      <c r="E1283" s="126"/>
      <c r="F1283" s="126"/>
      <c r="G1283" s="125"/>
      <c r="H1283" s="125"/>
      <c r="I1283" s="99"/>
      <c r="K1283" s="84"/>
      <c r="L1283" s="84"/>
      <c r="M1283" s="84"/>
      <c r="N1283" s="84"/>
      <c r="O1283" s="84"/>
      <c r="P1283" s="84"/>
      <c r="Q1283" s="84"/>
      <c r="R1283" s="84"/>
    </row>
    <row r="1284" ht="15.75" customHeight="1">
      <c r="A1284" s="125"/>
      <c r="B1284" s="125"/>
      <c r="C1284" s="125"/>
      <c r="D1284" s="125"/>
      <c r="E1284" s="126"/>
      <c r="F1284" s="126"/>
      <c r="G1284" s="125"/>
      <c r="H1284" s="125"/>
      <c r="I1284" s="99"/>
      <c r="K1284" s="84"/>
      <c r="L1284" s="84"/>
      <c r="M1284" s="84"/>
      <c r="N1284" s="84"/>
      <c r="O1284" s="84"/>
      <c r="P1284" s="84"/>
      <c r="Q1284" s="84"/>
      <c r="R1284" s="84"/>
    </row>
    <row r="1285" ht="15.75" customHeight="1">
      <c r="A1285" s="125"/>
      <c r="B1285" s="125"/>
      <c r="C1285" s="125"/>
      <c r="D1285" s="125"/>
      <c r="E1285" s="126"/>
      <c r="F1285" s="126"/>
      <c r="G1285" s="125"/>
      <c r="H1285" s="125"/>
      <c r="I1285" s="99"/>
      <c r="K1285" s="84"/>
      <c r="L1285" s="84"/>
      <c r="M1285" s="84"/>
      <c r="N1285" s="84"/>
      <c r="O1285" s="84"/>
      <c r="P1285" s="84"/>
      <c r="Q1285" s="84"/>
      <c r="R1285" s="84"/>
    </row>
    <row r="1286" ht="15.75" customHeight="1">
      <c r="A1286" s="125"/>
      <c r="B1286" s="125"/>
      <c r="C1286" s="125"/>
      <c r="D1286" s="125"/>
      <c r="E1286" s="126"/>
      <c r="F1286" s="126"/>
      <c r="G1286" s="125"/>
      <c r="H1286" s="125"/>
      <c r="I1286" s="99"/>
      <c r="K1286" s="84"/>
      <c r="L1286" s="84"/>
      <c r="M1286" s="84"/>
      <c r="N1286" s="84"/>
      <c r="O1286" s="84"/>
      <c r="P1286" s="84"/>
      <c r="Q1286" s="84"/>
      <c r="R1286" s="84"/>
    </row>
    <row r="1287" ht="15.75" customHeight="1">
      <c r="A1287" s="125"/>
      <c r="B1287" s="125"/>
      <c r="C1287" s="125"/>
      <c r="D1287" s="125"/>
      <c r="E1287" s="126"/>
      <c r="F1287" s="126"/>
      <c r="G1287" s="125"/>
      <c r="H1287" s="125"/>
      <c r="I1287" s="99"/>
      <c r="K1287" s="84"/>
      <c r="L1287" s="84"/>
      <c r="M1287" s="84"/>
      <c r="N1287" s="84"/>
      <c r="O1287" s="84"/>
      <c r="P1287" s="84"/>
      <c r="Q1287" s="84"/>
      <c r="R1287" s="84"/>
    </row>
    <row r="1288" ht="15.75" customHeight="1">
      <c r="A1288" s="125"/>
      <c r="B1288" s="125"/>
      <c r="C1288" s="125"/>
      <c r="D1288" s="125"/>
      <c r="E1288" s="126"/>
      <c r="F1288" s="126"/>
      <c r="G1288" s="125"/>
      <c r="H1288" s="125"/>
      <c r="I1288" s="99"/>
      <c r="K1288" s="84"/>
      <c r="L1288" s="84"/>
      <c r="M1288" s="84"/>
      <c r="N1288" s="84"/>
      <c r="O1288" s="84"/>
      <c r="P1288" s="84"/>
      <c r="Q1288" s="84"/>
      <c r="R1288" s="84"/>
    </row>
    <row r="1289" ht="15.75" customHeight="1">
      <c r="A1289" s="125"/>
      <c r="B1289" s="125"/>
      <c r="C1289" s="125"/>
      <c r="D1289" s="125"/>
      <c r="E1289" s="126"/>
      <c r="F1289" s="126"/>
      <c r="G1289" s="125"/>
      <c r="H1289" s="125"/>
      <c r="I1289" s="99"/>
      <c r="K1289" s="84"/>
      <c r="L1289" s="84"/>
      <c r="M1289" s="84"/>
      <c r="N1289" s="84"/>
      <c r="O1289" s="84"/>
      <c r="P1289" s="84"/>
      <c r="Q1289" s="84"/>
      <c r="R1289" s="84"/>
    </row>
    <row r="1290" ht="15.75" customHeight="1">
      <c r="A1290" s="125"/>
      <c r="B1290" s="125"/>
      <c r="C1290" s="125"/>
      <c r="D1290" s="125"/>
      <c r="E1290" s="126"/>
      <c r="F1290" s="126"/>
      <c r="G1290" s="125"/>
      <c r="H1290" s="125"/>
      <c r="I1290" s="99"/>
      <c r="K1290" s="84"/>
      <c r="L1290" s="84"/>
      <c r="M1290" s="84"/>
      <c r="N1290" s="84"/>
      <c r="O1290" s="84"/>
      <c r="P1290" s="84"/>
      <c r="Q1290" s="84"/>
      <c r="R1290" s="84"/>
    </row>
    <row r="1291" ht="15.75" customHeight="1">
      <c r="A1291" s="125"/>
      <c r="B1291" s="125"/>
      <c r="C1291" s="125"/>
      <c r="D1291" s="125"/>
      <c r="E1291" s="126"/>
      <c r="F1291" s="126"/>
      <c r="G1291" s="125"/>
      <c r="H1291" s="125"/>
      <c r="I1291" s="99"/>
      <c r="K1291" s="84"/>
      <c r="L1291" s="84"/>
      <c r="M1291" s="84"/>
      <c r="N1291" s="84"/>
      <c r="O1291" s="84"/>
      <c r="P1291" s="84"/>
      <c r="Q1291" s="84"/>
      <c r="R1291" s="84"/>
    </row>
    <row r="1292" ht="15.75" customHeight="1">
      <c r="A1292" s="125"/>
      <c r="B1292" s="125"/>
      <c r="C1292" s="125"/>
      <c r="D1292" s="125"/>
      <c r="E1292" s="126"/>
      <c r="F1292" s="126"/>
      <c r="G1292" s="125"/>
      <c r="H1292" s="125"/>
      <c r="I1292" s="99"/>
      <c r="K1292" s="84"/>
      <c r="L1292" s="84"/>
      <c r="M1292" s="84"/>
      <c r="N1292" s="84"/>
      <c r="O1292" s="84"/>
      <c r="P1292" s="84"/>
      <c r="Q1292" s="84"/>
      <c r="R1292" s="84"/>
    </row>
    <row r="1293" ht="15.75" customHeight="1">
      <c r="A1293" s="125"/>
      <c r="B1293" s="125"/>
      <c r="C1293" s="125"/>
      <c r="D1293" s="125"/>
      <c r="E1293" s="126"/>
      <c r="F1293" s="126"/>
      <c r="G1293" s="125"/>
      <c r="H1293" s="125"/>
      <c r="I1293" s="99"/>
      <c r="K1293" s="84"/>
      <c r="L1293" s="84"/>
      <c r="M1293" s="84"/>
      <c r="N1293" s="84"/>
      <c r="O1293" s="84"/>
      <c r="P1293" s="84"/>
      <c r="Q1293" s="84"/>
      <c r="R1293" s="84"/>
    </row>
    <row r="1294" ht="15.75" customHeight="1">
      <c r="A1294" s="125"/>
      <c r="B1294" s="125"/>
      <c r="C1294" s="125"/>
      <c r="D1294" s="125"/>
      <c r="E1294" s="126"/>
      <c r="F1294" s="126"/>
      <c r="G1294" s="125"/>
      <c r="H1294" s="125"/>
      <c r="I1294" s="99"/>
      <c r="K1294" s="84"/>
      <c r="L1294" s="84"/>
      <c r="M1294" s="84"/>
      <c r="N1294" s="84"/>
      <c r="O1294" s="84"/>
      <c r="P1294" s="84"/>
      <c r="Q1294" s="84"/>
      <c r="R1294" s="84"/>
    </row>
    <row r="1295" ht="15.75" customHeight="1">
      <c r="A1295" s="125"/>
      <c r="B1295" s="125"/>
      <c r="C1295" s="125"/>
      <c r="D1295" s="125"/>
      <c r="E1295" s="126"/>
      <c r="F1295" s="126"/>
      <c r="G1295" s="125"/>
      <c r="H1295" s="125"/>
      <c r="I1295" s="99"/>
      <c r="K1295" s="84"/>
      <c r="L1295" s="84"/>
      <c r="M1295" s="84"/>
      <c r="N1295" s="84"/>
      <c r="O1295" s="84"/>
      <c r="P1295" s="84"/>
      <c r="Q1295" s="84"/>
      <c r="R1295" s="84"/>
    </row>
    <row r="1296" ht="15.75" customHeight="1">
      <c r="A1296" s="125"/>
      <c r="B1296" s="125"/>
      <c r="C1296" s="125"/>
      <c r="D1296" s="125"/>
      <c r="E1296" s="126"/>
      <c r="F1296" s="126"/>
      <c r="G1296" s="125"/>
      <c r="H1296" s="125"/>
      <c r="I1296" s="99"/>
      <c r="K1296" s="84"/>
      <c r="L1296" s="84"/>
      <c r="M1296" s="84"/>
      <c r="N1296" s="84"/>
      <c r="O1296" s="84"/>
      <c r="P1296" s="84"/>
      <c r="Q1296" s="84"/>
      <c r="R1296" s="84"/>
    </row>
    <row r="1297" ht="15.75" customHeight="1">
      <c r="A1297" s="125"/>
      <c r="B1297" s="125"/>
      <c r="C1297" s="125"/>
      <c r="D1297" s="125"/>
      <c r="E1297" s="126"/>
      <c r="F1297" s="126"/>
      <c r="G1297" s="125"/>
      <c r="H1297" s="125"/>
      <c r="I1297" s="99"/>
      <c r="K1297" s="84"/>
      <c r="L1297" s="84"/>
      <c r="M1297" s="84"/>
      <c r="N1297" s="84"/>
      <c r="O1297" s="84"/>
      <c r="P1297" s="84"/>
      <c r="Q1297" s="84"/>
      <c r="R1297" s="84"/>
    </row>
    <row r="1298" ht="15.75" customHeight="1">
      <c r="A1298" s="125"/>
      <c r="B1298" s="125"/>
      <c r="C1298" s="125"/>
      <c r="D1298" s="125"/>
      <c r="E1298" s="126"/>
      <c r="F1298" s="126"/>
      <c r="G1298" s="125"/>
      <c r="H1298" s="125"/>
      <c r="I1298" s="99"/>
      <c r="K1298" s="84"/>
      <c r="L1298" s="84"/>
      <c r="M1298" s="84"/>
      <c r="N1298" s="84"/>
      <c r="O1298" s="84"/>
      <c r="P1298" s="84"/>
      <c r="Q1298" s="84"/>
      <c r="R1298" s="84"/>
    </row>
    <row r="1299" ht="15.75" customHeight="1">
      <c r="A1299" s="125"/>
      <c r="B1299" s="125"/>
      <c r="C1299" s="125"/>
      <c r="D1299" s="125"/>
      <c r="E1299" s="126"/>
      <c r="F1299" s="126"/>
      <c r="G1299" s="125"/>
      <c r="H1299" s="125"/>
      <c r="I1299" s="99"/>
      <c r="K1299" s="84"/>
      <c r="L1299" s="84"/>
      <c r="M1299" s="84"/>
      <c r="N1299" s="84"/>
      <c r="O1299" s="84"/>
      <c r="P1299" s="84"/>
      <c r="Q1299" s="84"/>
      <c r="R1299" s="84"/>
    </row>
    <row r="1300" ht="15.75" customHeight="1">
      <c r="A1300" s="125"/>
      <c r="B1300" s="125"/>
      <c r="C1300" s="125"/>
      <c r="D1300" s="125"/>
      <c r="E1300" s="126"/>
      <c r="F1300" s="126"/>
      <c r="G1300" s="125"/>
      <c r="H1300" s="125"/>
      <c r="I1300" s="99"/>
      <c r="K1300" s="84"/>
      <c r="L1300" s="84"/>
      <c r="M1300" s="84"/>
      <c r="N1300" s="84"/>
      <c r="O1300" s="84"/>
      <c r="P1300" s="84"/>
      <c r="Q1300" s="84"/>
      <c r="R1300" s="84"/>
    </row>
    <row r="1301" ht="15.75" customHeight="1">
      <c r="A1301" s="125"/>
      <c r="B1301" s="125"/>
      <c r="C1301" s="125"/>
      <c r="D1301" s="125"/>
      <c r="E1301" s="126"/>
      <c r="F1301" s="126"/>
      <c r="G1301" s="125"/>
      <c r="H1301" s="125"/>
      <c r="I1301" s="99"/>
      <c r="K1301" s="84"/>
      <c r="L1301" s="84"/>
      <c r="M1301" s="84"/>
      <c r="N1301" s="84"/>
      <c r="O1301" s="84"/>
      <c r="P1301" s="84"/>
      <c r="Q1301" s="84"/>
      <c r="R1301" s="84"/>
    </row>
    <row r="1302" ht="15.75" customHeight="1">
      <c r="A1302" s="125"/>
      <c r="B1302" s="125"/>
      <c r="C1302" s="125"/>
      <c r="D1302" s="125"/>
      <c r="E1302" s="126"/>
      <c r="F1302" s="126"/>
      <c r="G1302" s="125"/>
      <c r="H1302" s="125"/>
      <c r="I1302" s="99"/>
      <c r="K1302" s="84"/>
      <c r="L1302" s="84"/>
      <c r="M1302" s="84"/>
      <c r="N1302" s="84"/>
      <c r="O1302" s="84"/>
      <c r="P1302" s="84"/>
      <c r="Q1302" s="84"/>
      <c r="R1302" s="84"/>
    </row>
    <row r="1303" ht="15.75" customHeight="1">
      <c r="A1303" s="125"/>
      <c r="B1303" s="125"/>
      <c r="C1303" s="125"/>
      <c r="D1303" s="125"/>
      <c r="E1303" s="126"/>
      <c r="F1303" s="126"/>
      <c r="G1303" s="125"/>
      <c r="H1303" s="125"/>
      <c r="I1303" s="99"/>
      <c r="K1303" s="84"/>
      <c r="L1303" s="84"/>
      <c r="M1303" s="84"/>
      <c r="N1303" s="84"/>
      <c r="O1303" s="84"/>
      <c r="P1303" s="84"/>
      <c r="Q1303" s="84"/>
      <c r="R1303" s="84"/>
    </row>
    <row r="1304" ht="15.75" customHeight="1">
      <c r="A1304" s="125"/>
      <c r="B1304" s="125"/>
      <c r="C1304" s="125"/>
      <c r="D1304" s="125"/>
      <c r="E1304" s="126"/>
      <c r="F1304" s="126"/>
      <c r="G1304" s="125"/>
      <c r="H1304" s="125"/>
      <c r="I1304" s="99"/>
      <c r="K1304" s="84"/>
      <c r="L1304" s="84"/>
      <c r="M1304" s="84"/>
      <c r="N1304" s="84"/>
      <c r="O1304" s="84"/>
      <c r="P1304" s="84"/>
      <c r="Q1304" s="84"/>
      <c r="R1304" s="84"/>
    </row>
    <row r="1305" ht="15.75" customHeight="1">
      <c r="A1305" s="125"/>
      <c r="B1305" s="125"/>
      <c r="C1305" s="125"/>
      <c r="D1305" s="125"/>
      <c r="E1305" s="126"/>
      <c r="F1305" s="126"/>
      <c r="G1305" s="125"/>
      <c r="H1305" s="125"/>
      <c r="I1305" s="99"/>
      <c r="K1305" s="84"/>
      <c r="L1305" s="84"/>
      <c r="M1305" s="84"/>
      <c r="N1305" s="84"/>
      <c r="O1305" s="84"/>
      <c r="P1305" s="84"/>
      <c r="Q1305" s="84"/>
      <c r="R1305" s="84"/>
    </row>
    <row r="1306" ht="15.75" customHeight="1">
      <c r="A1306" s="125"/>
      <c r="B1306" s="125"/>
      <c r="C1306" s="125"/>
      <c r="D1306" s="125"/>
      <c r="E1306" s="126"/>
      <c r="F1306" s="126"/>
      <c r="G1306" s="125"/>
      <c r="H1306" s="125"/>
      <c r="I1306" s="99"/>
      <c r="K1306" s="84"/>
      <c r="L1306" s="84"/>
      <c r="M1306" s="84"/>
      <c r="N1306" s="84"/>
      <c r="O1306" s="84"/>
      <c r="P1306" s="84"/>
      <c r="Q1306" s="84"/>
      <c r="R1306" s="84"/>
    </row>
    <row r="1307" ht="15.75" customHeight="1">
      <c r="A1307" s="125"/>
      <c r="B1307" s="125"/>
      <c r="C1307" s="125"/>
      <c r="D1307" s="125"/>
      <c r="E1307" s="126"/>
      <c r="F1307" s="126"/>
      <c r="G1307" s="125"/>
      <c r="H1307" s="125"/>
      <c r="I1307" s="99"/>
      <c r="K1307" s="84"/>
      <c r="L1307" s="84"/>
      <c r="M1307" s="84"/>
      <c r="N1307" s="84"/>
      <c r="O1307" s="84"/>
      <c r="P1307" s="84"/>
      <c r="Q1307" s="84"/>
      <c r="R1307" s="84"/>
    </row>
    <row r="1308" ht="15.75" customHeight="1">
      <c r="A1308" s="125"/>
      <c r="B1308" s="125"/>
      <c r="C1308" s="125"/>
      <c r="D1308" s="125"/>
      <c r="E1308" s="126"/>
      <c r="F1308" s="126"/>
      <c r="G1308" s="125"/>
      <c r="H1308" s="125"/>
      <c r="I1308" s="99"/>
      <c r="K1308" s="84"/>
      <c r="L1308" s="84"/>
      <c r="M1308" s="84"/>
      <c r="N1308" s="84"/>
      <c r="O1308" s="84"/>
      <c r="P1308" s="84"/>
      <c r="Q1308" s="84"/>
      <c r="R1308" s="84"/>
    </row>
    <row r="1309" ht="15.75" customHeight="1">
      <c r="A1309" s="125"/>
      <c r="B1309" s="125"/>
      <c r="C1309" s="125"/>
      <c r="D1309" s="125"/>
      <c r="E1309" s="126"/>
      <c r="F1309" s="126"/>
      <c r="G1309" s="125"/>
      <c r="H1309" s="125"/>
      <c r="I1309" s="99"/>
      <c r="K1309" s="84"/>
      <c r="L1309" s="84"/>
      <c r="M1309" s="84"/>
      <c r="N1309" s="84"/>
      <c r="O1309" s="84"/>
      <c r="P1309" s="84"/>
      <c r="Q1309" s="84"/>
      <c r="R1309" s="84"/>
    </row>
    <row r="1310" ht="15.75" customHeight="1">
      <c r="A1310" s="125"/>
      <c r="B1310" s="125"/>
      <c r="C1310" s="125"/>
      <c r="D1310" s="125"/>
      <c r="E1310" s="126"/>
      <c r="F1310" s="126"/>
      <c r="G1310" s="125"/>
      <c r="H1310" s="125"/>
      <c r="I1310" s="99"/>
      <c r="K1310" s="84"/>
      <c r="L1310" s="84"/>
      <c r="M1310" s="84"/>
      <c r="N1310" s="84"/>
      <c r="O1310" s="84"/>
      <c r="P1310" s="84"/>
      <c r="Q1310" s="84"/>
      <c r="R1310" s="84"/>
    </row>
    <row r="1311" ht="15.75" customHeight="1">
      <c r="A1311" s="125"/>
      <c r="B1311" s="125"/>
      <c r="C1311" s="125"/>
      <c r="D1311" s="125"/>
      <c r="E1311" s="126"/>
      <c r="F1311" s="126"/>
      <c r="G1311" s="125"/>
      <c r="H1311" s="125"/>
      <c r="I1311" s="99"/>
      <c r="K1311" s="84"/>
      <c r="L1311" s="84"/>
      <c r="M1311" s="84"/>
      <c r="N1311" s="84"/>
      <c r="O1311" s="84"/>
      <c r="P1311" s="84"/>
      <c r="Q1311" s="84"/>
      <c r="R1311" s="84"/>
    </row>
    <row r="1312" ht="15.75" customHeight="1">
      <c r="A1312" s="125"/>
      <c r="B1312" s="125"/>
      <c r="C1312" s="125"/>
      <c r="D1312" s="125"/>
      <c r="E1312" s="126"/>
      <c r="F1312" s="126"/>
      <c r="G1312" s="125"/>
      <c r="H1312" s="125"/>
      <c r="I1312" s="99"/>
      <c r="K1312" s="84"/>
      <c r="L1312" s="84"/>
      <c r="M1312" s="84"/>
      <c r="N1312" s="84"/>
      <c r="O1312" s="84"/>
      <c r="P1312" s="84"/>
      <c r="Q1312" s="84"/>
      <c r="R1312" s="84"/>
    </row>
    <row r="1313" ht="15.75" customHeight="1">
      <c r="A1313" s="125"/>
      <c r="B1313" s="125"/>
      <c r="C1313" s="125"/>
      <c r="D1313" s="125"/>
      <c r="E1313" s="126"/>
      <c r="F1313" s="126"/>
      <c r="G1313" s="125"/>
      <c r="H1313" s="125"/>
      <c r="I1313" s="99"/>
      <c r="K1313" s="84"/>
      <c r="L1313" s="84"/>
      <c r="M1313" s="84"/>
      <c r="N1313" s="84"/>
      <c r="O1313" s="84"/>
      <c r="P1313" s="84"/>
      <c r="Q1313" s="84"/>
      <c r="R1313" s="84"/>
    </row>
    <row r="1314" ht="15.75" customHeight="1">
      <c r="A1314" s="125"/>
      <c r="B1314" s="125"/>
      <c r="C1314" s="125"/>
      <c r="D1314" s="125"/>
      <c r="E1314" s="126"/>
      <c r="F1314" s="126"/>
      <c r="G1314" s="125"/>
      <c r="H1314" s="125"/>
      <c r="I1314" s="99"/>
      <c r="K1314" s="84"/>
      <c r="L1314" s="84"/>
      <c r="M1314" s="84"/>
      <c r="N1314" s="84"/>
      <c r="O1314" s="84"/>
      <c r="P1314" s="84"/>
      <c r="Q1314" s="84"/>
      <c r="R1314" s="84"/>
    </row>
    <row r="1315" ht="15.75" customHeight="1">
      <c r="A1315" s="125"/>
      <c r="B1315" s="125"/>
      <c r="C1315" s="125"/>
      <c r="D1315" s="125"/>
      <c r="E1315" s="126"/>
      <c r="F1315" s="126"/>
      <c r="G1315" s="125"/>
      <c r="H1315" s="125"/>
      <c r="I1315" s="99"/>
      <c r="K1315" s="84"/>
      <c r="L1315" s="84"/>
      <c r="M1315" s="84"/>
      <c r="N1315" s="84"/>
      <c r="O1315" s="84"/>
      <c r="P1315" s="84"/>
      <c r="Q1315" s="84"/>
      <c r="R1315" s="84"/>
    </row>
    <row r="1316" ht="15.75" customHeight="1">
      <c r="A1316" s="125"/>
      <c r="B1316" s="125"/>
      <c r="C1316" s="125"/>
      <c r="D1316" s="125"/>
      <c r="E1316" s="126"/>
      <c r="F1316" s="126"/>
      <c r="G1316" s="125"/>
      <c r="H1316" s="125"/>
      <c r="I1316" s="99"/>
      <c r="K1316" s="84"/>
      <c r="L1316" s="84"/>
      <c r="M1316" s="84"/>
      <c r="N1316" s="84"/>
      <c r="O1316" s="84"/>
      <c r="P1316" s="84"/>
      <c r="Q1316" s="84"/>
      <c r="R1316" s="84"/>
    </row>
    <row r="1317" ht="15.75" customHeight="1">
      <c r="A1317" s="125"/>
      <c r="B1317" s="125"/>
      <c r="C1317" s="125"/>
      <c r="D1317" s="125"/>
      <c r="E1317" s="126"/>
      <c r="F1317" s="126"/>
      <c r="G1317" s="125"/>
      <c r="H1317" s="125"/>
      <c r="I1317" s="99"/>
      <c r="K1317" s="84"/>
      <c r="L1317" s="84"/>
      <c r="M1317" s="84"/>
      <c r="N1317" s="84"/>
      <c r="O1317" s="84"/>
      <c r="P1317" s="84"/>
      <c r="Q1317" s="84"/>
      <c r="R1317" s="84"/>
    </row>
    <row r="1318" ht="15.75" customHeight="1">
      <c r="A1318" s="125"/>
      <c r="B1318" s="125"/>
      <c r="C1318" s="125"/>
      <c r="D1318" s="125"/>
      <c r="E1318" s="126"/>
      <c r="F1318" s="126"/>
      <c r="G1318" s="125"/>
      <c r="H1318" s="125"/>
      <c r="I1318" s="99"/>
      <c r="K1318" s="84"/>
      <c r="L1318" s="84"/>
      <c r="M1318" s="84"/>
      <c r="N1318" s="84"/>
      <c r="O1318" s="84"/>
      <c r="P1318" s="84"/>
      <c r="Q1318" s="84"/>
      <c r="R1318" s="84"/>
    </row>
    <row r="1319" ht="15.75" customHeight="1">
      <c r="A1319" s="125"/>
      <c r="B1319" s="125"/>
      <c r="C1319" s="125"/>
      <c r="D1319" s="125"/>
      <c r="E1319" s="126"/>
      <c r="F1319" s="126"/>
      <c r="G1319" s="125"/>
      <c r="H1319" s="125"/>
      <c r="I1319" s="99"/>
      <c r="K1319" s="84"/>
      <c r="L1319" s="84"/>
      <c r="M1319" s="84"/>
      <c r="N1319" s="84"/>
      <c r="O1319" s="84"/>
      <c r="P1319" s="84"/>
      <c r="Q1319" s="84"/>
      <c r="R1319" s="84"/>
    </row>
    <row r="1320" ht="15.75" customHeight="1">
      <c r="A1320" s="125"/>
      <c r="B1320" s="125"/>
      <c r="C1320" s="125"/>
      <c r="D1320" s="125"/>
      <c r="E1320" s="126"/>
      <c r="F1320" s="126"/>
      <c r="G1320" s="125"/>
      <c r="H1320" s="125"/>
      <c r="I1320" s="99"/>
      <c r="K1320" s="84"/>
      <c r="L1320" s="84"/>
      <c r="M1320" s="84"/>
      <c r="N1320" s="84"/>
      <c r="O1320" s="84"/>
      <c r="P1320" s="84"/>
      <c r="Q1320" s="84"/>
      <c r="R1320" s="84"/>
    </row>
    <row r="1321" ht="15.75" customHeight="1">
      <c r="A1321" s="125"/>
      <c r="B1321" s="125"/>
      <c r="C1321" s="125"/>
      <c r="D1321" s="125"/>
      <c r="E1321" s="126"/>
      <c r="F1321" s="126"/>
      <c r="G1321" s="125"/>
      <c r="H1321" s="125"/>
      <c r="I1321" s="99"/>
      <c r="K1321" s="84"/>
      <c r="L1321" s="84"/>
      <c r="M1321" s="84"/>
      <c r="N1321" s="84"/>
      <c r="O1321" s="84"/>
      <c r="P1321" s="84"/>
      <c r="Q1321" s="84"/>
      <c r="R1321" s="84"/>
    </row>
    <row r="1322" ht="15.75" customHeight="1">
      <c r="A1322" s="125"/>
      <c r="B1322" s="125"/>
      <c r="C1322" s="125"/>
      <c r="D1322" s="125"/>
      <c r="E1322" s="126"/>
      <c r="F1322" s="126"/>
      <c r="G1322" s="125"/>
      <c r="H1322" s="125"/>
      <c r="I1322" s="99"/>
      <c r="K1322" s="84"/>
      <c r="L1322" s="84"/>
      <c r="M1322" s="84"/>
      <c r="N1322" s="84"/>
      <c r="O1322" s="84"/>
      <c r="P1322" s="84"/>
      <c r="Q1322" s="84"/>
      <c r="R1322" s="84"/>
    </row>
    <row r="1323" ht="15.75" customHeight="1">
      <c r="A1323" s="125"/>
      <c r="B1323" s="125"/>
      <c r="C1323" s="125"/>
      <c r="D1323" s="125"/>
      <c r="E1323" s="126"/>
      <c r="F1323" s="126"/>
      <c r="G1323" s="125"/>
      <c r="H1323" s="125"/>
      <c r="I1323" s="99"/>
      <c r="K1323" s="84"/>
      <c r="L1323" s="84"/>
      <c r="M1323" s="84"/>
      <c r="N1323" s="84"/>
      <c r="O1323" s="84"/>
      <c r="P1323" s="84"/>
      <c r="Q1323" s="84"/>
      <c r="R1323" s="84"/>
    </row>
    <row r="1324" ht="15.75" customHeight="1">
      <c r="A1324" s="125"/>
      <c r="B1324" s="125"/>
      <c r="C1324" s="125"/>
      <c r="D1324" s="125"/>
      <c r="E1324" s="126"/>
      <c r="F1324" s="126"/>
      <c r="G1324" s="125"/>
      <c r="H1324" s="125"/>
      <c r="I1324" s="99"/>
      <c r="K1324" s="84"/>
      <c r="L1324" s="84"/>
      <c r="M1324" s="84"/>
      <c r="N1324" s="84"/>
      <c r="O1324" s="84"/>
      <c r="P1324" s="84"/>
      <c r="Q1324" s="84"/>
      <c r="R1324" s="84"/>
    </row>
    <row r="1325" ht="15.75" customHeight="1">
      <c r="A1325" s="125"/>
      <c r="B1325" s="125"/>
      <c r="C1325" s="125"/>
      <c r="D1325" s="125"/>
      <c r="E1325" s="126"/>
      <c r="F1325" s="126"/>
      <c r="G1325" s="125"/>
      <c r="H1325" s="125"/>
      <c r="I1325" s="99"/>
      <c r="K1325" s="84"/>
      <c r="L1325" s="84"/>
      <c r="M1325" s="84"/>
      <c r="N1325" s="84"/>
      <c r="O1325" s="84"/>
      <c r="P1325" s="84"/>
      <c r="Q1325" s="84"/>
      <c r="R1325" s="84"/>
    </row>
    <row r="1326" ht="15.75" customHeight="1">
      <c r="A1326" s="125"/>
      <c r="B1326" s="125"/>
      <c r="C1326" s="125"/>
      <c r="D1326" s="125"/>
      <c r="E1326" s="126"/>
      <c r="F1326" s="126"/>
      <c r="G1326" s="125"/>
      <c r="H1326" s="125"/>
      <c r="I1326" s="99"/>
      <c r="K1326" s="84"/>
      <c r="L1326" s="84"/>
      <c r="M1326" s="84"/>
      <c r="N1326" s="84"/>
      <c r="O1326" s="84"/>
      <c r="P1326" s="84"/>
      <c r="Q1326" s="84"/>
      <c r="R1326" s="84"/>
    </row>
    <row r="1327" ht="15.75" customHeight="1">
      <c r="A1327" s="125"/>
      <c r="B1327" s="125"/>
      <c r="C1327" s="125"/>
      <c r="D1327" s="125"/>
      <c r="E1327" s="126"/>
      <c r="F1327" s="126"/>
      <c r="G1327" s="125"/>
      <c r="H1327" s="125"/>
      <c r="I1327" s="99"/>
      <c r="K1327" s="84"/>
      <c r="L1327" s="84"/>
      <c r="M1327" s="84"/>
      <c r="N1327" s="84"/>
      <c r="O1327" s="84"/>
      <c r="P1327" s="84"/>
      <c r="Q1327" s="84"/>
      <c r="R1327" s="84"/>
    </row>
    <row r="1328" ht="15.75" customHeight="1">
      <c r="A1328" s="125"/>
      <c r="B1328" s="125"/>
      <c r="C1328" s="125"/>
      <c r="D1328" s="125"/>
      <c r="E1328" s="126"/>
      <c r="F1328" s="126"/>
      <c r="G1328" s="125"/>
      <c r="H1328" s="125"/>
      <c r="I1328" s="99"/>
      <c r="K1328" s="84"/>
      <c r="L1328" s="84"/>
      <c r="M1328" s="84"/>
      <c r="N1328" s="84"/>
      <c r="O1328" s="84"/>
      <c r="P1328" s="84"/>
      <c r="Q1328" s="84"/>
      <c r="R1328" s="84"/>
    </row>
    <row r="1329" ht="15.75" customHeight="1">
      <c r="A1329" s="125"/>
      <c r="B1329" s="125"/>
      <c r="C1329" s="125"/>
      <c r="D1329" s="125"/>
      <c r="E1329" s="126"/>
      <c r="F1329" s="126"/>
      <c r="G1329" s="125"/>
      <c r="H1329" s="125"/>
      <c r="I1329" s="99"/>
      <c r="K1329" s="84"/>
      <c r="L1329" s="84"/>
      <c r="M1329" s="84"/>
      <c r="N1329" s="84"/>
      <c r="O1329" s="84"/>
      <c r="P1329" s="84"/>
      <c r="Q1329" s="84"/>
      <c r="R1329" s="84"/>
    </row>
    <row r="1330" ht="15.75" customHeight="1">
      <c r="A1330" s="125"/>
      <c r="B1330" s="125"/>
      <c r="C1330" s="125"/>
      <c r="D1330" s="125"/>
      <c r="E1330" s="126"/>
      <c r="F1330" s="126"/>
      <c r="G1330" s="125"/>
      <c r="H1330" s="125"/>
      <c r="I1330" s="99"/>
      <c r="K1330" s="84"/>
      <c r="L1330" s="84"/>
      <c r="M1330" s="84"/>
      <c r="N1330" s="84"/>
      <c r="O1330" s="84"/>
      <c r="P1330" s="84"/>
      <c r="Q1330" s="84"/>
      <c r="R1330" s="84"/>
    </row>
    <row r="1331" ht="15.75" customHeight="1">
      <c r="A1331" s="125"/>
      <c r="B1331" s="125"/>
      <c r="C1331" s="125"/>
      <c r="D1331" s="125"/>
      <c r="E1331" s="126"/>
      <c r="F1331" s="126"/>
      <c r="G1331" s="125"/>
      <c r="H1331" s="125"/>
      <c r="I1331" s="99"/>
      <c r="K1331" s="84"/>
      <c r="L1331" s="84"/>
      <c r="M1331" s="84"/>
      <c r="N1331" s="84"/>
      <c r="O1331" s="84"/>
      <c r="P1331" s="84"/>
      <c r="Q1331" s="84"/>
      <c r="R1331" s="84"/>
    </row>
    <row r="1332" ht="15.75" customHeight="1">
      <c r="A1332" s="125"/>
      <c r="B1332" s="125"/>
      <c r="C1332" s="125"/>
      <c r="D1332" s="125"/>
      <c r="E1332" s="126"/>
      <c r="F1332" s="126"/>
      <c r="G1332" s="125"/>
      <c r="H1332" s="125"/>
      <c r="I1332" s="99"/>
      <c r="K1332" s="84"/>
      <c r="L1332" s="84"/>
      <c r="M1332" s="84"/>
      <c r="N1332" s="84"/>
      <c r="O1332" s="84"/>
      <c r="P1332" s="84"/>
      <c r="Q1332" s="84"/>
      <c r="R1332" s="84"/>
    </row>
    <row r="1333" ht="15.75" customHeight="1">
      <c r="A1333" s="125"/>
      <c r="B1333" s="125"/>
      <c r="C1333" s="125"/>
      <c r="D1333" s="125"/>
      <c r="E1333" s="126"/>
      <c r="F1333" s="126"/>
      <c r="G1333" s="125"/>
      <c r="H1333" s="125"/>
      <c r="I1333" s="99"/>
      <c r="K1333" s="84"/>
      <c r="L1333" s="84"/>
      <c r="M1333" s="84"/>
      <c r="N1333" s="84"/>
      <c r="O1333" s="84"/>
      <c r="P1333" s="84"/>
      <c r="Q1333" s="84"/>
      <c r="R1333" s="84"/>
    </row>
    <row r="1334" ht="15.75" customHeight="1">
      <c r="A1334" s="125"/>
      <c r="B1334" s="125"/>
      <c r="C1334" s="125"/>
      <c r="D1334" s="125"/>
      <c r="E1334" s="126"/>
      <c r="F1334" s="126"/>
      <c r="G1334" s="125"/>
      <c r="H1334" s="125"/>
      <c r="I1334" s="99"/>
      <c r="K1334" s="84"/>
      <c r="L1334" s="84"/>
      <c r="M1334" s="84"/>
      <c r="N1334" s="84"/>
      <c r="O1334" s="84"/>
      <c r="P1334" s="84"/>
      <c r="Q1334" s="84"/>
      <c r="R1334" s="84"/>
    </row>
    <row r="1335" ht="15.75" customHeight="1">
      <c r="A1335" s="125"/>
      <c r="B1335" s="125"/>
      <c r="C1335" s="125"/>
      <c r="D1335" s="125"/>
      <c r="E1335" s="126"/>
      <c r="F1335" s="126"/>
      <c r="G1335" s="125"/>
      <c r="H1335" s="125"/>
      <c r="I1335" s="99"/>
      <c r="K1335" s="84"/>
      <c r="L1335" s="84"/>
      <c r="M1335" s="84"/>
      <c r="N1335" s="84"/>
      <c r="O1335" s="84"/>
      <c r="P1335" s="84"/>
      <c r="Q1335" s="84"/>
      <c r="R1335" s="84"/>
    </row>
    <row r="1336" ht="15.75" customHeight="1">
      <c r="A1336" s="125"/>
      <c r="B1336" s="125"/>
      <c r="C1336" s="125"/>
      <c r="D1336" s="125"/>
      <c r="E1336" s="126"/>
      <c r="F1336" s="126"/>
      <c r="G1336" s="125"/>
      <c r="H1336" s="125"/>
      <c r="I1336" s="99"/>
      <c r="K1336" s="84"/>
      <c r="L1336" s="84"/>
      <c r="M1336" s="84"/>
      <c r="N1336" s="84"/>
      <c r="O1336" s="84"/>
      <c r="P1336" s="84"/>
      <c r="Q1336" s="84"/>
      <c r="R1336" s="84"/>
    </row>
    <row r="1337" ht="15.75" customHeight="1">
      <c r="A1337" s="125"/>
      <c r="B1337" s="125"/>
      <c r="C1337" s="125"/>
      <c r="D1337" s="125"/>
      <c r="E1337" s="126"/>
      <c r="F1337" s="126"/>
      <c r="G1337" s="125"/>
      <c r="H1337" s="125"/>
      <c r="I1337" s="99"/>
      <c r="K1337" s="84"/>
      <c r="L1337" s="84"/>
      <c r="M1337" s="84"/>
      <c r="N1337" s="84"/>
      <c r="O1337" s="84"/>
      <c r="P1337" s="84"/>
      <c r="Q1337" s="84"/>
      <c r="R1337" s="84"/>
    </row>
    <row r="1338" ht="15.75" customHeight="1">
      <c r="A1338" s="125"/>
      <c r="B1338" s="125"/>
      <c r="C1338" s="125"/>
      <c r="D1338" s="125"/>
      <c r="E1338" s="126"/>
      <c r="F1338" s="126"/>
      <c r="G1338" s="125"/>
      <c r="H1338" s="125"/>
      <c r="I1338" s="99"/>
      <c r="K1338" s="84"/>
      <c r="L1338" s="84"/>
      <c r="M1338" s="84"/>
      <c r="N1338" s="84"/>
      <c r="O1338" s="84"/>
      <c r="P1338" s="84"/>
      <c r="Q1338" s="84"/>
      <c r="R1338" s="84"/>
    </row>
    <row r="1339" ht="15.75" customHeight="1">
      <c r="A1339" s="125"/>
      <c r="B1339" s="125"/>
      <c r="C1339" s="125"/>
      <c r="D1339" s="125"/>
      <c r="E1339" s="126"/>
      <c r="F1339" s="126"/>
      <c r="G1339" s="125"/>
      <c r="H1339" s="125"/>
      <c r="I1339" s="99"/>
      <c r="K1339" s="84"/>
      <c r="L1339" s="84"/>
      <c r="M1339" s="84"/>
      <c r="N1339" s="84"/>
      <c r="O1339" s="84"/>
      <c r="P1339" s="84"/>
      <c r="Q1339" s="84"/>
      <c r="R1339" s="84"/>
    </row>
    <row r="1340" ht="15.75" customHeight="1">
      <c r="A1340" s="125"/>
      <c r="B1340" s="125"/>
      <c r="C1340" s="125"/>
      <c r="D1340" s="125"/>
      <c r="E1340" s="126"/>
      <c r="F1340" s="126"/>
      <c r="G1340" s="125"/>
      <c r="H1340" s="125"/>
      <c r="I1340" s="99"/>
      <c r="K1340" s="84"/>
      <c r="L1340" s="84"/>
      <c r="M1340" s="84"/>
      <c r="N1340" s="84"/>
      <c r="O1340" s="84"/>
      <c r="P1340" s="84"/>
      <c r="Q1340" s="84"/>
      <c r="R1340" s="84"/>
    </row>
    <row r="1341" ht="15.75" customHeight="1">
      <c r="A1341" s="125"/>
      <c r="B1341" s="125"/>
      <c r="C1341" s="125"/>
      <c r="D1341" s="125"/>
      <c r="E1341" s="126"/>
      <c r="F1341" s="126"/>
      <c r="G1341" s="125"/>
      <c r="H1341" s="125"/>
      <c r="I1341" s="99"/>
      <c r="K1341" s="84"/>
      <c r="L1341" s="84"/>
      <c r="M1341" s="84"/>
      <c r="N1341" s="84"/>
      <c r="O1341" s="84"/>
      <c r="P1341" s="84"/>
      <c r="Q1341" s="84"/>
      <c r="R1341" s="84"/>
    </row>
    <row r="1342" ht="15.75" customHeight="1">
      <c r="A1342" s="125"/>
      <c r="B1342" s="125"/>
      <c r="C1342" s="125"/>
      <c r="D1342" s="125"/>
      <c r="E1342" s="126"/>
      <c r="F1342" s="126"/>
      <c r="G1342" s="125"/>
      <c r="H1342" s="125"/>
      <c r="I1342" s="99"/>
      <c r="K1342" s="84"/>
      <c r="L1342" s="84"/>
      <c r="M1342" s="84"/>
      <c r="N1342" s="84"/>
      <c r="O1342" s="84"/>
      <c r="P1342" s="84"/>
      <c r="Q1342" s="84"/>
      <c r="R1342" s="84"/>
    </row>
    <row r="1343" ht="15.75" customHeight="1">
      <c r="A1343" s="125"/>
      <c r="B1343" s="125"/>
      <c r="C1343" s="125"/>
      <c r="D1343" s="125"/>
      <c r="E1343" s="126"/>
      <c r="F1343" s="126"/>
      <c r="G1343" s="125"/>
      <c r="H1343" s="125"/>
      <c r="I1343" s="99"/>
      <c r="K1343" s="84"/>
      <c r="L1343" s="84"/>
      <c r="M1343" s="84"/>
      <c r="N1343" s="84"/>
      <c r="O1343" s="84"/>
      <c r="P1343" s="84"/>
      <c r="Q1343" s="84"/>
      <c r="R1343" s="84"/>
    </row>
    <row r="1344" ht="15.75" customHeight="1">
      <c r="A1344" s="125"/>
      <c r="B1344" s="125"/>
      <c r="C1344" s="125"/>
      <c r="D1344" s="125"/>
      <c r="E1344" s="126"/>
      <c r="F1344" s="126"/>
      <c r="G1344" s="125"/>
      <c r="H1344" s="125"/>
      <c r="I1344" s="99"/>
      <c r="K1344" s="84"/>
      <c r="L1344" s="84"/>
      <c r="M1344" s="84"/>
      <c r="N1344" s="84"/>
      <c r="O1344" s="84"/>
      <c r="P1344" s="84"/>
      <c r="Q1344" s="84"/>
      <c r="R1344" s="84"/>
    </row>
    <row r="1345" ht="15.75" customHeight="1">
      <c r="A1345" s="125"/>
      <c r="B1345" s="125"/>
      <c r="C1345" s="125"/>
      <c r="D1345" s="125"/>
      <c r="E1345" s="126"/>
      <c r="F1345" s="126"/>
      <c r="G1345" s="125"/>
      <c r="H1345" s="125"/>
      <c r="I1345" s="99"/>
      <c r="K1345" s="84"/>
      <c r="L1345" s="84"/>
      <c r="M1345" s="84"/>
      <c r="N1345" s="84"/>
      <c r="O1345" s="84"/>
      <c r="P1345" s="84"/>
      <c r="Q1345" s="84"/>
      <c r="R1345" s="84"/>
    </row>
    <row r="1346" ht="15.75" customHeight="1">
      <c r="A1346" s="125"/>
      <c r="B1346" s="125"/>
      <c r="C1346" s="125"/>
      <c r="D1346" s="125"/>
      <c r="E1346" s="126"/>
      <c r="F1346" s="126"/>
      <c r="G1346" s="125"/>
      <c r="H1346" s="125"/>
      <c r="I1346" s="99"/>
      <c r="K1346" s="84"/>
      <c r="L1346" s="84"/>
      <c r="M1346" s="84"/>
      <c r="N1346" s="84"/>
      <c r="O1346" s="84"/>
      <c r="P1346" s="84"/>
      <c r="Q1346" s="84"/>
      <c r="R1346" s="84"/>
    </row>
    <row r="1347" ht="15.75" customHeight="1">
      <c r="A1347" s="125"/>
      <c r="B1347" s="125"/>
      <c r="C1347" s="125"/>
      <c r="D1347" s="125"/>
      <c r="E1347" s="126"/>
      <c r="F1347" s="126"/>
      <c r="G1347" s="125"/>
      <c r="H1347" s="125"/>
      <c r="I1347" s="99"/>
      <c r="K1347" s="84"/>
      <c r="L1347" s="84"/>
      <c r="M1347" s="84"/>
      <c r="N1347" s="84"/>
      <c r="O1347" s="84"/>
      <c r="P1347" s="84"/>
      <c r="Q1347" s="84"/>
      <c r="R1347" s="84"/>
    </row>
    <row r="1348" ht="15.75" customHeight="1">
      <c r="A1348" s="125"/>
      <c r="B1348" s="125"/>
      <c r="C1348" s="125"/>
      <c r="D1348" s="125"/>
      <c r="E1348" s="126"/>
      <c r="F1348" s="126"/>
      <c r="G1348" s="125"/>
      <c r="H1348" s="125"/>
      <c r="I1348" s="99"/>
      <c r="K1348" s="84"/>
      <c r="L1348" s="84"/>
      <c r="M1348" s="84"/>
      <c r="N1348" s="84"/>
      <c r="O1348" s="84"/>
      <c r="P1348" s="84"/>
      <c r="Q1348" s="84"/>
      <c r="R1348" s="84"/>
    </row>
    <row r="1349" ht="15.75" customHeight="1">
      <c r="A1349" s="125"/>
      <c r="B1349" s="125"/>
      <c r="C1349" s="125"/>
      <c r="D1349" s="125"/>
      <c r="E1349" s="126"/>
      <c r="F1349" s="126"/>
      <c r="G1349" s="125"/>
      <c r="H1349" s="125"/>
      <c r="I1349" s="99"/>
      <c r="K1349" s="84"/>
      <c r="L1349" s="84"/>
      <c r="M1349" s="84"/>
      <c r="N1349" s="84"/>
      <c r="O1349" s="84"/>
      <c r="P1349" s="84"/>
      <c r="Q1349" s="84"/>
      <c r="R1349" s="84"/>
    </row>
    <row r="1350" ht="15.75" customHeight="1">
      <c r="A1350" s="125"/>
      <c r="B1350" s="125"/>
      <c r="C1350" s="125"/>
      <c r="D1350" s="125"/>
      <c r="E1350" s="126"/>
      <c r="F1350" s="126"/>
      <c r="G1350" s="125"/>
      <c r="H1350" s="125"/>
      <c r="I1350" s="99"/>
      <c r="K1350" s="84"/>
      <c r="L1350" s="84"/>
      <c r="M1350" s="84"/>
      <c r="N1350" s="84"/>
      <c r="O1350" s="84"/>
      <c r="P1350" s="84"/>
      <c r="Q1350" s="84"/>
      <c r="R1350" s="84"/>
    </row>
    <row r="1351" ht="15.75" customHeight="1">
      <c r="A1351" s="125"/>
      <c r="B1351" s="125"/>
      <c r="C1351" s="125"/>
      <c r="D1351" s="125"/>
      <c r="E1351" s="126"/>
      <c r="F1351" s="126"/>
      <c r="G1351" s="125"/>
      <c r="H1351" s="125"/>
      <c r="I1351" s="99"/>
      <c r="K1351" s="84"/>
      <c r="L1351" s="84"/>
      <c r="M1351" s="84"/>
      <c r="N1351" s="84"/>
      <c r="O1351" s="84"/>
      <c r="P1351" s="84"/>
      <c r="Q1351" s="84"/>
      <c r="R1351" s="84"/>
    </row>
    <row r="1352" ht="15.75" customHeight="1">
      <c r="A1352" s="125"/>
      <c r="B1352" s="125"/>
      <c r="C1352" s="125"/>
      <c r="D1352" s="125"/>
      <c r="E1352" s="126"/>
      <c r="F1352" s="126"/>
      <c r="G1352" s="125"/>
      <c r="H1352" s="125"/>
      <c r="I1352" s="99"/>
      <c r="K1352" s="84"/>
      <c r="L1352" s="84"/>
      <c r="M1352" s="84"/>
      <c r="N1352" s="84"/>
      <c r="O1352" s="84"/>
      <c r="P1352" s="84"/>
      <c r="Q1352" s="84"/>
      <c r="R1352" s="84"/>
    </row>
    <row r="1353" ht="15.75" customHeight="1">
      <c r="A1353" s="125"/>
      <c r="B1353" s="125"/>
      <c r="C1353" s="125"/>
      <c r="D1353" s="125"/>
      <c r="E1353" s="126"/>
      <c r="F1353" s="126"/>
      <c r="G1353" s="125"/>
      <c r="H1353" s="125"/>
      <c r="I1353" s="99"/>
      <c r="K1353" s="84"/>
      <c r="L1353" s="84"/>
      <c r="M1353" s="84"/>
      <c r="N1353" s="84"/>
      <c r="O1353" s="84"/>
      <c r="P1353" s="84"/>
      <c r="Q1353" s="84"/>
      <c r="R1353" s="84"/>
    </row>
    <row r="1354" ht="15.75" customHeight="1">
      <c r="A1354" s="125"/>
      <c r="B1354" s="125"/>
      <c r="C1354" s="125"/>
      <c r="D1354" s="125"/>
      <c r="E1354" s="126"/>
      <c r="F1354" s="126"/>
      <c r="G1354" s="125"/>
      <c r="H1354" s="125"/>
      <c r="I1354" s="99"/>
      <c r="K1354" s="84"/>
      <c r="L1354" s="84"/>
      <c r="M1354" s="84"/>
      <c r="N1354" s="84"/>
      <c r="O1354" s="84"/>
      <c r="P1354" s="84"/>
      <c r="Q1354" s="84"/>
      <c r="R1354" s="84"/>
    </row>
    <row r="1355" ht="15.75" customHeight="1">
      <c r="A1355" s="125"/>
      <c r="B1355" s="125"/>
      <c r="C1355" s="125"/>
      <c r="D1355" s="125"/>
      <c r="E1355" s="126"/>
      <c r="F1355" s="126"/>
      <c r="G1355" s="125"/>
      <c r="H1355" s="125"/>
      <c r="I1355" s="99"/>
      <c r="K1355" s="84"/>
      <c r="L1355" s="84"/>
      <c r="M1355" s="84"/>
      <c r="N1355" s="84"/>
      <c r="O1355" s="84"/>
      <c r="P1355" s="84"/>
      <c r="Q1355" s="84"/>
      <c r="R1355" s="84"/>
    </row>
    <row r="1356" ht="15.75" customHeight="1">
      <c r="A1356" s="125"/>
      <c r="B1356" s="125"/>
      <c r="C1356" s="125"/>
      <c r="D1356" s="125"/>
      <c r="E1356" s="126"/>
      <c r="F1356" s="126"/>
      <c r="G1356" s="125"/>
      <c r="H1356" s="125"/>
      <c r="I1356" s="99"/>
      <c r="K1356" s="84"/>
      <c r="L1356" s="84"/>
      <c r="M1356" s="84"/>
      <c r="N1356" s="84"/>
      <c r="O1356" s="84"/>
      <c r="P1356" s="84"/>
      <c r="Q1356" s="84"/>
      <c r="R1356" s="84"/>
    </row>
    <row r="1357" ht="15.75" customHeight="1">
      <c r="A1357" s="125"/>
      <c r="B1357" s="125"/>
      <c r="C1357" s="125"/>
      <c r="D1357" s="125"/>
      <c r="E1357" s="126"/>
      <c r="F1357" s="126"/>
      <c r="G1357" s="125"/>
      <c r="H1357" s="125"/>
      <c r="I1357" s="99"/>
      <c r="K1357" s="84"/>
      <c r="L1357" s="84"/>
      <c r="M1357" s="84"/>
      <c r="N1357" s="84"/>
      <c r="O1357" s="84"/>
      <c r="P1357" s="84"/>
      <c r="Q1357" s="84"/>
      <c r="R1357" s="84"/>
    </row>
    <row r="1358" ht="15.75" customHeight="1">
      <c r="A1358" s="125"/>
      <c r="B1358" s="125"/>
      <c r="C1358" s="125"/>
      <c r="D1358" s="125"/>
      <c r="E1358" s="126"/>
      <c r="F1358" s="126"/>
      <c r="G1358" s="125"/>
      <c r="H1358" s="125"/>
      <c r="I1358" s="99"/>
      <c r="K1358" s="84"/>
      <c r="L1358" s="84"/>
      <c r="M1358" s="84"/>
      <c r="N1358" s="84"/>
      <c r="O1358" s="84"/>
      <c r="P1358" s="84"/>
      <c r="Q1358" s="84"/>
      <c r="R1358" s="84"/>
    </row>
    <row r="1359" ht="15.75" customHeight="1">
      <c r="A1359" s="125"/>
      <c r="B1359" s="125"/>
      <c r="C1359" s="125"/>
      <c r="D1359" s="125"/>
      <c r="E1359" s="126"/>
      <c r="F1359" s="126"/>
      <c r="G1359" s="125"/>
      <c r="H1359" s="125"/>
      <c r="I1359" s="99"/>
      <c r="K1359" s="84"/>
      <c r="L1359" s="84"/>
      <c r="M1359" s="84"/>
      <c r="N1359" s="84"/>
      <c r="O1359" s="84"/>
      <c r="P1359" s="84"/>
      <c r="Q1359" s="84"/>
      <c r="R1359" s="84"/>
    </row>
    <row r="1360" ht="15.75" customHeight="1">
      <c r="A1360" s="125"/>
      <c r="B1360" s="125"/>
      <c r="C1360" s="125"/>
      <c r="D1360" s="125"/>
      <c r="E1360" s="126"/>
      <c r="F1360" s="126"/>
      <c r="G1360" s="125"/>
      <c r="H1360" s="125"/>
      <c r="I1360" s="99"/>
      <c r="K1360" s="84"/>
      <c r="L1360" s="84"/>
      <c r="M1360" s="84"/>
      <c r="N1360" s="84"/>
      <c r="O1360" s="84"/>
      <c r="P1360" s="84"/>
      <c r="Q1360" s="84"/>
      <c r="R1360" s="84"/>
    </row>
    <row r="1361" ht="15.75" customHeight="1">
      <c r="A1361" s="125"/>
      <c r="B1361" s="125"/>
      <c r="C1361" s="125"/>
      <c r="D1361" s="125"/>
      <c r="E1361" s="126"/>
      <c r="F1361" s="126"/>
      <c r="G1361" s="125"/>
      <c r="H1361" s="125"/>
      <c r="I1361" s="99"/>
      <c r="K1361" s="84"/>
      <c r="L1361" s="84"/>
      <c r="M1361" s="84"/>
      <c r="N1361" s="84"/>
      <c r="O1361" s="84"/>
      <c r="P1361" s="84"/>
      <c r="Q1361" s="84"/>
      <c r="R1361" s="84"/>
    </row>
    <row r="1362" ht="15.75" customHeight="1">
      <c r="A1362" s="125"/>
      <c r="B1362" s="125"/>
      <c r="C1362" s="125"/>
      <c r="D1362" s="125"/>
      <c r="E1362" s="126"/>
      <c r="F1362" s="126"/>
      <c r="G1362" s="125"/>
      <c r="H1362" s="125"/>
      <c r="I1362" s="99"/>
      <c r="K1362" s="84"/>
      <c r="L1362" s="84"/>
      <c r="M1362" s="84"/>
      <c r="N1362" s="84"/>
      <c r="O1362" s="84"/>
      <c r="P1362" s="84"/>
      <c r="Q1362" s="84"/>
      <c r="R1362" s="84"/>
    </row>
    <row r="1363" ht="15.75" customHeight="1">
      <c r="A1363" s="125"/>
      <c r="B1363" s="125"/>
      <c r="C1363" s="125"/>
      <c r="D1363" s="125"/>
      <c r="E1363" s="126"/>
      <c r="F1363" s="126"/>
      <c r="G1363" s="125"/>
      <c r="H1363" s="125"/>
      <c r="I1363" s="99"/>
      <c r="K1363" s="84"/>
      <c r="L1363" s="84"/>
      <c r="M1363" s="84"/>
      <c r="N1363" s="84"/>
      <c r="O1363" s="84"/>
      <c r="P1363" s="84"/>
      <c r="Q1363" s="84"/>
      <c r="R1363" s="84"/>
    </row>
    <row r="1364" ht="15.75" customHeight="1">
      <c r="A1364" s="125"/>
      <c r="B1364" s="125"/>
      <c r="C1364" s="125"/>
      <c r="D1364" s="125"/>
      <c r="E1364" s="126"/>
      <c r="F1364" s="126"/>
      <c r="G1364" s="125"/>
      <c r="H1364" s="125"/>
      <c r="I1364" s="99"/>
      <c r="K1364" s="84"/>
      <c r="L1364" s="84"/>
      <c r="M1364" s="84"/>
      <c r="N1364" s="84"/>
      <c r="O1364" s="84"/>
      <c r="P1364" s="84"/>
      <c r="Q1364" s="84"/>
      <c r="R1364" s="84"/>
    </row>
    <row r="1365" ht="15.75" customHeight="1">
      <c r="A1365" s="125"/>
      <c r="B1365" s="125"/>
      <c r="C1365" s="125"/>
      <c r="D1365" s="125"/>
      <c r="E1365" s="126"/>
      <c r="F1365" s="126"/>
      <c r="G1365" s="125"/>
      <c r="H1365" s="125"/>
      <c r="I1365" s="99"/>
      <c r="K1365" s="84"/>
      <c r="L1365" s="84"/>
      <c r="M1365" s="84"/>
      <c r="N1365" s="84"/>
      <c r="O1365" s="84"/>
      <c r="P1365" s="84"/>
      <c r="Q1365" s="84"/>
      <c r="R1365" s="84"/>
    </row>
    <row r="1366" ht="15.75" customHeight="1">
      <c r="A1366" s="125"/>
      <c r="B1366" s="125"/>
      <c r="C1366" s="125"/>
      <c r="D1366" s="125"/>
      <c r="E1366" s="126"/>
      <c r="F1366" s="126"/>
      <c r="G1366" s="125"/>
      <c r="H1366" s="125"/>
      <c r="I1366" s="99"/>
      <c r="K1366" s="84"/>
      <c r="L1366" s="84"/>
      <c r="M1366" s="84"/>
      <c r="N1366" s="84"/>
      <c r="O1366" s="84"/>
      <c r="P1366" s="84"/>
      <c r="Q1366" s="84"/>
      <c r="R1366" s="84"/>
    </row>
    <row r="1367" ht="15.75" customHeight="1">
      <c r="A1367" s="125"/>
      <c r="B1367" s="125"/>
      <c r="C1367" s="125"/>
      <c r="D1367" s="125"/>
      <c r="E1367" s="126"/>
      <c r="F1367" s="126"/>
      <c r="G1367" s="125"/>
      <c r="H1367" s="125"/>
      <c r="I1367" s="99"/>
      <c r="K1367" s="84"/>
      <c r="L1367" s="84"/>
      <c r="M1367" s="84"/>
      <c r="N1367" s="84"/>
      <c r="O1367" s="84"/>
      <c r="P1367" s="84"/>
      <c r="Q1367" s="84"/>
      <c r="R1367" s="84"/>
    </row>
    <row r="1368" ht="15.75" customHeight="1">
      <c r="A1368" s="125"/>
      <c r="B1368" s="125"/>
      <c r="C1368" s="125"/>
      <c r="D1368" s="125"/>
      <c r="E1368" s="126"/>
      <c r="F1368" s="126"/>
      <c r="G1368" s="125"/>
      <c r="H1368" s="125"/>
      <c r="I1368" s="99"/>
      <c r="K1368" s="84"/>
      <c r="L1368" s="84"/>
      <c r="M1368" s="84"/>
      <c r="N1368" s="84"/>
      <c r="O1368" s="84"/>
      <c r="P1368" s="84"/>
      <c r="Q1368" s="84"/>
      <c r="R1368" s="84"/>
    </row>
    <row r="1369" ht="15.75" customHeight="1">
      <c r="A1369" s="125"/>
      <c r="B1369" s="125"/>
      <c r="C1369" s="125"/>
      <c r="D1369" s="125"/>
      <c r="E1369" s="126"/>
      <c r="F1369" s="126"/>
      <c r="G1369" s="125"/>
      <c r="H1369" s="125"/>
      <c r="I1369" s="99"/>
      <c r="K1369" s="84"/>
      <c r="L1369" s="84"/>
      <c r="M1369" s="84"/>
      <c r="N1369" s="84"/>
      <c r="O1369" s="84"/>
      <c r="P1369" s="84"/>
      <c r="Q1369" s="84"/>
      <c r="R1369" s="84"/>
    </row>
    <row r="1370" ht="15.75" customHeight="1">
      <c r="A1370" s="125"/>
      <c r="B1370" s="125"/>
      <c r="C1370" s="125"/>
      <c r="D1370" s="125"/>
      <c r="E1370" s="126"/>
      <c r="F1370" s="126"/>
      <c r="G1370" s="125"/>
      <c r="H1370" s="125"/>
      <c r="I1370" s="99"/>
      <c r="K1370" s="84"/>
      <c r="L1370" s="84"/>
      <c r="M1370" s="84"/>
      <c r="N1370" s="84"/>
      <c r="O1370" s="84"/>
      <c r="P1370" s="84"/>
      <c r="Q1370" s="84"/>
      <c r="R1370" s="84"/>
    </row>
    <row r="1371" ht="15.75" customHeight="1">
      <c r="A1371" s="125"/>
      <c r="B1371" s="125"/>
      <c r="C1371" s="125"/>
      <c r="D1371" s="125"/>
      <c r="E1371" s="126"/>
      <c r="F1371" s="126"/>
      <c r="G1371" s="125"/>
      <c r="H1371" s="125"/>
      <c r="I1371" s="99"/>
      <c r="K1371" s="84"/>
      <c r="L1371" s="84"/>
      <c r="M1371" s="84"/>
      <c r="N1371" s="84"/>
      <c r="O1371" s="84"/>
      <c r="P1371" s="84"/>
      <c r="Q1371" s="84"/>
      <c r="R1371" s="84"/>
    </row>
    <row r="1372" ht="15.75" customHeight="1">
      <c r="A1372" s="125"/>
      <c r="B1372" s="125"/>
      <c r="C1372" s="125"/>
      <c r="D1372" s="125"/>
      <c r="E1372" s="126"/>
      <c r="F1372" s="126"/>
      <c r="G1372" s="125"/>
      <c r="H1372" s="125"/>
      <c r="I1372" s="99"/>
      <c r="K1372" s="84"/>
      <c r="L1372" s="84"/>
      <c r="M1372" s="84"/>
      <c r="N1372" s="84"/>
      <c r="O1372" s="84"/>
      <c r="P1372" s="84"/>
      <c r="Q1372" s="84"/>
      <c r="R1372" s="84"/>
    </row>
    <row r="1373" ht="15.75" customHeight="1">
      <c r="A1373" s="125"/>
      <c r="B1373" s="125"/>
      <c r="C1373" s="125"/>
      <c r="D1373" s="125"/>
      <c r="E1373" s="126"/>
      <c r="F1373" s="126"/>
      <c r="G1373" s="125"/>
      <c r="H1373" s="125"/>
      <c r="I1373" s="99"/>
      <c r="K1373" s="84"/>
      <c r="L1373" s="84"/>
      <c r="M1373" s="84"/>
      <c r="N1373" s="84"/>
      <c r="O1373" s="84"/>
      <c r="P1373" s="84"/>
      <c r="Q1373" s="84"/>
      <c r="R1373" s="84"/>
    </row>
    <row r="1374" ht="15.75" customHeight="1">
      <c r="A1374" s="125"/>
      <c r="B1374" s="125"/>
      <c r="C1374" s="125"/>
      <c r="D1374" s="125"/>
      <c r="E1374" s="126"/>
      <c r="F1374" s="126"/>
      <c r="G1374" s="125"/>
      <c r="H1374" s="125"/>
      <c r="I1374" s="99"/>
      <c r="K1374" s="84"/>
      <c r="L1374" s="84"/>
      <c r="M1374" s="84"/>
      <c r="N1374" s="84"/>
      <c r="O1374" s="84"/>
      <c r="P1374" s="84"/>
      <c r="Q1374" s="84"/>
      <c r="R1374" s="84"/>
    </row>
    <row r="1375" ht="15.75" customHeight="1">
      <c r="A1375" s="125"/>
      <c r="B1375" s="125"/>
      <c r="C1375" s="125"/>
      <c r="D1375" s="125"/>
      <c r="E1375" s="126"/>
      <c r="F1375" s="126"/>
      <c r="G1375" s="125"/>
      <c r="H1375" s="125"/>
      <c r="I1375" s="99"/>
      <c r="K1375" s="84"/>
      <c r="L1375" s="84"/>
      <c r="M1375" s="84"/>
      <c r="N1375" s="84"/>
      <c r="O1375" s="84"/>
      <c r="P1375" s="84"/>
      <c r="Q1375" s="84"/>
      <c r="R1375" s="84"/>
    </row>
    <row r="1376" ht="15.75" customHeight="1">
      <c r="A1376" s="125"/>
      <c r="B1376" s="125"/>
      <c r="C1376" s="125"/>
      <c r="D1376" s="125"/>
      <c r="E1376" s="126"/>
      <c r="F1376" s="126"/>
      <c r="G1376" s="125"/>
      <c r="H1376" s="125"/>
      <c r="I1376" s="99"/>
      <c r="K1376" s="84"/>
      <c r="L1376" s="84"/>
      <c r="M1376" s="84"/>
      <c r="N1376" s="84"/>
      <c r="O1376" s="84"/>
      <c r="P1376" s="84"/>
      <c r="Q1376" s="84"/>
      <c r="R1376" s="84"/>
    </row>
    <row r="1377" ht="15.75" customHeight="1">
      <c r="A1377" s="125"/>
      <c r="B1377" s="125"/>
      <c r="C1377" s="125"/>
      <c r="D1377" s="125"/>
      <c r="E1377" s="126"/>
      <c r="F1377" s="126"/>
      <c r="G1377" s="125"/>
      <c r="H1377" s="125"/>
      <c r="I1377" s="99"/>
      <c r="K1377" s="84"/>
      <c r="L1377" s="84"/>
      <c r="M1377" s="84"/>
      <c r="N1377" s="84"/>
      <c r="O1377" s="84"/>
      <c r="P1377" s="84"/>
      <c r="Q1377" s="84"/>
      <c r="R1377" s="84"/>
    </row>
    <row r="1378" ht="15.75" customHeight="1">
      <c r="A1378" s="125"/>
      <c r="B1378" s="125"/>
      <c r="C1378" s="125"/>
      <c r="D1378" s="125"/>
      <c r="E1378" s="126"/>
      <c r="F1378" s="126"/>
      <c r="G1378" s="125"/>
      <c r="H1378" s="125"/>
      <c r="I1378" s="99"/>
      <c r="K1378" s="84"/>
      <c r="L1378" s="84"/>
      <c r="M1378" s="84"/>
      <c r="N1378" s="84"/>
      <c r="O1378" s="84"/>
      <c r="P1378" s="84"/>
      <c r="Q1378" s="84"/>
      <c r="R1378" s="84"/>
    </row>
    <row r="1379" ht="15.75" customHeight="1">
      <c r="A1379" s="125"/>
      <c r="B1379" s="125"/>
      <c r="C1379" s="125"/>
      <c r="D1379" s="125"/>
      <c r="E1379" s="126"/>
      <c r="F1379" s="126"/>
      <c r="G1379" s="125"/>
      <c r="H1379" s="125"/>
      <c r="I1379" s="99"/>
      <c r="K1379" s="84"/>
      <c r="L1379" s="84"/>
      <c r="M1379" s="84"/>
      <c r="N1379" s="84"/>
      <c r="O1379" s="84"/>
      <c r="P1379" s="84"/>
      <c r="Q1379" s="84"/>
      <c r="R1379" s="84"/>
    </row>
    <row r="1380" ht="15.75" customHeight="1">
      <c r="A1380" s="125"/>
      <c r="B1380" s="125"/>
      <c r="C1380" s="125"/>
      <c r="D1380" s="125"/>
      <c r="E1380" s="126"/>
      <c r="F1380" s="126"/>
      <c r="G1380" s="125"/>
      <c r="H1380" s="125"/>
      <c r="I1380" s="99"/>
      <c r="K1380" s="84"/>
      <c r="L1380" s="84"/>
      <c r="M1380" s="84"/>
      <c r="N1380" s="84"/>
      <c r="O1380" s="84"/>
      <c r="P1380" s="84"/>
      <c r="Q1380" s="84"/>
      <c r="R1380" s="84"/>
    </row>
    <row r="1381" ht="15.75" customHeight="1">
      <c r="A1381" s="125"/>
      <c r="B1381" s="125"/>
      <c r="C1381" s="125"/>
      <c r="D1381" s="125"/>
      <c r="E1381" s="126"/>
      <c r="F1381" s="126"/>
      <c r="G1381" s="125"/>
      <c r="H1381" s="125"/>
      <c r="I1381" s="99"/>
      <c r="K1381" s="84"/>
      <c r="L1381" s="84"/>
      <c r="M1381" s="84"/>
      <c r="N1381" s="84"/>
      <c r="O1381" s="84"/>
      <c r="P1381" s="84"/>
      <c r="Q1381" s="84"/>
      <c r="R1381" s="84"/>
    </row>
    <row r="1382" ht="15.75" customHeight="1">
      <c r="A1382" s="125"/>
      <c r="B1382" s="125"/>
      <c r="C1382" s="125"/>
      <c r="D1382" s="125"/>
      <c r="E1382" s="126"/>
      <c r="F1382" s="126"/>
      <c r="G1382" s="125"/>
      <c r="H1382" s="125"/>
      <c r="I1382" s="99"/>
      <c r="K1382" s="84"/>
      <c r="L1382" s="84"/>
      <c r="M1382" s="84"/>
      <c r="N1382" s="84"/>
      <c r="O1382" s="84"/>
      <c r="P1382" s="84"/>
      <c r="Q1382" s="84"/>
      <c r="R1382" s="84"/>
    </row>
    <row r="1383" ht="15.75" customHeight="1">
      <c r="A1383" s="125"/>
      <c r="B1383" s="125"/>
      <c r="C1383" s="125"/>
      <c r="D1383" s="125"/>
      <c r="E1383" s="126"/>
      <c r="F1383" s="126"/>
      <c r="G1383" s="125"/>
      <c r="H1383" s="125"/>
      <c r="I1383" s="99"/>
      <c r="K1383" s="84"/>
      <c r="L1383" s="84"/>
      <c r="M1383" s="84"/>
      <c r="N1383" s="84"/>
      <c r="O1383" s="84"/>
      <c r="P1383" s="84"/>
      <c r="Q1383" s="84"/>
      <c r="R1383" s="84"/>
    </row>
    <row r="1384" ht="15.75" customHeight="1">
      <c r="A1384" s="125"/>
      <c r="B1384" s="125"/>
      <c r="C1384" s="125"/>
      <c r="D1384" s="125"/>
      <c r="E1384" s="126"/>
      <c r="F1384" s="126"/>
      <c r="G1384" s="125"/>
      <c r="H1384" s="125"/>
      <c r="I1384" s="99"/>
      <c r="K1384" s="84"/>
      <c r="L1384" s="84"/>
      <c r="M1384" s="84"/>
      <c r="N1384" s="84"/>
      <c r="O1384" s="84"/>
      <c r="P1384" s="84"/>
      <c r="Q1384" s="84"/>
      <c r="R1384" s="84"/>
    </row>
    <row r="1385" ht="15.75" customHeight="1">
      <c r="A1385" s="125"/>
      <c r="B1385" s="125"/>
      <c r="C1385" s="125"/>
      <c r="D1385" s="125"/>
      <c r="E1385" s="126"/>
      <c r="F1385" s="126"/>
      <c r="G1385" s="125"/>
      <c r="H1385" s="125"/>
      <c r="I1385" s="99"/>
      <c r="K1385" s="84"/>
      <c r="L1385" s="84"/>
      <c r="M1385" s="84"/>
      <c r="N1385" s="84"/>
      <c r="O1385" s="84"/>
      <c r="P1385" s="84"/>
      <c r="Q1385" s="84"/>
      <c r="R1385" s="84"/>
    </row>
    <row r="1386" ht="15.75" customHeight="1">
      <c r="A1386" s="125"/>
      <c r="B1386" s="125"/>
      <c r="C1386" s="125"/>
      <c r="D1386" s="125"/>
      <c r="E1386" s="126"/>
      <c r="F1386" s="126"/>
      <c r="G1386" s="125"/>
      <c r="H1386" s="125"/>
      <c r="I1386" s="99"/>
      <c r="K1386" s="84"/>
      <c r="L1386" s="84"/>
      <c r="M1386" s="84"/>
      <c r="N1386" s="84"/>
      <c r="O1386" s="84"/>
      <c r="P1386" s="84"/>
      <c r="Q1386" s="84"/>
      <c r="R1386" s="84"/>
    </row>
    <row r="1387" ht="15.75" customHeight="1">
      <c r="A1387" s="125"/>
      <c r="B1387" s="125"/>
      <c r="C1387" s="125"/>
      <c r="D1387" s="125"/>
      <c r="E1387" s="126"/>
      <c r="F1387" s="126"/>
      <c r="G1387" s="125"/>
      <c r="H1387" s="125"/>
      <c r="I1387" s="99"/>
      <c r="K1387" s="84"/>
      <c r="L1387" s="84"/>
      <c r="M1387" s="84"/>
      <c r="N1387" s="84"/>
      <c r="O1387" s="84"/>
      <c r="P1387" s="84"/>
      <c r="Q1387" s="84"/>
      <c r="R1387" s="84"/>
    </row>
    <row r="1388" ht="15.75" customHeight="1">
      <c r="A1388" s="125"/>
      <c r="B1388" s="125"/>
      <c r="C1388" s="125"/>
      <c r="D1388" s="125"/>
      <c r="E1388" s="126"/>
      <c r="F1388" s="126"/>
      <c r="G1388" s="125"/>
      <c r="H1388" s="125"/>
      <c r="I1388" s="99"/>
      <c r="K1388" s="84"/>
      <c r="L1388" s="84"/>
      <c r="M1388" s="84"/>
      <c r="N1388" s="84"/>
      <c r="O1388" s="84"/>
      <c r="P1388" s="84"/>
      <c r="Q1388" s="84"/>
      <c r="R1388" s="84"/>
    </row>
    <row r="1389" ht="15.75" customHeight="1">
      <c r="A1389" s="125"/>
      <c r="B1389" s="125"/>
      <c r="C1389" s="125"/>
      <c r="D1389" s="125"/>
      <c r="E1389" s="126"/>
      <c r="F1389" s="126"/>
      <c r="G1389" s="125"/>
      <c r="H1389" s="125"/>
      <c r="I1389" s="99"/>
      <c r="K1389" s="84"/>
      <c r="L1389" s="84"/>
      <c r="M1389" s="84"/>
      <c r="N1389" s="84"/>
      <c r="O1389" s="84"/>
      <c r="P1389" s="84"/>
      <c r="Q1389" s="84"/>
      <c r="R1389" s="84"/>
    </row>
    <row r="1390" ht="15.75" customHeight="1">
      <c r="A1390" s="125"/>
      <c r="B1390" s="125"/>
      <c r="C1390" s="125"/>
      <c r="D1390" s="125"/>
      <c r="E1390" s="126"/>
      <c r="F1390" s="126"/>
      <c r="G1390" s="125"/>
      <c r="H1390" s="125"/>
      <c r="I1390" s="99"/>
      <c r="K1390" s="84"/>
      <c r="L1390" s="84"/>
      <c r="M1390" s="84"/>
      <c r="N1390" s="84"/>
      <c r="O1390" s="84"/>
      <c r="P1390" s="84"/>
      <c r="Q1390" s="84"/>
      <c r="R1390" s="84"/>
    </row>
    <row r="1391" ht="15.75" customHeight="1">
      <c r="A1391" s="125"/>
      <c r="B1391" s="125"/>
      <c r="C1391" s="125"/>
      <c r="D1391" s="125"/>
      <c r="E1391" s="126"/>
      <c r="F1391" s="126"/>
      <c r="G1391" s="125"/>
      <c r="H1391" s="125"/>
      <c r="I1391" s="99"/>
      <c r="K1391" s="84"/>
      <c r="L1391" s="84"/>
      <c r="M1391" s="84"/>
      <c r="N1391" s="84"/>
      <c r="O1391" s="84"/>
      <c r="P1391" s="84"/>
      <c r="Q1391" s="84"/>
      <c r="R1391" s="84"/>
    </row>
    <row r="1392" ht="15.75" customHeight="1">
      <c r="A1392" s="125"/>
      <c r="B1392" s="125"/>
      <c r="C1392" s="125"/>
      <c r="D1392" s="125"/>
      <c r="E1392" s="126"/>
      <c r="F1392" s="126"/>
      <c r="G1392" s="125"/>
      <c r="H1392" s="125"/>
      <c r="I1392" s="99"/>
      <c r="K1392" s="84"/>
      <c r="L1392" s="84"/>
      <c r="M1392" s="84"/>
      <c r="N1392" s="84"/>
      <c r="O1392" s="84"/>
      <c r="P1392" s="84"/>
      <c r="Q1392" s="84"/>
      <c r="R1392" s="84"/>
    </row>
    <row r="1393" ht="15.75" customHeight="1">
      <c r="A1393" s="125"/>
      <c r="B1393" s="125"/>
      <c r="C1393" s="125"/>
      <c r="D1393" s="125"/>
      <c r="E1393" s="126"/>
      <c r="F1393" s="126"/>
      <c r="G1393" s="125"/>
      <c r="H1393" s="125"/>
      <c r="I1393" s="99"/>
      <c r="K1393" s="84"/>
      <c r="L1393" s="84"/>
      <c r="M1393" s="84"/>
      <c r="N1393" s="84"/>
      <c r="O1393" s="84"/>
      <c r="P1393" s="84"/>
      <c r="Q1393" s="84"/>
      <c r="R1393" s="84"/>
    </row>
    <row r="1394" ht="15.75" customHeight="1">
      <c r="A1394" s="125"/>
      <c r="B1394" s="125"/>
      <c r="C1394" s="125"/>
      <c r="D1394" s="125"/>
      <c r="E1394" s="126"/>
      <c r="F1394" s="126"/>
      <c r="G1394" s="125"/>
      <c r="H1394" s="125"/>
      <c r="I1394" s="99"/>
      <c r="K1394" s="84"/>
      <c r="L1394" s="84"/>
      <c r="M1394" s="84"/>
      <c r="N1394" s="84"/>
      <c r="O1394" s="84"/>
      <c r="P1394" s="84"/>
      <c r="Q1394" s="84"/>
      <c r="R1394" s="84"/>
    </row>
    <row r="1395" ht="15.75" customHeight="1">
      <c r="A1395" s="125"/>
      <c r="B1395" s="125"/>
      <c r="C1395" s="125"/>
      <c r="D1395" s="125"/>
      <c r="E1395" s="126"/>
      <c r="F1395" s="126"/>
      <c r="G1395" s="125"/>
      <c r="H1395" s="125"/>
      <c r="I1395" s="99"/>
      <c r="K1395" s="84"/>
      <c r="L1395" s="84"/>
      <c r="M1395" s="84"/>
      <c r="N1395" s="84"/>
      <c r="O1395" s="84"/>
      <c r="P1395" s="84"/>
      <c r="Q1395" s="84"/>
      <c r="R1395" s="84"/>
    </row>
    <row r="1396" ht="15.75" customHeight="1">
      <c r="A1396" s="125"/>
      <c r="B1396" s="125"/>
      <c r="C1396" s="125"/>
      <c r="D1396" s="125"/>
      <c r="E1396" s="126"/>
      <c r="F1396" s="126"/>
      <c r="G1396" s="125"/>
      <c r="H1396" s="125"/>
      <c r="I1396" s="99"/>
      <c r="K1396" s="84"/>
      <c r="L1396" s="84"/>
      <c r="M1396" s="84"/>
      <c r="N1396" s="84"/>
      <c r="O1396" s="84"/>
      <c r="P1396" s="84"/>
      <c r="Q1396" s="84"/>
      <c r="R1396" s="84"/>
    </row>
    <row r="1397" ht="15.75" customHeight="1">
      <c r="A1397" s="125"/>
      <c r="B1397" s="125"/>
      <c r="C1397" s="125"/>
      <c r="D1397" s="125"/>
      <c r="E1397" s="126"/>
      <c r="F1397" s="126"/>
      <c r="G1397" s="125"/>
      <c r="H1397" s="125"/>
      <c r="I1397" s="99"/>
      <c r="K1397" s="84"/>
      <c r="L1397" s="84"/>
      <c r="M1397" s="84"/>
      <c r="N1397" s="84"/>
      <c r="O1397" s="84"/>
      <c r="P1397" s="84"/>
      <c r="Q1397" s="84"/>
      <c r="R1397" s="84"/>
    </row>
    <row r="1398" ht="15.75" customHeight="1">
      <c r="A1398" s="125"/>
      <c r="B1398" s="125"/>
      <c r="C1398" s="125"/>
      <c r="D1398" s="125"/>
      <c r="E1398" s="126"/>
      <c r="F1398" s="126"/>
      <c r="G1398" s="125"/>
      <c r="H1398" s="125"/>
      <c r="I1398" s="99"/>
      <c r="K1398" s="84"/>
      <c r="L1398" s="84"/>
      <c r="M1398" s="84"/>
      <c r="N1398" s="84"/>
      <c r="O1398" s="84"/>
      <c r="P1398" s="84"/>
      <c r="Q1398" s="84"/>
      <c r="R1398" s="84"/>
    </row>
    <row r="1399" ht="15.75" customHeight="1">
      <c r="A1399" s="125"/>
      <c r="B1399" s="125"/>
      <c r="C1399" s="125"/>
      <c r="D1399" s="125"/>
      <c r="E1399" s="126"/>
      <c r="F1399" s="126"/>
      <c r="G1399" s="125"/>
      <c r="H1399" s="125"/>
      <c r="I1399" s="99"/>
      <c r="K1399" s="84"/>
      <c r="L1399" s="84"/>
      <c r="M1399" s="84"/>
      <c r="N1399" s="84"/>
      <c r="O1399" s="84"/>
      <c r="P1399" s="84"/>
      <c r="Q1399" s="84"/>
      <c r="R1399" s="84"/>
    </row>
    <row r="1400" ht="15.75" customHeight="1">
      <c r="A1400" s="125"/>
      <c r="B1400" s="125"/>
      <c r="C1400" s="125"/>
      <c r="D1400" s="125"/>
      <c r="E1400" s="126"/>
      <c r="F1400" s="126"/>
      <c r="G1400" s="125"/>
      <c r="H1400" s="125"/>
      <c r="I1400" s="99"/>
      <c r="K1400" s="84"/>
      <c r="L1400" s="84"/>
      <c r="M1400" s="84"/>
      <c r="N1400" s="84"/>
      <c r="O1400" s="84"/>
      <c r="P1400" s="84"/>
      <c r="Q1400" s="84"/>
      <c r="R1400" s="84"/>
    </row>
    <row r="1401" ht="15.75" customHeight="1">
      <c r="A1401" s="125"/>
      <c r="B1401" s="125"/>
      <c r="C1401" s="125"/>
      <c r="D1401" s="125"/>
      <c r="E1401" s="126"/>
      <c r="F1401" s="126"/>
      <c r="G1401" s="125"/>
      <c r="H1401" s="125"/>
      <c r="I1401" s="99"/>
      <c r="K1401" s="84"/>
      <c r="L1401" s="84"/>
      <c r="M1401" s="84"/>
      <c r="N1401" s="84"/>
      <c r="O1401" s="84"/>
      <c r="P1401" s="84"/>
      <c r="Q1401" s="84"/>
      <c r="R1401" s="84"/>
    </row>
    <row r="1402" ht="15.75" customHeight="1">
      <c r="A1402" s="125"/>
      <c r="B1402" s="125"/>
      <c r="C1402" s="125"/>
      <c r="D1402" s="125"/>
      <c r="E1402" s="126"/>
      <c r="F1402" s="126"/>
      <c r="G1402" s="125"/>
      <c r="H1402" s="125"/>
      <c r="I1402" s="99"/>
      <c r="K1402" s="84"/>
      <c r="L1402" s="84"/>
      <c r="M1402" s="84"/>
      <c r="N1402" s="84"/>
      <c r="O1402" s="84"/>
      <c r="P1402" s="84"/>
      <c r="Q1402" s="84"/>
      <c r="R1402" s="84"/>
    </row>
    <row r="1403" ht="15.75" customHeight="1">
      <c r="A1403" s="125"/>
      <c r="B1403" s="125"/>
      <c r="C1403" s="125"/>
      <c r="D1403" s="125"/>
      <c r="E1403" s="126"/>
      <c r="F1403" s="126"/>
      <c r="G1403" s="125"/>
      <c r="H1403" s="125"/>
      <c r="I1403" s="99"/>
      <c r="K1403" s="84"/>
      <c r="L1403" s="84"/>
      <c r="M1403" s="84"/>
      <c r="N1403" s="84"/>
      <c r="O1403" s="84"/>
      <c r="P1403" s="84"/>
      <c r="Q1403" s="84"/>
      <c r="R1403" s="84"/>
    </row>
    <row r="1404" ht="15.75" customHeight="1">
      <c r="A1404" s="125"/>
      <c r="B1404" s="125"/>
      <c r="C1404" s="125"/>
      <c r="D1404" s="125"/>
      <c r="E1404" s="126"/>
      <c r="F1404" s="126"/>
      <c r="G1404" s="125"/>
      <c r="H1404" s="125"/>
      <c r="I1404" s="99"/>
      <c r="K1404" s="84"/>
      <c r="L1404" s="84"/>
      <c r="M1404" s="84"/>
      <c r="N1404" s="84"/>
      <c r="O1404" s="84"/>
      <c r="P1404" s="84"/>
      <c r="Q1404" s="84"/>
      <c r="R1404" s="84"/>
    </row>
    <row r="1405" ht="15.75" customHeight="1">
      <c r="A1405" s="125"/>
      <c r="B1405" s="125"/>
      <c r="C1405" s="125"/>
      <c r="D1405" s="125"/>
      <c r="E1405" s="126"/>
      <c r="F1405" s="126"/>
      <c r="G1405" s="125"/>
      <c r="H1405" s="125"/>
      <c r="I1405" s="99"/>
      <c r="K1405" s="84"/>
      <c r="L1405" s="84"/>
      <c r="M1405" s="84"/>
      <c r="N1405" s="84"/>
      <c r="O1405" s="84"/>
      <c r="P1405" s="84"/>
      <c r="Q1405" s="84"/>
      <c r="R1405" s="84"/>
    </row>
    <row r="1406" ht="15.75" customHeight="1">
      <c r="A1406" s="125"/>
      <c r="B1406" s="125"/>
      <c r="C1406" s="125"/>
      <c r="D1406" s="125"/>
      <c r="E1406" s="126"/>
      <c r="F1406" s="126"/>
      <c r="G1406" s="125"/>
      <c r="H1406" s="125"/>
      <c r="I1406" s="99"/>
      <c r="K1406" s="84"/>
      <c r="L1406" s="84"/>
      <c r="M1406" s="84"/>
      <c r="N1406" s="84"/>
      <c r="O1406" s="84"/>
      <c r="P1406" s="84"/>
      <c r="Q1406" s="84"/>
      <c r="R1406" s="84"/>
    </row>
    <row r="1407" ht="15.75" customHeight="1">
      <c r="A1407" s="125"/>
      <c r="B1407" s="125"/>
      <c r="C1407" s="125"/>
      <c r="D1407" s="125"/>
      <c r="E1407" s="126"/>
      <c r="F1407" s="126"/>
      <c r="G1407" s="125"/>
      <c r="H1407" s="125"/>
      <c r="I1407" s="99"/>
      <c r="K1407" s="84"/>
      <c r="L1407" s="84"/>
      <c r="M1407" s="84"/>
      <c r="N1407" s="84"/>
      <c r="O1407" s="84"/>
      <c r="P1407" s="84"/>
      <c r="Q1407" s="84"/>
      <c r="R1407" s="84"/>
    </row>
    <row r="1408" ht="15.75" customHeight="1">
      <c r="A1408" s="125"/>
      <c r="B1408" s="125"/>
      <c r="C1408" s="125"/>
      <c r="D1408" s="125"/>
      <c r="E1408" s="126"/>
      <c r="F1408" s="126"/>
      <c r="G1408" s="125"/>
      <c r="H1408" s="125"/>
      <c r="I1408" s="99"/>
      <c r="K1408" s="84"/>
      <c r="L1408" s="84"/>
      <c r="M1408" s="84"/>
      <c r="N1408" s="84"/>
      <c r="O1408" s="84"/>
      <c r="P1408" s="84"/>
      <c r="Q1408" s="84"/>
      <c r="R1408" s="84"/>
    </row>
    <row r="1409" ht="15.75" customHeight="1">
      <c r="A1409" s="125"/>
      <c r="B1409" s="125"/>
      <c r="C1409" s="125"/>
      <c r="D1409" s="125"/>
      <c r="E1409" s="126"/>
      <c r="F1409" s="126"/>
      <c r="G1409" s="125"/>
      <c r="H1409" s="125"/>
      <c r="I1409" s="99"/>
      <c r="K1409" s="84"/>
      <c r="L1409" s="84"/>
      <c r="M1409" s="84"/>
      <c r="N1409" s="84"/>
      <c r="O1409" s="84"/>
      <c r="P1409" s="84"/>
      <c r="Q1409" s="84"/>
      <c r="R1409" s="84"/>
    </row>
    <row r="1410" ht="15.75" customHeight="1">
      <c r="A1410" s="125"/>
      <c r="B1410" s="125"/>
      <c r="C1410" s="125"/>
      <c r="D1410" s="125"/>
      <c r="E1410" s="126"/>
      <c r="F1410" s="126"/>
      <c r="G1410" s="125"/>
      <c r="H1410" s="125"/>
      <c r="I1410" s="99"/>
      <c r="K1410" s="84"/>
      <c r="L1410" s="84"/>
      <c r="M1410" s="84"/>
      <c r="N1410" s="84"/>
      <c r="O1410" s="84"/>
      <c r="P1410" s="84"/>
      <c r="Q1410" s="84"/>
      <c r="R1410" s="84"/>
    </row>
    <row r="1411" ht="15.75" customHeight="1">
      <c r="A1411" s="125"/>
      <c r="B1411" s="125"/>
      <c r="C1411" s="125"/>
      <c r="D1411" s="125"/>
      <c r="E1411" s="126"/>
      <c r="F1411" s="126"/>
      <c r="G1411" s="125"/>
      <c r="H1411" s="125"/>
      <c r="I1411" s="99"/>
      <c r="K1411" s="84"/>
      <c r="L1411" s="84"/>
      <c r="M1411" s="84"/>
      <c r="N1411" s="84"/>
      <c r="O1411" s="84"/>
      <c r="P1411" s="84"/>
      <c r="Q1411" s="84"/>
      <c r="R1411" s="84"/>
    </row>
    <row r="1412" ht="15.75" customHeight="1">
      <c r="A1412" s="125"/>
      <c r="B1412" s="125"/>
      <c r="C1412" s="125"/>
      <c r="D1412" s="125"/>
      <c r="E1412" s="126"/>
      <c r="F1412" s="126"/>
      <c r="G1412" s="125"/>
      <c r="H1412" s="125"/>
      <c r="I1412" s="99"/>
      <c r="K1412" s="84"/>
      <c r="L1412" s="84"/>
      <c r="M1412" s="84"/>
      <c r="N1412" s="84"/>
      <c r="O1412" s="84"/>
      <c r="P1412" s="84"/>
      <c r="Q1412" s="84"/>
      <c r="R1412" s="84"/>
    </row>
    <row r="1413" ht="15.75" customHeight="1">
      <c r="A1413" s="125"/>
      <c r="B1413" s="125"/>
      <c r="C1413" s="125"/>
      <c r="D1413" s="125"/>
      <c r="E1413" s="126"/>
      <c r="F1413" s="126"/>
      <c r="G1413" s="125"/>
      <c r="H1413" s="125"/>
      <c r="I1413" s="99"/>
      <c r="K1413" s="84"/>
      <c r="L1413" s="84"/>
      <c r="M1413" s="84"/>
      <c r="N1413" s="84"/>
      <c r="O1413" s="84"/>
      <c r="P1413" s="84"/>
      <c r="Q1413" s="84"/>
      <c r="R1413" s="84"/>
    </row>
    <row r="1414" ht="15.75" customHeight="1">
      <c r="A1414" s="125"/>
      <c r="B1414" s="125"/>
      <c r="C1414" s="125"/>
      <c r="D1414" s="125"/>
      <c r="E1414" s="126"/>
      <c r="F1414" s="126"/>
      <c r="G1414" s="125"/>
      <c r="H1414" s="125"/>
      <c r="I1414" s="99"/>
      <c r="K1414" s="84"/>
      <c r="L1414" s="84"/>
      <c r="M1414" s="84"/>
      <c r="N1414" s="84"/>
      <c r="O1414" s="84"/>
      <c r="P1414" s="84"/>
      <c r="Q1414" s="84"/>
      <c r="R1414" s="84"/>
    </row>
    <row r="1415" ht="15.75" customHeight="1">
      <c r="A1415" s="125"/>
      <c r="B1415" s="125"/>
      <c r="C1415" s="125"/>
      <c r="D1415" s="125"/>
      <c r="E1415" s="126"/>
      <c r="F1415" s="126"/>
      <c r="G1415" s="125"/>
      <c r="H1415" s="125"/>
      <c r="I1415" s="99"/>
      <c r="K1415" s="84"/>
      <c r="L1415" s="84"/>
      <c r="M1415" s="84"/>
      <c r="N1415" s="84"/>
      <c r="O1415" s="84"/>
      <c r="P1415" s="84"/>
      <c r="Q1415" s="84"/>
      <c r="R1415" s="84"/>
    </row>
    <row r="1416" ht="15.75" customHeight="1">
      <c r="A1416" s="125"/>
      <c r="B1416" s="125"/>
      <c r="C1416" s="125"/>
      <c r="D1416" s="125"/>
      <c r="E1416" s="126"/>
      <c r="F1416" s="126"/>
      <c r="G1416" s="125"/>
      <c r="H1416" s="125"/>
      <c r="I1416" s="99"/>
      <c r="K1416" s="84"/>
      <c r="L1416" s="84"/>
      <c r="M1416" s="84"/>
      <c r="N1416" s="84"/>
      <c r="O1416" s="84"/>
      <c r="P1416" s="84"/>
      <c r="Q1416" s="84"/>
      <c r="R1416" s="84"/>
    </row>
    <row r="1417" ht="15.75" customHeight="1">
      <c r="A1417" s="125"/>
      <c r="B1417" s="125"/>
      <c r="C1417" s="125"/>
      <c r="D1417" s="125"/>
      <c r="E1417" s="126"/>
      <c r="F1417" s="126"/>
      <c r="G1417" s="125"/>
      <c r="H1417" s="125"/>
      <c r="I1417" s="99"/>
      <c r="K1417" s="84"/>
      <c r="L1417" s="84"/>
      <c r="M1417" s="84"/>
      <c r="N1417" s="84"/>
      <c r="O1417" s="84"/>
      <c r="P1417" s="84"/>
      <c r="Q1417" s="84"/>
      <c r="R1417" s="84"/>
    </row>
    <row r="1418" ht="15.75" customHeight="1">
      <c r="A1418" s="125"/>
      <c r="B1418" s="125"/>
      <c r="C1418" s="125"/>
      <c r="D1418" s="125"/>
      <c r="E1418" s="126"/>
      <c r="F1418" s="126"/>
      <c r="G1418" s="125"/>
      <c r="H1418" s="125"/>
      <c r="I1418" s="99"/>
      <c r="K1418" s="84"/>
      <c r="L1418" s="84"/>
      <c r="M1418" s="84"/>
      <c r="N1418" s="84"/>
      <c r="O1418" s="84"/>
      <c r="P1418" s="84"/>
      <c r="Q1418" s="84"/>
      <c r="R1418" s="84"/>
    </row>
    <row r="1419" ht="15.75" customHeight="1">
      <c r="A1419" s="125"/>
      <c r="B1419" s="125"/>
      <c r="C1419" s="125"/>
      <c r="D1419" s="125"/>
      <c r="E1419" s="126"/>
      <c r="F1419" s="126"/>
      <c r="G1419" s="125"/>
      <c r="H1419" s="125"/>
      <c r="I1419" s="99"/>
      <c r="K1419" s="84"/>
      <c r="L1419" s="84"/>
      <c r="M1419" s="84"/>
      <c r="N1419" s="84"/>
      <c r="O1419" s="84"/>
      <c r="P1419" s="84"/>
      <c r="Q1419" s="84"/>
      <c r="R1419" s="84"/>
    </row>
    <row r="1420" ht="15.75" customHeight="1">
      <c r="A1420" s="125"/>
      <c r="B1420" s="125"/>
      <c r="C1420" s="125"/>
      <c r="D1420" s="125"/>
      <c r="E1420" s="126"/>
      <c r="F1420" s="126"/>
      <c r="G1420" s="125"/>
      <c r="H1420" s="125"/>
      <c r="I1420" s="99"/>
      <c r="K1420" s="84"/>
      <c r="L1420" s="84"/>
      <c r="M1420" s="84"/>
      <c r="N1420" s="84"/>
      <c r="O1420" s="84"/>
      <c r="P1420" s="84"/>
      <c r="Q1420" s="84"/>
      <c r="R1420" s="84"/>
    </row>
    <row r="1421" ht="15.75" customHeight="1">
      <c r="A1421" s="125"/>
      <c r="B1421" s="125"/>
      <c r="C1421" s="125"/>
      <c r="D1421" s="125"/>
      <c r="E1421" s="126"/>
      <c r="F1421" s="126"/>
      <c r="G1421" s="125"/>
      <c r="H1421" s="125"/>
      <c r="I1421" s="99"/>
      <c r="K1421" s="84"/>
      <c r="L1421" s="84"/>
      <c r="M1421" s="84"/>
      <c r="N1421" s="84"/>
      <c r="O1421" s="84"/>
      <c r="P1421" s="84"/>
      <c r="Q1421" s="84"/>
      <c r="R1421" s="84"/>
    </row>
    <row r="1422" ht="15.75" customHeight="1">
      <c r="A1422" s="125"/>
      <c r="B1422" s="125"/>
      <c r="C1422" s="125"/>
      <c r="D1422" s="125"/>
      <c r="E1422" s="126"/>
      <c r="F1422" s="126"/>
      <c r="G1422" s="125"/>
      <c r="H1422" s="125"/>
      <c r="I1422" s="99"/>
      <c r="K1422" s="84"/>
      <c r="L1422" s="84"/>
      <c r="M1422" s="84"/>
      <c r="N1422" s="84"/>
      <c r="O1422" s="84"/>
      <c r="P1422" s="84"/>
      <c r="Q1422" s="84"/>
      <c r="R1422" s="84"/>
    </row>
    <row r="1423" ht="15.75" customHeight="1">
      <c r="A1423" s="125"/>
      <c r="B1423" s="125"/>
      <c r="C1423" s="125"/>
      <c r="D1423" s="125"/>
      <c r="E1423" s="126"/>
      <c r="F1423" s="126"/>
      <c r="G1423" s="125"/>
      <c r="H1423" s="125"/>
      <c r="I1423" s="99"/>
      <c r="K1423" s="84"/>
      <c r="L1423" s="84"/>
      <c r="M1423" s="84"/>
      <c r="N1423" s="84"/>
      <c r="O1423" s="84"/>
      <c r="P1423" s="84"/>
      <c r="Q1423" s="84"/>
      <c r="R1423" s="84"/>
    </row>
    <row r="1424" ht="15.75" customHeight="1">
      <c r="A1424" s="125"/>
      <c r="B1424" s="125"/>
      <c r="C1424" s="125"/>
      <c r="D1424" s="125"/>
      <c r="E1424" s="126"/>
      <c r="F1424" s="126"/>
      <c r="G1424" s="125"/>
      <c r="H1424" s="125"/>
      <c r="I1424" s="99"/>
      <c r="K1424" s="84"/>
      <c r="L1424" s="84"/>
      <c r="M1424" s="84"/>
      <c r="N1424" s="84"/>
      <c r="O1424" s="84"/>
      <c r="P1424" s="84"/>
      <c r="Q1424" s="84"/>
      <c r="R1424" s="84"/>
    </row>
    <row r="1425" ht="15.75" customHeight="1">
      <c r="A1425" s="125"/>
      <c r="B1425" s="125"/>
      <c r="C1425" s="125"/>
      <c r="D1425" s="125"/>
      <c r="E1425" s="126"/>
      <c r="F1425" s="126"/>
      <c r="G1425" s="125"/>
      <c r="H1425" s="125"/>
      <c r="I1425" s="99"/>
      <c r="K1425" s="84"/>
      <c r="L1425" s="84"/>
      <c r="M1425" s="84"/>
      <c r="N1425" s="84"/>
      <c r="O1425" s="84"/>
      <c r="P1425" s="84"/>
      <c r="Q1425" s="84"/>
      <c r="R1425" s="84"/>
    </row>
    <row r="1426" ht="15.75" customHeight="1">
      <c r="A1426" s="125"/>
      <c r="B1426" s="125"/>
      <c r="C1426" s="125"/>
      <c r="D1426" s="125"/>
      <c r="E1426" s="126"/>
      <c r="F1426" s="126"/>
      <c r="G1426" s="125"/>
      <c r="H1426" s="125"/>
      <c r="I1426" s="99"/>
      <c r="K1426" s="84"/>
      <c r="L1426" s="84"/>
      <c r="M1426" s="84"/>
      <c r="N1426" s="84"/>
      <c r="O1426" s="84"/>
      <c r="P1426" s="84"/>
      <c r="Q1426" s="84"/>
      <c r="R1426" s="84"/>
    </row>
    <row r="1427" ht="15.75" customHeight="1">
      <c r="A1427" s="125"/>
      <c r="B1427" s="125"/>
      <c r="C1427" s="125"/>
      <c r="D1427" s="125"/>
      <c r="E1427" s="126"/>
      <c r="F1427" s="126"/>
      <c r="G1427" s="125"/>
      <c r="H1427" s="125"/>
      <c r="I1427" s="99"/>
      <c r="K1427" s="84"/>
      <c r="L1427" s="84"/>
      <c r="M1427" s="84"/>
      <c r="N1427" s="84"/>
      <c r="O1427" s="84"/>
      <c r="P1427" s="84"/>
      <c r="Q1427" s="84"/>
      <c r="R1427" s="84"/>
    </row>
    <row r="1428" ht="15.75" customHeight="1">
      <c r="A1428" s="125"/>
      <c r="B1428" s="125"/>
      <c r="C1428" s="125"/>
      <c r="D1428" s="125"/>
      <c r="E1428" s="126"/>
      <c r="F1428" s="126"/>
      <c r="G1428" s="125"/>
      <c r="H1428" s="125"/>
      <c r="I1428" s="99"/>
      <c r="K1428" s="84"/>
      <c r="L1428" s="84"/>
      <c r="M1428" s="84"/>
      <c r="N1428" s="84"/>
      <c r="O1428" s="84"/>
      <c r="P1428" s="84"/>
      <c r="Q1428" s="84"/>
      <c r="R1428" s="84"/>
    </row>
    <row r="1429" ht="15.75" customHeight="1">
      <c r="A1429" s="125"/>
      <c r="B1429" s="125"/>
      <c r="C1429" s="125"/>
      <c r="D1429" s="125"/>
      <c r="E1429" s="126"/>
      <c r="F1429" s="126"/>
      <c r="G1429" s="125"/>
      <c r="H1429" s="125"/>
      <c r="I1429" s="99"/>
      <c r="K1429" s="84"/>
      <c r="L1429" s="84"/>
      <c r="M1429" s="84"/>
      <c r="N1429" s="84"/>
      <c r="O1429" s="84"/>
      <c r="P1429" s="84"/>
      <c r="Q1429" s="84"/>
      <c r="R1429" s="84"/>
    </row>
    <row r="1430" ht="15.75" customHeight="1">
      <c r="A1430" s="125"/>
      <c r="B1430" s="125"/>
      <c r="C1430" s="125"/>
      <c r="D1430" s="125"/>
      <c r="E1430" s="126"/>
      <c r="F1430" s="126"/>
      <c r="G1430" s="125"/>
      <c r="H1430" s="125"/>
      <c r="I1430" s="99"/>
      <c r="K1430" s="84"/>
      <c r="L1430" s="84"/>
      <c r="M1430" s="84"/>
      <c r="N1430" s="84"/>
      <c r="O1430" s="84"/>
      <c r="P1430" s="84"/>
      <c r="Q1430" s="84"/>
      <c r="R1430" s="84"/>
    </row>
    <row r="1431" ht="15.75" customHeight="1">
      <c r="A1431" s="125"/>
      <c r="B1431" s="125"/>
      <c r="C1431" s="125"/>
      <c r="D1431" s="125"/>
      <c r="E1431" s="126"/>
      <c r="F1431" s="126"/>
      <c r="G1431" s="125"/>
      <c r="H1431" s="125"/>
      <c r="I1431" s="99"/>
      <c r="K1431" s="84"/>
      <c r="L1431" s="84"/>
      <c r="M1431" s="84"/>
      <c r="N1431" s="84"/>
      <c r="O1431" s="84"/>
      <c r="P1431" s="84"/>
      <c r="Q1431" s="84"/>
      <c r="R1431" s="84"/>
    </row>
    <row r="1432" ht="15.75" customHeight="1">
      <c r="A1432" s="125"/>
      <c r="B1432" s="125"/>
      <c r="C1432" s="125"/>
      <c r="D1432" s="125"/>
      <c r="E1432" s="126"/>
      <c r="F1432" s="126"/>
      <c r="G1432" s="125"/>
      <c r="H1432" s="125"/>
      <c r="I1432" s="99"/>
      <c r="K1432" s="84"/>
      <c r="L1432" s="84"/>
      <c r="M1432" s="84"/>
      <c r="N1432" s="84"/>
      <c r="O1432" s="84"/>
      <c r="P1432" s="84"/>
      <c r="Q1432" s="84"/>
      <c r="R1432" s="84"/>
    </row>
    <row r="1433" ht="15.75" customHeight="1">
      <c r="A1433" s="125"/>
      <c r="B1433" s="125"/>
      <c r="C1433" s="125"/>
      <c r="D1433" s="125"/>
      <c r="E1433" s="126"/>
      <c r="F1433" s="126"/>
      <c r="G1433" s="125"/>
      <c r="H1433" s="125"/>
      <c r="I1433" s="99"/>
      <c r="K1433" s="84"/>
      <c r="L1433" s="84"/>
      <c r="M1433" s="84"/>
      <c r="N1433" s="84"/>
      <c r="O1433" s="84"/>
      <c r="P1433" s="84"/>
      <c r="Q1433" s="84"/>
      <c r="R1433" s="84"/>
    </row>
    <row r="1434" ht="15.75" customHeight="1">
      <c r="A1434" s="125"/>
      <c r="B1434" s="125"/>
      <c r="C1434" s="125"/>
      <c r="D1434" s="125"/>
      <c r="E1434" s="126"/>
      <c r="F1434" s="126"/>
      <c r="G1434" s="125"/>
      <c r="H1434" s="125"/>
      <c r="I1434" s="99"/>
      <c r="K1434" s="84"/>
      <c r="L1434" s="84"/>
      <c r="M1434" s="84"/>
      <c r="N1434" s="84"/>
      <c r="O1434" s="84"/>
      <c r="P1434" s="84"/>
      <c r="Q1434" s="84"/>
      <c r="R1434" s="84"/>
    </row>
    <row r="1435" ht="15.75" customHeight="1">
      <c r="A1435" s="125"/>
      <c r="B1435" s="125"/>
      <c r="C1435" s="125"/>
      <c r="D1435" s="125"/>
      <c r="E1435" s="126"/>
      <c r="F1435" s="126"/>
      <c r="G1435" s="125"/>
      <c r="H1435" s="125"/>
      <c r="I1435" s="99"/>
      <c r="K1435" s="84"/>
      <c r="L1435" s="84"/>
      <c r="M1435" s="84"/>
      <c r="N1435" s="84"/>
      <c r="O1435" s="84"/>
      <c r="P1435" s="84"/>
      <c r="Q1435" s="84"/>
      <c r="R1435" s="84"/>
    </row>
    <row r="1436" ht="15.75" customHeight="1">
      <c r="A1436" s="125"/>
      <c r="B1436" s="125"/>
      <c r="C1436" s="125"/>
      <c r="D1436" s="125"/>
      <c r="E1436" s="126"/>
      <c r="F1436" s="126"/>
      <c r="G1436" s="125"/>
      <c r="H1436" s="125"/>
      <c r="I1436" s="99"/>
      <c r="K1436" s="84"/>
      <c r="L1436" s="84"/>
      <c r="M1436" s="84"/>
      <c r="N1436" s="84"/>
      <c r="O1436" s="84"/>
      <c r="P1436" s="84"/>
      <c r="Q1436" s="84"/>
      <c r="R1436" s="84"/>
    </row>
    <row r="1437" ht="15.75" customHeight="1">
      <c r="A1437" s="125"/>
      <c r="B1437" s="125"/>
      <c r="C1437" s="125"/>
      <c r="D1437" s="125"/>
      <c r="E1437" s="126"/>
      <c r="F1437" s="126"/>
      <c r="G1437" s="125"/>
      <c r="H1437" s="125"/>
      <c r="I1437" s="99"/>
      <c r="K1437" s="84"/>
      <c r="L1437" s="84"/>
      <c r="M1437" s="84"/>
      <c r="N1437" s="84"/>
      <c r="O1437" s="84"/>
      <c r="P1437" s="84"/>
      <c r="Q1437" s="84"/>
      <c r="R1437" s="84"/>
    </row>
    <row r="1438" ht="15.75" customHeight="1">
      <c r="A1438" s="125"/>
      <c r="B1438" s="125"/>
      <c r="C1438" s="125"/>
      <c r="D1438" s="125"/>
      <c r="E1438" s="126"/>
      <c r="F1438" s="126"/>
      <c r="G1438" s="125"/>
      <c r="H1438" s="125"/>
      <c r="I1438" s="99"/>
      <c r="K1438" s="84"/>
      <c r="L1438" s="84"/>
      <c r="M1438" s="84"/>
      <c r="N1438" s="84"/>
      <c r="O1438" s="84"/>
      <c r="P1438" s="84"/>
      <c r="Q1438" s="84"/>
      <c r="R1438" s="84"/>
    </row>
    <row r="1439" ht="15.75" customHeight="1">
      <c r="A1439" s="125"/>
      <c r="B1439" s="125"/>
      <c r="C1439" s="125"/>
      <c r="D1439" s="125"/>
      <c r="E1439" s="126"/>
      <c r="F1439" s="126"/>
      <c r="G1439" s="125"/>
      <c r="H1439" s="125"/>
      <c r="I1439" s="99"/>
      <c r="K1439" s="84"/>
      <c r="L1439" s="84"/>
      <c r="M1439" s="84"/>
      <c r="N1439" s="84"/>
      <c r="O1439" s="84"/>
      <c r="P1439" s="84"/>
      <c r="Q1439" s="84"/>
      <c r="R1439" s="84"/>
    </row>
    <row r="1440" ht="15.75" customHeight="1">
      <c r="A1440" s="125"/>
      <c r="B1440" s="125"/>
      <c r="C1440" s="125"/>
      <c r="D1440" s="125"/>
      <c r="E1440" s="126"/>
      <c r="F1440" s="126"/>
      <c r="G1440" s="125"/>
      <c r="H1440" s="125"/>
      <c r="I1440" s="99"/>
      <c r="K1440" s="84"/>
      <c r="L1440" s="84"/>
      <c r="M1440" s="84"/>
      <c r="N1440" s="84"/>
      <c r="O1440" s="84"/>
      <c r="P1440" s="84"/>
      <c r="Q1440" s="84"/>
      <c r="R1440" s="84"/>
    </row>
    <row r="1441" ht="15.75" customHeight="1">
      <c r="A1441" s="125"/>
      <c r="B1441" s="125"/>
      <c r="C1441" s="125"/>
      <c r="D1441" s="125"/>
      <c r="E1441" s="126"/>
      <c r="F1441" s="126"/>
      <c r="G1441" s="125"/>
      <c r="H1441" s="125"/>
      <c r="I1441" s="99"/>
      <c r="K1441" s="84"/>
      <c r="L1441" s="84"/>
      <c r="M1441" s="84"/>
      <c r="N1441" s="84"/>
      <c r="O1441" s="84"/>
      <c r="P1441" s="84"/>
      <c r="Q1441" s="84"/>
      <c r="R1441" s="84"/>
    </row>
    <row r="1442" ht="15.75" customHeight="1">
      <c r="A1442" s="125"/>
      <c r="B1442" s="125"/>
      <c r="C1442" s="125"/>
      <c r="D1442" s="125"/>
      <c r="E1442" s="126"/>
      <c r="F1442" s="126"/>
      <c r="G1442" s="125"/>
      <c r="H1442" s="125"/>
      <c r="I1442" s="99"/>
      <c r="K1442" s="84"/>
      <c r="L1442" s="84"/>
      <c r="M1442" s="84"/>
      <c r="N1442" s="84"/>
      <c r="O1442" s="84"/>
      <c r="P1442" s="84"/>
      <c r="Q1442" s="84"/>
      <c r="R1442" s="84"/>
    </row>
    <row r="1443" ht="15.75" customHeight="1">
      <c r="A1443" s="125"/>
      <c r="B1443" s="125"/>
      <c r="C1443" s="125"/>
      <c r="D1443" s="125"/>
      <c r="E1443" s="126"/>
      <c r="F1443" s="126"/>
      <c r="G1443" s="125"/>
      <c r="H1443" s="125"/>
      <c r="I1443" s="99"/>
      <c r="K1443" s="84"/>
      <c r="L1443" s="84"/>
      <c r="M1443" s="84"/>
      <c r="N1443" s="84"/>
      <c r="O1443" s="84"/>
      <c r="P1443" s="84"/>
      <c r="Q1443" s="84"/>
      <c r="R1443" s="84"/>
    </row>
    <row r="1444" ht="15.75" customHeight="1">
      <c r="A1444" s="125"/>
      <c r="B1444" s="125"/>
      <c r="C1444" s="125"/>
      <c r="D1444" s="125"/>
      <c r="E1444" s="126"/>
      <c r="F1444" s="126"/>
      <c r="G1444" s="125"/>
      <c r="H1444" s="125"/>
      <c r="I1444" s="99"/>
      <c r="K1444" s="84"/>
      <c r="L1444" s="84"/>
      <c r="M1444" s="84"/>
      <c r="N1444" s="84"/>
      <c r="O1444" s="84"/>
      <c r="P1444" s="84"/>
      <c r="Q1444" s="84"/>
      <c r="R1444" s="84"/>
    </row>
    <row r="1445" ht="15.75" customHeight="1">
      <c r="A1445" s="125"/>
      <c r="B1445" s="125"/>
      <c r="C1445" s="125"/>
      <c r="D1445" s="125"/>
      <c r="E1445" s="126"/>
      <c r="F1445" s="126"/>
      <c r="G1445" s="125"/>
      <c r="H1445" s="125"/>
      <c r="I1445" s="99"/>
      <c r="K1445" s="84"/>
      <c r="L1445" s="84"/>
      <c r="M1445" s="84"/>
      <c r="N1445" s="84"/>
      <c r="O1445" s="84"/>
      <c r="P1445" s="84"/>
      <c r="Q1445" s="84"/>
      <c r="R1445" s="84"/>
    </row>
    <row r="1446" ht="15.75" customHeight="1">
      <c r="A1446" s="125"/>
      <c r="B1446" s="125"/>
      <c r="C1446" s="125"/>
      <c r="D1446" s="125"/>
      <c r="E1446" s="126"/>
      <c r="F1446" s="126"/>
      <c r="G1446" s="125"/>
      <c r="H1446" s="125"/>
      <c r="I1446" s="99"/>
      <c r="K1446" s="84"/>
      <c r="L1446" s="84"/>
      <c r="M1446" s="84"/>
      <c r="N1446" s="84"/>
      <c r="O1446" s="84"/>
      <c r="P1446" s="84"/>
      <c r="Q1446" s="84"/>
      <c r="R1446" s="84"/>
    </row>
    <row r="1447" ht="15.75" customHeight="1">
      <c r="A1447" s="125"/>
      <c r="B1447" s="125"/>
      <c r="C1447" s="125"/>
      <c r="D1447" s="125"/>
      <c r="E1447" s="126"/>
      <c r="F1447" s="126"/>
      <c r="G1447" s="125"/>
      <c r="H1447" s="125"/>
      <c r="I1447" s="99"/>
      <c r="K1447" s="84"/>
      <c r="L1447" s="84"/>
      <c r="M1447" s="84"/>
      <c r="N1447" s="84"/>
      <c r="O1447" s="84"/>
      <c r="P1447" s="84"/>
      <c r="Q1447" s="84"/>
      <c r="R1447" s="84"/>
    </row>
    <row r="1448" ht="15.75" customHeight="1">
      <c r="A1448" s="125"/>
      <c r="B1448" s="125"/>
      <c r="C1448" s="125"/>
      <c r="D1448" s="125"/>
      <c r="E1448" s="126"/>
      <c r="F1448" s="126"/>
      <c r="G1448" s="125"/>
      <c r="H1448" s="125"/>
      <c r="I1448" s="99"/>
      <c r="K1448" s="84"/>
      <c r="L1448" s="84"/>
      <c r="M1448" s="84"/>
      <c r="N1448" s="84"/>
      <c r="O1448" s="84"/>
      <c r="P1448" s="84"/>
      <c r="Q1448" s="84"/>
      <c r="R1448" s="84"/>
    </row>
    <row r="1449" ht="15.75" customHeight="1">
      <c r="A1449" s="125"/>
      <c r="B1449" s="125"/>
      <c r="C1449" s="125"/>
      <c r="D1449" s="125"/>
      <c r="E1449" s="126"/>
      <c r="F1449" s="126"/>
      <c r="G1449" s="125"/>
      <c r="H1449" s="125"/>
      <c r="I1449" s="99"/>
      <c r="K1449" s="84"/>
      <c r="L1449" s="84"/>
      <c r="M1449" s="84"/>
      <c r="N1449" s="84"/>
      <c r="O1449" s="84"/>
      <c r="P1449" s="84"/>
      <c r="Q1449" s="84"/>
      <c r="R1449" s="84"/>
    </row>
    <row r="1450" ht="15.75" customHeight="1">
      <c r="A1450" s="125"/>
      <c r="B1450" s="125"/>
      <c r="C1450" s="125"/>
      <c r="D1450" s="125"/>
      <c r="E1450" s="126"/>
      <c r="F1450" s="126"/>
      <c r="G1450" s="125"/>
      <c r="H1450" s="125"/>
      <c r="I1450" s="99"/>
      <c r="K1450" s="84"/>
      <c r="L1450" s="84"/>
      <c r="M1450" s="84"/>
      <c r="N1450" s="84"/>
      <c r="O1450" s="84"/>
      <c r="P1450" s="84"/>
      <c r="Q1450" s="84"/>
      <c r="R1450" s="84"/>
    </row>
    <row r="1451" ht="15.75" customHeight="1">
      <c r="A1451" s="125"/>
      <c r="B1451" s="125"/>
      <c r="C1451" s="125"/>
      <c r="D1451" s="125"/>
      <c r="E1451" s="126"/>
      <c r="F1451" s="126"/>
      <c r="G1451" s="125"/>
      <c r="H1451" s="125"/>
      <c r="I1451" s="99"/>
      <c r="K1451" s="84"/>
      <c r="L1451" s="84"/>
      <c r="M1451" s="84"/>
      <c r="N1451" s="84"/>
      <c r="O1451" s="84"/>
      <c r="P1451" s="84"/>
      <c r="Q1451" s="84"/>
      <c r="R1451" s="84"/>
    </row>
    <row r="1452" ht="15.75" customHeight="1">
      <c r="A1452" s="125"/>
      <c r="B1452" s="125"/>
      <c r="C1452" s="125"/>
      <c r="D1452" s="125"/>
      <c r="E1452" s="126"/>
      <c r="F1452" s="126"/>
      <c r="G1452" s="125"/>
      <c r="H1452" s="125"/>
      <c r="I1452" s="99"/>
      <c r="K1452" s="84"/>
      <c r="L1452" s="84"/>
      <c r="M1452" s="84"/>
      <c r="N1452" s="84"/>
      <c r="O1452" s="84"/>
      <c r="P1452" s="84"/>
      <c r="Q1452" s="84"/>
      <c r="R1452" s="84"/>
    </row>
    <row r="1453" ht="15.75" customHeight="1">
      <c r="A1453" s="125"/>
      <c r="B1453" s="125"/>
      <c r="C1453" s="125"/>
      <c r="D1453" s="125"/>
      <c r="E1453" s="126"/>
      <c r="F1453" s="126"/>
      <c r="G1453" s="125"/>
      <c r="H1453" s="125"/>
      <c r="I1453" s="99"/>
      <c r="K1453" s="84"/>
      <c r="L1453" s="84"/>
      <c r="M1453" s="84"/>
      <c r="N1453" s="84"/>
      <c r="O1453" s="84"/>
      <c r="P1453" s="84"/>
      <c r="Q1453" s="84"/>
      <c r="R1453" s="84"/>
    </row>
    <row r="1454" ht="15.75" customHeight="1">
      <c r="A1454" s="125"/>
      <c r="B1454" s="125"/>
      <c r="C1454" s="125"/>
      <c r="D1454" s="125"/>
      <c r="E1454" s="126"/>
      <c r="F1454" s="126"/>
      <c r="G1454" s="125"/>
      <c r="H1454" s="125"/>
      <c r="I1454" s="99"/>
      <c r="K1454" s="84"/>
      <c r="L1454" s="84"/>
      <c r="M1454" s="84"/>
      <c r="N1454" s="84"/>
      <c r="O1454" s="84"/>
      <c r="P1454" s="84"/>
      <c r="Q1454" s="84"/>
      <c r="R1454" s="84"/>
    </row>
    <row r="1455" ht="15.75" customHeight="1">
      <c r="A1455" s="125"/>
      <c r="B1455" s="125"/>
      <c r="C1455" s="125"/>
      <c r="D1455" s="125"/>
      <c r="E1455" s="126"/>
      <c r="F1455" s="126"/>
      <c r="G1455" s="125"/>
      <c r="H1455" s="125"/>
      <c r="I1455" s="99"/>
      <c r="K1455" s="84"/>
      <c r="L1455" s="84"/>
      <c r="M1455" s="84"/>
      <c r="N1455" s="84"/>
      <c r="O1455" s="84"/>
      <c r="P1455" s="84"/>
      <c r="Q1455" s="84"/>
      <c r="R1455" s="84"/>
    </row>
    <row r="1456" ht="15.75" customHeight="1">
      <c r="A1456" s="125"/>
      <c r="B1456" s="125"/>
      <c r="C1456" s="125"/>
      <c r="D1456" s="125"/>
      <c r="E1456" s="126"/>
      <c r="F1456" s="126"/>
      <c r="G1456" s="125"/>
      <c r="H1456" s="125"/>
      <c r="I1456" s="99"/>
      <c r="K1456" s="84"/>
      <c r="L1456" s="84"/>
      <c r="M1456" s="84"/>
      <c r="N1456" s="84"/>
      <c r="O1456" s="84"/>
      <c r="P1456" s="84"/>
      <c r="Q1456" s="84"/>
      <c r="R1456" s="84"/>
    </row>
    <row r="1457" ht="15.75" customHeight="1">
      <c r="A1457" s="125"/>
      <c r="B1457" s="125"/>
      <c r="C1457" s="125"/>
      <c r="D1457" s="125"/>
      <c r="E1457" s="126"/>
      <c r="F1457" s="126"/>
      <c r="G1457" s="125"/>
      <c r="H1457" s="125"/>
      <c r="I1457" s="99"/>
      <c r="K1457" s="84"/>
      <c r="L1457" s="84"/>
      <c r="M1457" s="84"/>
      <c r="N1457" s="84"/>
      <c r="O1457" s="84"/>
      <c r="P1457" s="84"/>
      <c r="Q1457" s="84"/>
      <c r="R1457" s="84"/>
    </row>
    <row r="1458" ht="15.75" customHeight="1">
      <c r="A1458" s="125"/>
      <c r="B1458" s="125"/>
      <c r="C1458" s="125"/>
      <c r="D1458" s="125"/>
      <c r="E1458" s="126"/>
      <c r="F1458" s="126"/>
      <c r="G1458" s="125"/>
      <c r="H1458" s="125"/>
      <c r="I1458" s="99"/>
      <c r="K1458" s="84"/>
      <c r="L1458" s="84"/>
      <c r="M1458" s="84"/>
      <c r="N1458" s="84"/>
      <c r="O1458" s="84"/>
      <c r="P1458" s="84"/>
      <c r="Q1458" s="84"/>
      <c r="R1458" s="84"/>
    </row>
    <row r="1459" ht="15.75" customHeight="1">
      <c r="A1459" s="125"/>
      <c r="B1459" s="125"/>
      <c r="C1459" s="125"/>
      <c r="D1459" s="125"/>
      <c r="E1459" s="126"/>
      <c r="F1459" s="126"/>
      <c r="G1459" s="125"/>
      <c r="H1459" s="125"/>
      <c r="I1459" s="99"/>
      <c r="K1459" s="84"/>
      <c r="L1459" s="84"/>
      <c r="M1459" s="84"/>
      <c r="N1459" s="84"/>
      <c r="O1459" s="84"/>
      <c r="P1459" s="84"/>
      <c r="Q1459" s="84"/>
      <c r="R1459" s="84"/>
    </row>
    <row r="1460" ht="15.75" customHeight="1">
      <c r="A1460" s="125"/>
      <c r="B1460" s="125"/>
      <c r="C1460" s="125"/>
      <c r="D1460" s="125"/>
      <c r="E1460" s="126"/>
      <c r="F1460" s="126"/>
      <c r="G1460" s="125"/>
      <c r="H1460" s="125"/>
      <c r="I1460" s="99"/>
      <c r="K1460" s="84"/>
      <c r="L1460" s="84"/>
      <c r="M1460" s="84"/>
      <c r="N1460" s="84"/>
      <c r="O1460" s="84"/>
      <c r="P1460" s="84"/>
      <c r="Q1460" s="84"/>
      <c r="R1460" s="84"/>
    </row>
    <row r="1461" ht="15.75" customHeight="1">
      <c r="A1461" s="125"/>
      <c r="B1461" s="125"/>
      <c r="C1461" s="125"/>
      <c r="D1461" s="125"/>
      <c r="E1461" s="126"/>
      <c r="F1461" s="126"/>
      <c r="G1461" s="125"/>
      <c r="H1461" s="125"/>
      <c r="I1461" s="99"/>
      <c r="K1461" s="84"/>
      <c r="L1461" s="84"/>
      <c r="M1461" s="84"/>
      <c r="N1461" s="84"/>
      <c r="O1461" s="84"/>
      <c r="P1461" s="84"/>
      <c r="Q1461" s="84"/>
      <c r="R1461" s="84"/>
    </row>
    <row r="1462" ht="15.75" customHeight="1">
      <c r="A1462" s="125"/>
      <c r="B1462" s="125"/>
      <c r="C1462" s="125"/>
      <c r="D1462" s="125"/>
      <c r="E1462" s="126"/>
      <c r="F1462" s="126"/>
      <c r="G1462" s="125"/>
      <c r="H1462" s="125"/>
      <c r="I1462" s="99"/>
      <c r="K1462" s="84"/>
      <c r="L1462" s="84"/>
      <c r="M1462" s="84"/>
      <c r="N1462" s="84"/>
      <c r="O1462" s="84"/>
      <c r="P1462" s="84"/>
      <c r="Q1462" s="84"/>
      <c r="R1462" s="84"/>
    </row>
    <row r="1463" ht="15.75" customHeight="1">
      <c r="A1463" s="125"/>
      <c r="B1463" s="125"/>
      <c r="C1463" s="125"/>
      <c r="D1463" s="125"/>
      <c r="E1463" s="126"/>
      <c r="F1463" s="126"/>
      <c r="G1463" s="125"/>
      <c r="H1463" s="125"/>
      <c r="I1463" s="99"/>
      <c r="K1463" s="84"/>
      <c r="L1463" s="84"/>
      <c r="M1463" s="84"/>
      <c r="N1463" s="84"/>
      <c r="O1463" s="84"/>
      <c r="P1463" s="84"/>
      <c r="Q1463" s="84"/>
      <c r="R1463" s="84"/>
    </row>
    <row r="1464" ht="15.75" customHeight="1">
      <c r="A1464" s="125"/>
      <c r="B1464" s="125"/>
      <c r="C1464" s="125"/>
      <c r="D1464" s="125"/>
      <c r="E1464" s="126"/>
      <c r="F1464" s="126"/>
      <c r="G1464" s="125"/>
      <c r="H1464" s="125"/>
      <c r="I1464" s="99"/>
      <c r="K1464" s="84"/>
      <c r="L1464" s="84"/>
      <c r="M1464" s="84"/>
      <c r="N1464" s="84"/>
      <c r="O1464" s="84"/>
      <c r="P1464" s="84"/>
      <c r="Q1464" s="84"/>
      <c r="R1464" s="84"/>
    </row>
    <row r="1465" ht="15.75" customHeight="1">
      <c r="A1465" s="125"/>
      <c r="B1465" s="125"/>
      <c r="C1465" s="125"/>
      <c r="D1465" s="125"/>
      <c r="E1465" s="126"/>
      <c r="F1465" s="126"/>
      <c r="G1465" s="125"/>
      <c r="H1465" s="125"/>
      <c r="I1465" s="99"/>
      <c r="K1465" s="84"/>
      <c r="L1465" s="84"/>
      <c r="M1465" s="84"/>
      <c r="N1465" s="84"/>
      <c r="O1465" s="84"/>
      <c r="P1465" s="84"/>
      <c r="Q1465" s="84"/>
      <c r="R1465" s="84"/>
    </row>
    <row r="1466" ht="15.75" customHeight="1">
      <c r="A1466" s="125"/>
      <c r="B1466" s="125"/>
      <c r="C1466" s="125"/>
      <c r="D1466" s="125"/>
      <c r="E1466" s="126"/>
      <c r="F1466" s="126"/>
      <c r="G1466" s="125"/>
      <c r="H1466" s="125"/>
      <c r="I1466" s="99"/>
      <c r="K1466" s="84"/>
      <c r="L1466" s="84"/>
      <c r="M1466" s="84"/>
      <c r="N1466" s="84"/>
      <c r="O1466" s="84"/>
      <c r="P1466" s="84"/>
      <c r="Q1466" s="84"/>
      <c r="R1466" s="84"/>
    </row>
    <row r="1467" ht="15.75" customHeight="1">
      <c r="A1467" s="125"/>
      <c r="B1467" s="125"/>
      <c r="C1467" s="125"/>
      <c r="D1467" s="125"/>
      <c r="E1467" s="126"/>
      <c r="F1467" s="126"/>
      <c r="G1467" s="125"/>
      <c r="H1467" s="125"/>
      <c r="I1467" s="99"/>
      <c r="K1467" s="84"/>
      <c r="L1467" s="84"/>
      <c r="M1467" s="84"/>
      <c r="N1467" s="84"/>
      <c r="O1467" s="84"/>
      <c r="P1467" s="84"/>
      <c r="Q1467" s="84"/>
      <c r="R1467" s="84"/>
    </row>
    <row r="1468" ht="15.75" customHeight="1">
      <c r="A1468" s="125"/>
      <c r="B1468" s="125"/>
      <c r="C1468" s="125"/>
      <c r="D1468" s="125"/>
      <c r="E1468" s="126"/>
      <c r="F1468" s="126"/>
      <c r="G1468" s="125"/>
      <c r="H1468" s="125"/>
      <c r="I1468" s="99"/>
      <c r="K1468" s="84"/>
      <c r="L1468" s="84"/>
      <c r="M1468" s="84"/>
      <c r="N1468" s="84"/>
      <c r="O1468" s="84"/>
      <c r="P1468" s="84"/>
      <c r="Q1468" s="84"/>
      <c r="R1468" s="84"/>
    </row>
    <row r="1469" ht="15.75" customHeight="1">
      <c r="A1469" s="125"/>
      <c r="B1469" s="125"/>
      <c r="C1469" s="125"/>
      <c r="D1469" s="125"/>
      <c r="E1469" s="126"/>
      <c r="F1469" s="126"/>
      <c r="G1469" s="125"/>
      <c r="H1469" s="125"/>
      <c r="I1469" s="99"/>
      <c r="K1469" s="84"/>
      <c r="L1469" s="84"/>
      <c r="M1469" s="84"/>
      <c r="N1469" s="84"/>
      <c r="O1469" s="84"/>
      <c r="P1469" s="84"/>
      <c r="Q1469" s="84"/>
      <c r="R1469" s="84"/>
    </row>
    <row r="1470" ht="15.75" customHeight="1">
      <c r="A1470" s="125"/>
      <c r="B1470" s="125"/>
      <c r="C1470" s="125"/>
      <c r="D1470" s="125"/>
      <c r="E1470" s="126"/>
      <c r="F1470" s="126"/>
      <c r="G1470" s="125"/>
      <c r="H1470" s="125"/>
      <c r="I1470" s="99"/>
      <c r="K1470" s="84"/>
      <c r="L1470" s="84"/>
      <c r="M1470" s="84"/>
      <c r="N1470" s="84"/>
      <c r="O1470" s="84"/>
      <c r="P1470" s="84"/>
      <c r="Q1470" s="84"/>
      <c r="R1470" s="84"/>
    </row>
    <row r="1471" ht="15.75" customHeight="1">
      <c r="A1471" s="125"/>
      <c r="B1471" s="125"/>
      <c r="C1471" s="125"/>
      <c r="D1471" s="125"/>
      <c r="E1471" s="126"/>
      <c r="F1471" s="126"/>
      <c r="G1471" s="125"/>
      <c r="H1471" s="125"/>
      <c r="I1471" s="99"/>
      <c r="K1471" s="84"/>
      <c r="L1471" s="84"/>
      <c r="M1471" s="84"/>
      <c r="N1471" s="84"/>
      <c r="O1471" s="84"/>
      <c r="P1471" s="84"/>
      <c r="Q1471" s="84"/>
      <c r="R1471" s="84"/>
    </row>
    <row r="1472" ht="15.75" customHeight="1">
      <c r="A1472" s="125"/>
      <c r="B1472" s="125"/>
      <c r="C1472" s="125"/>
      <c r="D1472" s="125"/>
      <c r="E1472" s="126"/>
      <c r="F1472" s="126"/>
      <c r="G1472" s="125"/>
      <c r="H1472" s="125"/>
      <c r="I1472" s="99"/>
      <c r="K1472" s="84"/>
      <c r="L1472" s="84"/>
      <c r="M1472" s="84"/>
      <c r="N1472" s="84"/>
      <c r="O1472" s="84"/>
      <c r="P1472" s="84"/>
      <c r="Q1472" s="84"/>
      <c r="R1472" s="84"/>
    </row>
    <row r="1473" ht="15.75" customHeight="1">
      <c r="A1473" s="125"/>
      <c r="B1473" s="125"/>
      <c r="C1473" s="125"/>
      <c r="D1473" s="125"/>
      <c r="E1473" s="126"/>
      <c r="F1473" s="126"/>
      <c r="G1473" s="125"/>
      <c r="H1473" s="125"/>
      <c r="I1473" s="99"/>
      <c r="K1473" s="84"/>
      <c r="L1473" s="84"/>
      <c r="M1473" s="84"/>
      <c r="N1473" s="84"/>
      <c r="O1473" s="84"/>
      <c r="P1473" s="84"/>
      <c r="Q1473" s="84"/>
      <c r="R1473" s="84"/>
    </row>
    <row r="1474" ht="15.75" customHeight="1">
      <c r="A1474" s="125"/>
      <c r="B1474" s="125"/>
      <c r="C1474" s="125"/>
      <c r="D1474" s="125"/>
      <c r="E1474" s="126"/>
      <c r="F1474" s="126"/>
      <c r="G1474" s="125"/>
      <c r="H1474" s="125"/>
      <c r="I1474" s="99"/>
      <c r="K1474" s="84"/>
      <c r="L1474" s="84"/>
      <c r="M1474" s="84"/>
      <c r="N1474" s="84"/>
      <c r="O1474" s="84"/>
      <c r="P1474" s="84"/>
      <c r="Q1474" s="84"/>
      <c r="R1474" s="84"/>
    </row>
    <row r="1475" ht="15.75" customHeight="1">
      <c r="A1475" s="125"/>
      <c r="B1475" s="125"/>
      <c r="C1475" s="125"/>
      <c r="D1475" s="125"/>
      <c r="E1475" s="126"/>
      <c r="F1475" s="126"/>
      <c r="G1475" s="125"/>
      <c r="H1475" s="125"/>
      <c r="I1475" s="99"/>
      <c r="K1475" s="84"/>
      <c r="L1475" s="84"/>
      <c r="M1475" s="84"/>
      <c r="N1475" s="84"/>
      <c r="O1475" s="84"/>
      <c r="P1475" s="84"/>
      <c r="Q1475" s="84"/>
      <c r="R1475" s="84"/>
    </row>
    <row r="1476" ht="15.75" customHeight="1">
      <c r="A1476" s="125"/>
      <c r="B1476" s="125"/>
      <c r="C1476" s="125"/>
      <c r="D1476" s="125"/>
      <c r="E1476" s="126"/>
      <c r="F1476" s="126"/>
      <c r="G1476" s="125"/>
      <c r="H1476" s="125"/>
      <c r="I1476" s="99"/>
      <c r="K1476" s="84"/>
      <c r="L1476" s="84"/>
      <c r="M1476" s="84"/>
      <c r="N1476" s="84"/>
      <c r="O1476" s="84"/>
      <c r="P1476" s="84"/>
      <c r="Q1476" s="84"/>
      <c r="R1476" s="84"/>
    </row>
    <row r="1477" ht="15.75" customHeight="1">
      <c r="A1477" s="125"/>
      <c r="B1477" s="125"/>
      <c r="C1477" s="125"/>
      <c r="D1477" s="125"/>
      <c r="E1477" s="126"/>
      <c r="F1477" s="126"/>
      <c r="G1477" s="125"/>
      <c r="H1477" s="125"/>
      <c r="I1477" s="99"/>
      <c r="K1477" s="84"/>
      <c r="L1477" s="84"/>
      <c r="M1477" s="84"/>
      <c r="N1477" s="84"/>
      <c r="O1477" s="84"/>
      <c r="P1477" s="84"/>
      <c r="Q1477" s="84"/>
      <c r="R1477" s="84"/>
    </row>
    <row r="1478" ht="15.75" customHeight="1">
      <c r="A1478" s="125"/>
      <c r="B1478" s="125"/>
      <c r="C1478" s="125"/>
      <c r="D1478" s="125"/>
      <c r="E1478" s="126"/>
      <c r="F1478" s="126"/>
      <c r="G1478" s="125"/>
      <c r="H1478" s="125"/>
      <c r="I1478" s="99"/>
      <c r="K1478" s="84"/>
      <c r="L1478" s="84"/>
      <c r="M1478" s="84"/>
      <c r="N1478" s="84"/>
      <c r="O1478" s="84"/>
      <c r="P1478" s="84"/>
      <c r="Q1478" s="84"/>
      <c r="R1478" s="84"/>
    </row>
    <row r="1479" ht="15.75" customHeight="1">
      <c r="A1479" s="125"/>
      <c r="B1479" s="125"/>
      <c r="C1479" s="125"/>
      <c r="D1479" s="125"/>
      <c r="E1479" s="126"/>
      <c r="F1479" s="126"/>
      <c r="G1479" s="125"/>
      <c r="H1479" s="125"/>
      <c r="I1479" s="99"/>
      <c r="K1479" s="84"/>
      <c r="L1479" s="84"/>
      <c r="M1479" s="84"/>
      <c r="N1479" s="84"/>
      <c r="O1479" s="84"/>
      <c r="P1479" s="84"/>
      <c r="Q1479" s="84"/>
      <c r="R1479" s="84"/>
    </row>
    <row r="1480" ht="15.75" customHeight="1">
      <c r="A1480" s="125"/>
      <c r="B1480" s="125"/>
      <c r="C1480" s="125"/>
      <c r="D1480" s="125"/>
      <c r="E1480" s="126"/>
      <c r="F1480" s="126"/>
      <c r="G1480" s="125"/>
      <c r="H1480" s="125"/>
      <c r="I1480" s="99"/>
      <c r="K1480" s="84"/>
      <c r="L1480" s="84"/>
      <c r="M1480" s="84"/>
      <c r="N1480" s="84"/>
      <c r="O1480" s="84"/>
      <c r="P1480" s="84"/>
      <c r="Q1480" s="84"/>
      <c r="R1480" s="84"/>
    </row>
    <row r="1481" ht="15.75" customHeight="1">
      <c r="A1481" s="125"/>
      <c r="B1481" s="125"/>
      <c r="C1481" s="125"/>
      <c r="D1481" s="125"/>
      <c r="E1481" s="126"/>
      <c r="F1481" s="126"/>
      <c r="G1481" s="125"/>
      <c r="H1481" s="125"/>
      <c r="I1481" s="99"/>
      <c r="K1481" s="84"/>
      <c r="L1481" s="84"/>
      <c r="M1481" s="84"/>
      <c r="N1481" s="84"/>
      <c r="O1481" s="84"/>
      <c r="P1481" s="84"/>
      <c r="Q1481" s="84"/>
      <c r="R1481" s="84"/>
    </row>
    <row r="1482" ht="15.75" customHeight="1">
      <c r="A1482" s="125"/>
      <c r="B1482" s="125"/>
      <c r="C1482" s="125"/>
      <c r="D1482" s="125"/>
      <c r="E1482" s="126"/>
      <c r="F1482" s="126"/>
      <c r="G1482" s="125"/>
      <c r="H1482" s="125"/>
      <c r="I1482" s="99"/>
      <c r="K1482" s="84"/>
      <c r="L1482" s="84"/>
      <c r="M1482" s="84"/>
      <c r="N1482" s="84"/>
      <c r="O1482" s="84"/>
      <c r="P1482" s="84"/>
      <c r="Q1482" s="84"/>
      <c r="R1482" s="84"/>
    </row>
    <row r="1483" ht="15.75" customHeight="1">
      <c r="A1483" s="125"/>
      <c r="B1483" s="125"/>
      <c r="C1483" s="125"/>
      <c r="D1483" s="125"/>
      <c r="E1483" s="126"/>
      <c r="F1483" s="126"/>
      <c r="G1483" s="125"/>
      <c r="H1483" s="125"/>
      <c r="I1483" s="99"/>
      <c r="K1483" s="84"/>
      <c r="L1483" s="84"/>
      <c r="M1483" s="84"/>
      <c r="N1483" s="84"/>
      <c r="O1483" s="84"/>
      <c r="P1483" s="84"/>
      <c r="Q1483" s="84"/>
      <c r="R1483" s="84"/>
    </row>
    <row r="1484" ht="15.75" customHeight="1">
      <c r="A1484" s="125"/>
      <c r="B1484" s="125"/>
      <c r="C1484" s="125"/>
      <c r="D1484" s="125"/>
      <c r="E1484" s="126"/>
      <c r="F1484" s="126"/>
      <c r="G1484" s="125"/>
      <c r="H1484" s="125"/>
      <c r="I1484" s="99"/>
      <c r="K1484" s="84"/>
      <c r="L1484" s="84"/>
      <c r="M1484" s="84"/>
      <c r="N1484" s="84"/>
      <c r="O1484" s="84"/>
      <c r="P1484" s="84"/>
      <c r="Q1484" s="84"/>
      <c r="R1484" s="84"/>
    </row>
    <row r="1485" ht="15.75" customHeight="1">
      <c r="A1485" s="125"/>
      <c r="B1485" s="125"/>
      <c r="C1485" s="125"/>
      <c r="D1485" s="125"/>
      <c r="E1485" s="126"/>
      <c r="F1485" s="126"/>
      <c r="G1485" s="125"/>
      <c r="H1485" s="125"/>
      <c r="I1485" s="99"/>
      <c r="K1485" s="84"/>
      <c r="L1485" s="84"/>
      <c r="M1485" s="84"/>
      <c r="N1485" s="84"/>
      <c r="O1485" s="84"/>
      <c r="P1485" s="84"/>
      <c r="Q1485" s="84"/>
      <c r="R1485" s="84"/>
    </row>
    <row r="1486" ht="15.75" customHeight="1">
      <c r="A1486" s="125"/>
      <c r="B1486" s="125"/>
      <c r="C1486" s="125"/>
      <c r="D1486" s="125"/>
      <c r="E1486" s="126"/>
      <c r="F1486" s="126"/>
      <c r="G1486" s="125"/>
      <c r="H1486" s="125"/>
      <c r="I1486" s="99"/>
      <c r="K1486" s="84"/>
      <c r="L1486" s="84"/>
      <c r="M1486" s="84"/>
      <c r="N1486" s="84"/>
      <c r="O1486" s="84"/>
      <c r="P1486" s="84"/>
      <c r="Q1486" s="84"/>
      <c r="R1486" s="84"/>
    </row>
    <row r="1487" ht="15.75" customHeight="1">
      <c r="A1487" s="125"/>
      <c r="B1487" s="125"/>
      <c r="C1487" s="125"/>
      <c r="D1487" s="125"/>
      <c r="E1487" s="126"/>
      <c r="F1487" s="126"/>
      <c r="G1487" s="125"/>
      <c r="H1487" s="125"/>
      <c r="I1487" s="99"/>
      <c r="K1487" s="84"/>
      <c r="L1487" s="84"/>
      <c r="M1487" s="84"/>
      <c r="N1487" s="84"/>
      <c r="O1487" s="84"/>
      <c r="P1487" s="84"/>
      <c r="Q1487" s="84"/>
      <c r="R1487" s="84"/>
    </row>
    <row r="1488" ht="15.75" customHeight="1">
      <c r="A1488" s="125"/>
      <c r="B1488" s="125"/>
      <c r="C1488" s="125"/>
      <c r="D1488" s="125"/>
      <c r="E1488" s="126"/>
      <c r="F1488" s="126"/>
      <c r="G1488" s="125"/>
      <c r="H1488" s="125"/>
      <c r="I1488" s="99"/>
      <c r="K1488" s="84"/>
      <c r="L1488" s="84"/>
      <c r="M1488" s="84"/>
      <c r="N1488" s="84"/>
      <c r="O1488" s="84"/>
      <c r="P1488" s="84"/>
      <c r="Q1488" s="84"/>
      <c r="R1488" s="84"/>
    </row>
    <row r="1489" ht="15.75" customHeight="1">
      <c r="A1489" s="125"/>
      <c r="B1489" s="125"/>
      <c r="C1489" s="125"/>
      <c r="D1489" s="125"/>
      <c r="E1489" s="126"/>
      <c r="F1489" s="126"/>
      <c r="G1489" s="125"/>
      <c r="H1489" s="125"/>
      <c r="I1489" s="99"/>
      <c r="K1489" s="84"/>
      <c r="L1489" s="84"/>
      <c r="M1489" s="84"/>
      <c r="N1489" s="84"/>
      <c r="O1489" s="84"/>
      <c r="P1489" s="84"/>
      <c r="Q1489" s="84"/>
      <c r="R1489" s="84"/>
    </row>
    <row r="1490" ht="15.75" customHeight="1">
      <c r="A1490" s="125"/>
      <c r="B1490" s="125"/>
      <c r="C1490" s="125"/>
      <c r="D1490" s="125"/>
      <c r="E1490" s="126"/>
      <c r="F1490" s="126"/>
      <c r="G1490" s="125"/>
      <c r="H1490" s="125"/>
      <c r="I1490" s="99"/>
      <c r="K1490" s="84"/>
      <c r="L1490" s="84"/>
      <c r="M1490" s="84"/>
      <c r="N1490" s="84"/>
      <c r="O1490" s="84"/>
      <c r="P1490" s="84"/>
      <c r="Q1490" s="84"/>
      <c r="R1490" s="84"/>
    </row>
    <row r="1491" ht="15.75" customHeight="1">
      <c r="A1491" s="125"/>
      <c r="B1491" s="125"/>
      <c r="C1491" s="125"/>
      <c r="D1491" s="125"/>
      <c r="E1491" s="126"/>
      <c r="F1491" s="126"/>
      <c r="G1491" s="125"/>
      <c r="H1491" s="125"/>
      <c r="I1491" s="99"/>
      <c r="K1491" s="84"/>
      <c r="L1491" s="84"/>
      <c r="M1491" s="84"/>
      <c r="N1491" s="84"/>
      <c r="O1491" s="84"/>
      <c r="P1491" s="84"/>
      <c r="Q1491" s="84"/>
      <c r="R1491" s="84"/>
    </row>
    <row r="1492" ht="15.75" customHeight="1">
      <c r="A1492" s="125"/>
      <c r="B1492" s="125"/>
      <c r="C1492" s="125"/>
      <c r="D1492" s="125"/>
      <c r="E1492" s="126"/>
      <c r="F1492" s="126"/>
      <c r="G1492" s="125"/>
      <c r="H1492" s="125"/>
      <c r="I1492" s="99"/>
      <c r="K1492" s="84"/>
      <c r="L1492" s="84"/>
      <c r="M1492" s="84"/>
      <c r="N1492" s="84"/>
      <c r="O1492" s="84"/>
      <c r="P1492" s="84"/>
      <c r="Q1492" s="84"/>
      <c r="R1492" s="84"/>
    </row>
    <row r="1493" ht="15.75" customHeight="1">
      <c r="A1493" s="125"/>
      <c r="B1493" s="125"/>
      <c r="C1493" s="125"/>
      <c r="D1493" s="125"/>
      <c r="E1493" s="126"/>
      <c r="F1493" s="126"/>
      <c r="G1493" s="125"/>
      <c r="H1493" s="125"/>
      <c r="I1493" s="99"/>
      <c r="K1493" s="84"/>
      <c r="L1493" s="84"/>
      <c r="M1493" s="84"/>
      <c r="N1493" s="84"/>
      <c r="O1493" s="84"/>
      <c r="P1493" s="84"/>
      <c r="Q1493" s="84"/>
      <c r="R1493" s="84"/>
    </row>
    <row r="1494" ht="15.75" customHeight="1">
      <c r="A1494" s="125"/>
      <c r="B1494" s="125"/>
      <c r="C1494" s="125"/>
      <c r="D1494" s="125"/>
      <c r="E1494" s="126"/>
      <c r="F1494" s="126"/>
      <c r="G1494" s="125"/>
      <c r="H1494" s="125"/>
      <c r="I1494" s="99"/>
      <c r="K1494" s="84"/>
      <c r="L1494" s="84"/>
      <c r="M1494" s="84"/>
      <c r="N1494" s="84"/>
      <c r="O1494" s="84"/>
      <c r="P1494" s="84"/>
      <c r="Q1494" s="84"/>
      <c r="R1494" s="84"/>
    </row>
    <row r="1495" ht="15.75" customHeight="1">
      <c r="A1495" s="125"/>
      <c r="B1495" s="125"/>
      <c r="C1495" s="125"/>
      <c r="D1495" s="125"/>
      <c r="E1495" s="126"/>
      <c r="F1495" s="126"/>
      <c r="G1495" s="125"/>
      <c r="H1495" s="125"/>
      <c r="I1495" s="99"/>
      <c r="K1495" s="84"/>
      <c r="L1495" s="84"/>
      <c r="M1495" s="84"/>
      <c r="N1495" s="84"/>
      <c r="O1495" s="84"/>
      <c r="P1495" s="84"/>
      <c r="Q1495" s="84"/>
      <c r="R1495" s="84"/>
    </row>
    <row r="1496" ht="15.75" customHeight="1">
      <c r="A1496" s="125"/>
      <c r="B1496" s="125"/>
      <c r="C1496" s="125"/>
      <c r="D1496" s="125"/>
      <c r="E1496" s="126"/>
      <c r="F1496" s="126"/>
      <c r="G1496" s="125"/>
      <c r="H1496" s="125"/>
      <c r="I1496" s="99"/>
      <c r="K1496" s="84"/>
      <c r="L1496" s="84"/>
      <c r="M1496" s="84"/>
      <c r="N1496" s="84"/>
      <c r="O1496" s="84"/>
      <c r="P1496" s="84"/>
      <c r="Q1496" s="84"/>
      <c r="R1496" s="84"/>
    </row>
    <row r="1497" ht="15.75" customHeight="1">
      <c r="A1497" s="125"/>
      <c r="B1497" s="125"/>
      <c r="C1497" s="125"/>
      <c r="D1497" s="125"/>
      <c r="E1497" s="126"/>
      <c r="F1497" s="126"/>
      <c r="G1497" s="125"/>
      <c r="H1497" s="125"/>
      <c r="I1497" s="99"/>
      <c r="K1497" s="84"/>
      <c r="L1497" s="84"/>
      <c r="M1497" s="84"/>
      <c r="N1497" s="84"/>
      <c r="O1497" s="84"/>
      <c r="P1497" s="84"/>
      <c r="Q1497" s="84"/>
      <c r="R1497" s="84"/>
    </row>
    <row r="1498" ht="15.75" customHeight="1">
      <c r="A1498" s="125"/>
      <c r="B1498" s="125"/>
      <c r="C1498" s="125"/>
      <c r="D1498" s="125"/>
      <c r="E1498" s="126"/>
      <c r="F1498" s="126"/>
      <c r="G1498" s="125"/>
      <c r="H1498" s="125"/>
      <c r="I1498" s="99"/>
      <c r="K1498" s="84"/>
      <c r="L1498" s="84"/>
      <c r="M1498" s="84"/>
      <c r="N1498" s="84"/>
      <c r="O1498" s="84"/>
      <c r="P1498" s="84"/>
      <c r="Q1498" s="84"/>
      <c r="R1498" s="84"/>
    </row>
    <row r="1499" ht="15.75" customHeight="1">
      <c r="A1499" s="125"/>
      <c r="B1499" s="125"/>
      <c r="C1499" s="125"/>
      <c r="D1499" s="125"/>
      <c r="E1499" s="126"/>
      <c r="F1499" s="126"/>
      <c r="G1499" s="125"/>
      <c r="H1499" s="125"/>
      <c r="I1499" s="99"/>
      <c r="K1499" s="84"/>
      <c r="L1499" s="84"/>
      <c r="M1499" s="84"/>
      <c r="N1499" s="84"/>
      <c r="O1499" s="84"/>
      <c r="P1499" s="84"/>
      <c r="Q1499" s="84"/>
      <c r="R1499" s="84"/>
    </row>
    <row r="1500" ht="15.75" customHeight="1">
      <c r="A1500" s="125"/>
      <c r="B1500" s="125"/>
      <c r="C1500" s="125"/>
      <c r="D1500" s="125"/>
      <c r="E1500" s="126"/>
      <c r="F1500" s="126"/>
      <c r="G1500" s="125"/>
      <c r="H1500" s="125"/>
      <c r="I1500" s="99"/>
      <c r="K1500" s="84"/>
      <c r="L1500" s="84"/>
      <c r="M1500" s="84"/>
      <c r="N1500" s="84"/>
      <c r="O1500" s="84"/>
      <c r="P1500" s="84"/>
      <c r="Q1500" s="84"/>
      <c r="R1500" s="84"/>
    </row>
    <row r="1501" ht="15.75" customHeight="1">
      <c r="A1501" s="125"/>
      <c r="B1501" s="125"/>
      <c r="C1501" s="125"/>
      <c r="D1501" s="125"/>
      <c r="E1501" s="126"/>
      <c r="F1501" s="126"/>
      <c r="G1501" s="125"/>
      <c r="H1501" s="125"/>
      <c r="I1501" s="99"/>
      <c r="K1501" s="84"/>
      <c r="L1501" s="84"/>
      <c r="M1501" s="84"/>
      <c r="N1501" s="84"/>
      <c r="O1501" s="84"/>
      <c r="P1501" s="84"/>
      <c r="Q1501" s="84"/>
      <c r="R1501" s="84"/>
    </row>
    <row r="1502" ht="15.75" customHeight="1">
      <c r="A1502" s="125"/>
      <c r="B1502" s="125"/>
      <c r="C1502" s="125"/>
      <c r="D1502" s="125"/>
      <c r="E1502" s="126"/>
      <c r="F1502" s="126"/>
      <c r="G1502" s="125"/>
      <c r="H1502" s="125"/>
      <c r="I1502" s="99"/>
      <c r="K1502" s="84"/>
      <c r="L1502" s="84"/>
      <c r="M1502" s="84"/>
      <c r="N1502" s="84"/>
      <c r="O1502" s="84"/>
      <c r="P1502" s="84"/>
      <c r="Q1502" s="84"/>
      <c r="R1502" s="84"/>
    </row>
    <row r="1503" ht="15.75" customHeight="1">
      <c r="A1503" s="125"/>
      <c r="B1503" s="125"/>
      <c r="C1503" s="125"/>
      <c r="D1503" s="125"/>
      <c r="E1503" s="126"/>
      <c r="F1503" s="126"/>
      <c r="G1503" s="125"/>
      <c r="H1503" s="125"/>
      <c r="I1503" s="99"/>
      <c r="K1503" s="84"/>
      <c r="L1503" s="84"/>
      <c r="M1503" s="84"/>
      <c r="N1503" s="84"/>
      <c r="O1503" s="84"/>
      <c r="P1503" s="84"/>
      <c r="Q1503" s="84"/>
      <c r="R1503" s="84"/>
    </row>
    <row r="1504" ht="15.75" customHeight="1">
      <c r="A1504" s="125"/>
      <c r="B1504" s="125"/>
      <c r="C1504" s="125"/>
      <c r="D1504" s="125"/>
      <c r="E1504" s="126"/>
      <c r="F1504" s="126"/>
      <c r="G1504" s="125"/>
      <c r="H1504" s="125"/>
      <c r="I1504" s="99"/>
      <c r="K1504" s="84"/>
      <c r="L1504" s="84"/>
      <c r="M1504" s="84"/>
      <c r="N1504" s="84"/>
      <c r="O1504" s="84"/>
      <c r="P1504" s="84"/>
      <c r="Q1504" s="84"/>
      <c r="R1504" s="84"/>
    </row>
    <row r="1505" ht="15.75" customHeight="1">
      <c r="A1505" s="125"/>
      <c r="B1505" s="125"/>
      <c r="C1505" s="125"/>
      <c r="D1505" s="125"/>
      <c r="E1505" s="126"/>
      <c r="F1505" s="126"/>
      <c r="G1505" s="125"/>
      <c r="H1505" s="125"/>
      <c r="I1505" s="99"/>
      <c r="K1505" s="84"/>
      <c r="L1505" s="84"/>
      <c r="M1505" s="84"/>
      <c r="N1505" s="84"/>
      <c r="O1505" s="84"/>
      <c r="P1505" s="84"/>
      <c r="Q1505" s="84"/>
      <c r="R1505" s="84"/>
    </row>
    <row r="1506" ht="15.75" customHeight="1">
      <c r="A1506" s="125"/>
      <c r="B1506" s="125"/>
      <c r="C1506" s="125"/>
      <c r="D1506" s="125"/>
      <c r="E1506" s="126"/>
      <c r="F1506" s="126"/>
      <c r="G1506" s="125"/>
      <c r="H1506" s="125"/>
      <c r="I1506" s="99"/>
      <c r="K1506" s="84"/>
      <c r="L1506" s="84"/>
      <c r="M1506" s="84"/>
      <c r="N1506" s="84"/>
      <c r="O1506" s="84"/>
      <c r="P1506" s="84"/>
      <c r="Q1506" s="84"/>
      <c r="R1506" s="84"/>
    </row>
    <row r="1507" ht="15.75" customHeight="1">
      <c r="A1507" s="125"/>
      <c r="B1507" s="125"/>
      <c r="C1507" s="125"/>
      <c r="D1507" s="125"/>
      <c r="E1507" s="126"/>
      <c r="F1507" s="126"/>
      <c r="G1507" s="125"/>
      <c r="H1507" s="125"/>
      <c r="I1507" s="99"/>
      <c r="K1507" s="84"/>
      <c r="L1507" s="84"/>
      <c r="M1507" s="84"/>
      <c r="N1507" s="84"/>
      <c r="O1507" s="84"/>
      <c r="P1507" s="84"/>
      <c r="Q1507" s="84"/>
      <c r="R1507" s="84"/>
    </row>
    <row r="1508" ht="15.75" customHeight="1">
      <c r="A1508" s="125"/>
      <c r="B1508" s="125"/>
      <c r="C1508" s="125"/>
      <c r="D1508" s="125"/>
      <c r="E1508" s="126"/>
      <c r="F1508" s="126"/>
      <c r="G1508" s="125"/>
      <c r="H1508" s="125"/>
      <c r="I1508" s="99"/>
      <c r="K1508" s="84"/>
      <c r="L1508" s="84"/>
      <c r="M1508" s="84"/>
      <c r="N1508" s="84"/>
      <c r="O1508" s="84"/>
      <c r="P1508" s="84"/>
      <c r="Q1508" s="84"/>
      <c r="R1508" s="84"/>
    </row>
    <row r="1509" ht="15.75" customHeight="1">
      <c r="A1509" s="125"/>
      <c r="B1509" s="125"/>
      <c r="C1509" s="125"/>
      <c r="D1509" s="125"/>
      <c r="E1509" s="126"/>
      <c r="F1509" s="126"/>
      <c r="G1509" s="125"/>
      <c r="H1509" s="125"/>
      <c r="I1509" s="99"/>
      <c r="K1509" s="84"/>
      <c r="L1509" s="84"/>
      <c r="M1509" s="84"/>
      <c r="N1509" s="84"/>
      <c r="O1509" s="84"/>
      <c r="P1509" s="84"/>
      <c r="Q1509" s="84"/>
      <c r="R1509" s="84"/>
    </row>
    <row r="1510" ht="15.75" customHeight="1">
      <c r="A1510" s="125"/>
      <c r="B1510" s="125"/>
      <c r="C1510" s="125"/>
      <c r="D1510" s="125"/>
      <c r="E1510" s="126"/>
      <c r="F1510" s="126"/>
      <c r="G1510" s="125"/>
      <c r="H1510" s="125"/>
      <c r="I1510" s="99"/>
      <c r="K1510" s="84"/>
      <c r="L1510" s="84"/>
      <c r="M1510" s="84"/>
      <c r="N1510" s="84"/>
      <c r="O1510" s="84"/>
      <c r="P1510" s="84"/>
      <c r="Q1510" s="84"/>
      <c r="R1510" s="84"/>
    </row>
    <row r="1511" ht="15.75" customHeight="1">
      <c r="A1511" s="125"/>
      <c r="B1511" s="125"/>
      <c r="C1511" s="125"/>
      <c r="D1511" s="125"/>
      <c r="E1511" s="126"/>
      <c r="F1511" s="126"/>
      <c r="G1511" s="125"/>
      <c r="H1511" s="125"/>
      <c r="I1511" s="99"/>
      <c r="K1511" s="84"/>
      <c r="L1511" s="84"/>
      <c r="M1511" s="84"/>
      <c r="N1511" s="84"/>
      <c r="O1511" s="84"/>
      <c r="P1511" s="84"/>
      <c r="Q1511" s="84"/>
      <c r="R1511" s="84"/>
    </row>
    <row r="1512" ht="15.75" customHeight="1">
      <c r="A1512" s="125"/>
      <c r="B1512" s="125"/>
      <c r="C1512" s="125"/>
      <c r="D1512" s="125"/>
      <c r="E1512" s="126"/>
      <c r="F1512" s="126"/>
      <c r="G1512" s="125"/>
      <c r="H1512" s="125"/>
      <c r="I1512" s="99"/>
      <c r="K1512" s="84"/>
      <c r="L1512" s="84"/>
      <c r="M1512" s="84"/>
      <c r="N1512" s="84"/>
      <c r="O1512" s="84"/>
      <c r="P1512" s="84"/>
      <c r="Q1512" s="84"/>
      <c r="R1512" s="84"/>
    </row>
    <row r="1513" ht="15.75" customHeight="1">
      <c r="A1513" s="125"/>
      <c r="B1513" s="125"/>
      <c r="C1513" s="125"/>
      <c r="D1513" s="125"/>
      <c r="E1513" s="126"/>
      <c r="F1513" s="126"/>
      <c r="G1513" s="125"/>
      <c r="H1513" s="125"/>
      <c r="I1513" s="99"/>
      <c r="K1513" s="84"/>
      <c r="L1513" s="84"/>
      <c r="M1513" s="84"/>
      <c r="N1513" s="84"/>
      <c r="O1513" s="84"/>
      <c r="P1513" s="84"/>
      <c r="Q1513" s="84"/>
      <c r="R1513" s="84"/>
    </row>
    <row r="1514" ht="15.75" customHeight="1">
      <c r="A1514" s="125"/>
      <c r="B1514" s="125"/>
      <c r="C1514" s="125"/>
      <c r="D1514" s="125"/>
      <c r="E1514" s="126"/>
      <c r="F1514" s="126"/>
      <c r="G1514" s="125"/>
      <c r="H1514" s="125"/>
      <c r="I1514" s="99"/>
      <c r="K1514" s="84"/>
      <c r="L1514" s="84"/>
      <c r="M1514" s="84"/>
      <c r="N1514" s="84"/>
      <c r="O1514" s="84"/>
      <c r="P1514" s="84"/>
      <c r="Q1514" s="84"/>
      <c r="R1514" s="84"/>
    </row>
    <row r="1515" ht="15.75" customHeight="1">
      <c r="A1515" s="125"/>
      <c r="B1515" s="125"/>
      <c r="C1515" s="125"/>
      <c r="D1515" s="125"/>
      <c r="E1515" s="126"/>
      <c r="F1515" s="126"/>
      <c r="G1515" s="125"/>
      <c r="H1515" s="125"/>
      <c r="I1515" s="99"/>
      <c r="K1515" s="84"/>
      <c r="L1515" s="84"/>
      <c r="M1515" s="84"/>
      <c r="N1515" s="84"/>
      <c r="O1515" s="84"/>
      <c r="P1515" s="84"/>
      <c r="Q1515" s="84"/>
      <c r="R1515" s="84"/>
    </row>
    <row r="1516" ht="15.75" customHeight="1">
      <c r="A1516" s="125"/>
      <c r="B1516" s="125"/>
      <c r="C1516" s="125"/>
      <c r="D1516" s="125"/>
      <c r="E1516" s="126"/>
      <c r="F1516" s="126"/>
      <c r="G1516" s="125"/>
      <c r="H1516" s="125"/>
      <c r="I1516" s="99"/>
      <c r="K1516" s="84"/>
      <c r="L1516" s="84"/>
      <c r="M1516" s="84"/>
      <c r="N1516" s="84"/>
      <c r="O1516" s="84"/>
      <c r="P1516" s="84"/>
      <c r="Q1516" s="84"/>
      <c r="R1516" s="84"/>
    </row>
    <row r="1517" ht="15.75" customHeight="1">
      <c r="A1517" s="125"/>
      <c r="B1517" s="125"/>
      <c r="C1517" s="125"/>
      <c r="D1517" s="125"/>
      <c r="E1517" s="126"/>
      <c r="F1517" s="126"/>
      <c r="G1517" s="125"/>
      <c r="H1517" s="125"/>
      <c r="I1517" s="99"/>
      <c r="K1517" s="84"/>
      <c r="L1517" s="84"/>
      <c r="M1517" s="84"/>
      <c r="N1517" s="84"/>
      <c r="O1517" s="84"/>
      <c r="P1517" s="84"/>
      <c r="Q1517" s="84"/>
      <c r="R1517" s="84"/>
    </row>
    <row r="1518" ht="15.75" customHeight="1">
      <c r="A1518" s="125"/>
      <c r="B1518" s="125"/>
      <c r="C1518" s="125"/>
      <c r="D1518" s="125"/>
      <c r="E1518" s="126"/>
      <c r="F1518" s="126"/>
      <c r="G1518" s="125"/>
      <c r="H1518" s="125"/>
      <c r="I1518" s="99"/>
      <c r="K1518" s="84"/>
      <c r="L1518" s="84"/>
      <c r="M1518" s="84"/>
      <c r="N1518" s="84"/>
      <c r="O1518" s="84"/>
      <c r="P1518" s="84"/>
      <c r="Q1518" s="84"/>
      <c r="R1518" s="84"/>
    </row>
    <row r="1519" ht="15.75" customHeight="1">
      <c r="A1519" s="125"/>
      <c r="B1519" s="125"/>
      <c r="C1519" s="125"/>
      <c r="D1519" s="125"/>
      <c r="E1519" s="126"/>
      <c r="F1519" s="126"/>
      <c r="G1519" s="125"/>
      <c r="H1519" s="125"/>
      <c r="I1519" s="99"/>
      <c r="K1519" s="84"/>
      <c r="L1519" s="84"/>
      <c r="M1519" s="84"/>
      <c r="N1519" s="84"/>
      <c r="O1519" s="84"/>
      <c r="P1519" s="84"/>
      <c r="Q1519" s="84"/>
      <c r="R1519" s="84"/>
    </row>
    <row r="1520" ht="15.75" customHeight="1">
      <c r="A1520" s="125"/>
      <c r="B1520" s="125"/>
      <c r="C1520" s="125"/>
      <c r="D1520" s="125"/>
      <c r="E1520" s="126"/>
      <c r="F1520" s="126"/>
      <c r="G1520" s="125"/>
      <c r="H1520" s="125"/>
      <c r="I1520" s="99"/>
      <c r="K1520" s="84"/>
      <c r="L1520" s="84"/>
      <c r="M1520" s="84"/>
      <c r="N1520" s="84"/>
      <c r="O1520" s="84"/>
      <c r="P1520" s="84"/>
      <c r="Q1520" s="84"/>
      <c r="R1520" s="84"/>
    </row>
    <row r="1521" ht="15.75" customHeight="1">
      <c r="A1521" s="125"/>
      <c r="B1521" s="125"/>
      <c r="C1521" s="125"/>
      <c r="D1521" s="125"/>
      <c r="E1521" s="126"/>
      <c r="F1521" s="126"/>
      <c r="G1521" s="125"/>
      <c r="H1521" s="125"/>
      <c r="I1521" s="99"/>
      <c r="K1521" s="84"/>
      <c r="L1521" s="84"/>
      <c r="M1521" s="84"/>
      <c r="N1521" s="84"/>
      <c r="O1521" s="84"/>
      <c r="P1521" s="84"/>
      <c r="Q1521" s="84"/>
      <c r="R1521" s="84"/>
    </row>
    <row r="1522" ht="15.75" customHeight="1">
      <c r="A1522" s="125"/>
      <c r="B1522" s="125"/>
      <c r="C1522" s="125"/>
      <c r="D1522" s="125"/>
      <c r="E1522" s="126"/>
      <c r="F1522" s="126"/>
      <c r="G1522" s="125"/>
      <c r="H1522" s="125"/>
      <c r="I1522" s="99"/>
      <c r="K1522" s="84"/>
      <c r="L1522" s="84"/>
      <c r="M1522" s="84"/>
      <c r="N1522" s="84"/>
      <c r="O1522" s="84"/>
      <c r="P1522" s="84"/>
      <c r="Q1522" s="84"/>
      <c r="R1522" s="84"/>
    </row>
    <row r="1523" ht="15.75" customHeight="1">
      <c r="A1523" s="125"/>
      <c r="B1523" s="125"/>
      <c r="C1523" s="125"/>
      <c r="D1523" s="125"/>
      <c r="E1523" s="126"/>
      <c r="F1523" s="126"/>
      <c r="G1523" s="125"/>
      <c r="H1523" s="125"/>
      <c r="I1523" s="99"/>
      <c r="K1523" s="84"/>
      <c r="L1523" s="84"/>
      <c r="M1523" s="84"/>
      <c r="N1523" s="84"/>
      <c r="O1523" s="84"/>
      <c r="P1523" s="84"/>
      <c r="Q1523" s="84"/>
      <c r="R1523" s="84"/>
    </row>
    <row r="1524" ht="15.75" customHeight="1">
      <c r="A1524" s="125"/>
      <c r="B1524" s="125"/>
      <c r="C1524" s="125"/>
      <c r="D1524" s="125"/>
      <c r="E1524" s="126"/>
      <c r="F1524" s="126"/>
      <c r="G1524" s="125"/>
      <c r="H1524" s="125"/>
      <c r="I1524" s="99"/>
      <c r="K1524" s="84"/>
      <c r="L1524" s="84"/>
      <c r="M1524" s="84"/>
      <c r="N1524" s="84"/>
      <c r="O1524" s="84"/>
      <c r="P1524" s="84"/>
      <c r="Q1524" s="84"/>
      <c r="R1524" s="84"/>
    </row>
    <row r="1525" ht="15.75" customHeight="1">
      <c r="A1525" s="125"/>
      <c r="B1525" s="125"/>
      <c r="C1525" s="125"/>
      <c r="D1525" s="125"/>
      <c r="E1525" s="126"/>
      <c r="F1525" s="126"/>
      <c r="G1525" s="125"/>
      <c r="H1525" s="125"/>
      <c r="I1525" s="99"/>
      <c r="K1525" s="84"/>
      <c r="L1525" s="84"/>
      <c r="M1525" s="84"/>
      <c r="N1525" s="84"/>
      <c r="O1525" s="84"/>
      <c r="P1525" s="84"/>
      <c r="Q1525" s="84"/>
      <c r="R1525" s="84"/>
    </row>
    <row r="1526" ht="15.75" customHeight="1">
      <c r="A1526" s="125"/>
      <c r="B1526" s="125"/>
      <c r="C1526" s="125"/>
      <c r="D1526" s="125"/>
      <c r="E1526" s="126"/>
      <c r="F1526" s="126"/>
      <c r="G1526" s="125"/>
      <c r="H1526" s="125"/>
      <c r="I1526" s="99"/>
      <c r="K1526" s="84"/>
      <c r="L1526" s="84"/>
      <c r="M1526" s="84"/>
      <c r="N1526" s="84"/>
      <c r="O1526" s="84"/>
      <c r="P1526" s="84"/>
      <c r="Q1526" s="84"/>
      <c r="R1526" s="84"/>
    </row>
    <row r="1527" ht="15.75" customHeight="1">
      <c r="A1527" s="125"/>
      <c r="B1527" s="125"/>
      <c r="C1527" s="125"/>
      <c r="D1527" s="125"/>
      <c r="E1527" s="126"/>
      <c r="F1527" s="126"/>
      <c r="G1527" s="125"/>
      <c r="H1527" s="125"/>
      <c r="I1527" s="99"/>
      <c r="K1527" s="84"/>
      <c r="L1527" s="84"/>
      <c r="M1527" s="84"/>
      <c r="N1527" s="84"/>
      <c r="O1527" s="84"/>
      <c r="P1527" s="84"/>
      <c r="Q1527" s="84"/>
      <c r="R1527" s="84"/>
    </row>
    <row r="1528" ht="15.75" customHeight="1">
      <c r="A1528" s="125"/>
      <c r="B1528" s="125"/>
      <c r="C1528" s="125"/>
      <c r="D1528" s="125"/>
      <c r="E1528" s="126"/>
      <c r="F1528" s="126"/>
      <c r="G1528" s="125"/>
      <c r="H1528" s="125"/>
      <c r="I1528" s="99"/>
      <c r="K1528" s="84"/>
      <c r="L1528" s="84"/>
      <c r="M1528" s="84"/>
      <c r="N1528" s="84"/>
      <c r="O1528" s="84"/>
      <c r="P1528" s="84"/>
      <c r="Q1528" s="84"/>
      <c r="R1528" s="84"/>
    </row>
    <row r="1529" ht="15.75" customHeight="1">
      <c r="A1529" s="125"/>
      <c r="B1529" s="125"/>
      <c r="C1529" s="125"/>
      <c r="D1529" s="125"/>
      <c r="E1529" s="126"/>
      <c r="F1529" s="126"/>
      <c r="G1529" s="125"/>
      <c r="H1529" s="125"/>
      <c r="I1529" s="99"/>
      <c r="K1529" s="84"/>
      <c r="L1529" s="84"/>
      <c r="M1529" s="84"/>
      <c r="N1529" s="84"/>
      <c r="O1529" s="84"/>
      <c r="P1529" s="84"/>
      <c r="Q1529" s="84"/>
      <c r="R1529" s="84"/>
    </row>
    <row r="1530" ht="15.75" customHeight="1">
      <c r="A1530" s="125"/>
      <c r="B1530" s="125"/>
      <c r="C1530" s="125"/>
      <c r="D1530" s="125"/>
      <c r="E1530" s="126"/>
      <c r="F1530" s="126"/>
      <c r="G1530" s="125"/>
      <c r="H1530" s="125"/>
      <c r="I1530" s="99"/>
      <c r="K1530" s="84"/>
      <c r="L1530" s="84"/>
      <c r="M1530" s="84"/>
      <c r="N1530" s="84"/>
      <c r="O1530" s="84"/>
      <c r="P1530" s="84"/>
      <c r="Q1530" s="84"/>
      <c r="R1530" s="84"/>
    </row>
    <row r="1531" ht="15.75" customHeight="1">
      <c r="A1531" s="125"/>
      <c r="B1531" s="125"/>
      <c r="C1531" s="125"/>
      <c r="D1531" s="125"/>
      <c r="E1531" s="126"/>
      <c r="F1531" s="126"/>
      <c r="G1531" s="125"/>
      <c r="H1531" s="125"/>
      <c r="I1531" s="99"/>
      <c r="K1531" s="84"/>
      <c r="L1531" s="84"/>
      <c r="M1531" s="84"/>
      <c r="N1531" s="84"/>
      <c r="O1531" s="84"/>
      <c r="P1531" s="84"/>
      <c r="Q1531" s="84"/>
      <c r="R1531" s="84"/>
    </row>
    <row r="1532" ht="15.75" customHeight="1">
      <c r="A1532" s="125"/>
      <c r="B1532" s="125"/>
      <c r="C1532" s="125"/>
      <c r="D1532" s="125"/>
      <c r="E1532" s="126"/>
      <c r="F1532" s="126"/>
      <c r="G1532" s="125"/>
      <c r="H1532" s="125"/>
      <c r="I1532" s="99"/>
      <c r="K1532" s="84"/>
      <c r="L1532" s="84"/>
      <c r="M1532" s="84"/>
      <c r="N1532" s="84"/>
      <c r="O1532" s="84"/>
      <c r="P1532" s="84"/>
      <c r="Q1532" s="84"/>
      <c r="R1532" s="84"/>
    </row>
    <row r="1533" ht="15.75" customHeight="1">
      <c r="A1533" s="125"/>
      <c r="B1533" s="125"/>
      <c r="C1533" s="125"/>
      <c r="D1533" s="125"/>
      <c r="E1533" s="126"/>
      <c r="F1533" s="126"/>
      <c r="G1533" s="125"/>
      <c r="H1533" s="125"/>
      <c r="I1533" s="99"/>
      <c r="K1533" s="84"/>
      <c r="L1533" s="84"/>
      <c r="M1533" s="84"/>
      <c r="N1533" s="84"/>
      <c r="O1533" s="84"/>
      <c r="P1533" s="84"/>
      <c r="Q1533" s="84"/>
      <c r="R1533" s="84"/>
    </row>
    <row r="1534" ht="15.75" customHeight="1">
      <c r="A1534" s="125"/>
      <c r="B1534" s="125"/>
      <c r="C1534" s="125"/>
      <c r="D1534" s="125"/>
      <c r="E1534" s="126"/>
      <c r="F1534" s="126"/>
      <c r="G1534" s="125"/>
      <c r="H1534" s="125"/>
      <c r="I1534" s="99"/>
      <c r="K1534" s="84"/>
      <c r="L1534" s="84"/>
      <c r="M1534" s="84"/>
      <c r="N1534" s="84"/>
      <c r="O1534" s="84"/>
      <c r="P1534" s="84"/>
      <c r="Q1534" s="84"/>
      <c r="R1534" s="84"/>
    </row>
    <row r="1535" ht="15.75" customHeight="1">
      <c r="A1535" s="125"/>
      <c r="B1535" s="125"/>
      <c r="C1535" s="125"/>
      <c r="D1535" s="125"/>
      <c r="E1535" s="126"/>
      <c r="F1535" s="126"/>
      <c r="G1535" s="125"/>
      <c r="H1535" s="125"/>
      <c r="I1535" s="99"/>
      <c r="K1535" s="84"/>
      <c r="L1535" s="84"/>
      <c r="M1535" s="84"/>
      <c r="N1535" s="84"/>
      <c r="O1535" s="84"/>
      <c r="P1535" s="84"/>
      <c r="Q1535" s="84"/>
      <c r="R1535" s="84"/>
    </row>
    <row r="1536" ht="15.75" customHeight="1">
      <c r="A1536" s="125"/>
      <c r="B1536" s="125"/>
      <c r="C1536" s="125"/>
      <c r="D1536" s="125"/>
      <c r="E1536" s="126"/>
      <c r="F1536" s="126"/>
      <c r="G1536" s="125"/>
      <c r="H1536" s="125"/>
      <c r="I1536" s="99"/>
      <c r="K1536" s="84"/>
      <c r="L1536" s="84"/>
      <c r="M1536" s="84"/>
      <c r="N1536" s="84"/>
      <c r="O1536" s="84"/>
      <c r="P1536" s="84"/>
      <c r="Q1536" s="84"/>
      <c r="R1536" s="84"/>
    </row>
    <row r="1537" ht="15.75" customHeight="1">
      <c r="A1537" s="125"/>
      <c r="B1537" s="125"/>
      <c r="C1537" s="125"/>
      <c r="D1537" s="125"/>
      <c r="E1537" s="126"/>
      <c r="F1537" s="126"/>
      <c r="G1537" s="125"/>
      <c r="H1537" s="125"/>
      <c r="I1537" s="99"/>
      <c r="K1537" s="84"/>
      <c r="L1537" s="84"/>
      <c r="M1537" s="84"/>
      <c r="N1537" s="84"/>
      <c r="O1537" s="84"/>
      <c r="P1537" s="84"/>
      <c r="Q1537" s="84"/>
      <c r="R1537" s="84"/>
    </row>
    <row r="1538" ht="15.75" customHeight="1">
      <c r="A1538" s="125"/>
      <c r="B1538" s="125"/>
      <c r="C1538" s="125"/>
      <c r="D1538" s="125"/>
      <c r="E1538" s="126"/>
      <c r="F1538" s="126"/>
      <c r="G1538" s="125"/>
      <c r="H1538" s="125"/>
      <c r="I1538" s="99"/>
      <c r="K1538" s="84"/>
      <c r="L1538" s="84"/>
      <c r="M1538" s="84"/>
      <c r="N1538" s="84"/>
      <c r="O1538" s="84"/>
      <c r="P1538" s="84"/>
      <c r="Q1538" s="84"/>
      <c r="R1538" s="84"/>
    </row>
    <row r="1539" ht="15.75" customHeight="1">
      <c r="A1539" s="125"/>
      <c r="B1539" s="125"/>
      <c r="C1539" s="125"/>
      <c r="D1539" s="125"/>
      <c r="E1539" s="126"/>
      <c r="F1539" s="126"/>
      <c r="G1539" s="125"/>
      <c r="H1539" s="125"/>
      <c r="I1539" s="99"/>
      <c r="K1539" s="84"/>
      <c r="L1539" s="84"/>
      <c r="M1539" s="84"/>
      <c r="N1539" s="84"/>
      <c r="O1539" s="84"/>
      <c r="P1539" s="84"/>
      <c r="Q1539" s="84"/>
      <c r="R1539" s="84"/>
    </row>
    <row r="1540" ht="15.75" customHeight="1">
      <c r="A1540" s="125"/>
      <c r="B1540" s="125"/>
      <c r="C1540" s="125"/>
      <c r="D1540" s="125"/>
      <c r="E1540" s="126"/>
      <c r="F1540" s="126"/>
      <c r="G1540" s="125"/>
      <c r="H1540" s="125"/>
      <c r="I1540" s="99"/>
      <c r="K1540" s="84"/>
      <c r="L1540" s="84"/>
      <c r="M1540" s="84"/>
      <c r="N1540" s="84"/>
      <c r="O1540" s="84"/>
      <c r="P1540" s="84"/>
      <c r="Q1540" s="84"/>
      <c r="R1540" s="84"/>
    </row>
    <row r="1541" ht="15.75" customHeight="1">
      <c r="A1541" s="125"/>
      <c r="B1541" s="125"/>
      <c r="C1541" s="125"/>
      <c r="D1541" s="125"/>
      <c r="E1541" s="126"/>
      <c r="F1541" s="126"/>
      <c r="G1541" s="125"/>
      <c r="H1541" s="125"/>
      <c r="I1541" s="99"/>
      <c r="K1541" s="84"/>
      <c r="L1541" s="84"/>
      <c r="M1541" s="84"/>
      <c r="N1541" s="84"/>
      <c r="O1541" s="84"/>
      <c r="P1541" s="84"/>
      <c r="Q1541" s="84"/>
      <c r="R1541" s="84"/>
    </row>
    <row r="1542" ht="15.75" customHeight="1">
      <c r="A1542" s="125"/>
      <c r="B1542" s="125"/>
      <c r="C1542" s="125"/>
      <c r="D1542" s="125"/>
      <c r="E1542" s="126"/>
      <c r="F1542" s="126"/>
      <c r="G1542" s="125"/>
      <c r="H1542" s="125"/>
      <c r="I1542" s="99"/>
      <c r="K1542" s="84"/>
      <c r="L1542" s="84"/>
      <c r="M1542" s="84"/>
      <c r="N1542" s="84"/>
      <c r="O1542" s="84"/>
      <c r="P1542" s="84"/>
      <c r="Q1542" s="84"/>
      <c r="R1542" s="84"/>
    </row>
    <row r="1543" ht="15.75" customHeight="1">
      <c r="A1543" s="125"/>
      <c r="B1543" s="125"/>
      <c r="C1543" s="125"/>
      <c r="D1543" s="125"/>
      <c r="E1543" s="126"/>
      <c r="F1543" s="126"/>
      <c r="G1543" s="125"/>
      <c r="H1543" s="125"/>
      <c r="I1543" s="99"/>
      <c r="K1543" s="84"/>
      <c r="L1543" s="84"/>
      <c r="M1543" s="84"/>
      <c r="N1543" s="84"/>
      <c r="O1543" s="84"/>
      <c r="P1543" s="84"/>
      <c r="Q1543" s="84"/>
      <c r="R1543" s="84"/>
    </row>
    <row r="1544" ht="15.75" customHeight="1">
      <c r="A1544" s="125"/>
      <c r="B1544" s="125"/>
      <c r="C1544" s="125"/>
      <c r="D1544" s="125"/>
      <c r="E1544" s="126"/>
      <c r="F1544" s="126"/>
      <c r="G1544" s="125"/>
      <c r="H1544" s="125"/>
      <c r="I1544" s="99"/>
      <c r="K1544" s="84"/>
      <c r="L1544" s="84"/>
      <c r="M1544" s="84"/>
      <c r="N1544" s="84"/>
      <c r="O1544" s="84"/>
      <c r="P1544" s="84"/>
      <c r="Q1544" s="84"/>
      <c r="R1544" s="84"/>
    </row>
    <row r="1545" ht="15.75" customHeight="1">
      <c r="A1545" s="125"/>
      <c r="B1545" s="125"/>
      <c r="C1545" s="125"/>
      <c r="D1545" s="125"/>
      <c r="E1545" s="126"/>
      <c r="F1545" s="126"/>
      <c r="G1545" s="125"/>
      <c r="H1545" s="125"/>
      <c r="I1545" s="99"/>
      <c r="K1545" s="84"/>
      <c r="L1545" s="84"/>
      <c r="M1545" s="84"/>
      <c r="N1545" s="84"/>
      <c r="O1545" s="84"/>
      <c r="P1545" s="84"/>
      <c r="Q1545" s="84"/>
      <c r="R1545" s="84"/>
    </row>
    <row r="1546" ht="15.75" customHeight="1">
      <c r="A1546" s="125"/>
      <c r="B1546" s="125"/>
      <c r="C1546" s="125"/>
      <c r="D1546" s="125"/>
      <c r="E1546" s="126"/>
      <c r="F1546" s="126"/>
      <c r="G1546" s="125"/>
      <c r="H1546" s="125"/>
      <c r="I1546" s="99"/>
      <c r="K1546" s="84"/>
      <c r="L1546" s="84"/>
      <c r="M1546" s="84"/>
      <c r="N1546" s="84"/>
      <c r="O1546" s="84"/>
      <c r="P1546" s="84"/>
      <c r="Q1546" s="84"/>
      <c r="R1546" s="84"/>
    </row>
    <row r="1547" ht="15.75" customHeight="1">
      <c r="A1547" s="125"/>
      <c r="B1547" s="125"/>
      <c r="C1547" s="125"/>
      <c r="D1547" s="125"/>
      <c r="E1547" s="126"/>
      <c r="F1547" s="126"/>
      <c r="G1547" s="125"/>
      <c r="H1547" s="125"/>
      <c r="I1547" s="99"/>
      <c r="K1547" s="84"/>
      <c r="L1547" s="84"/>
      <c r="M1547" s="84"/>
      <c r="N1547" s="84"/>
      <c r="O1547" s="84"/>
      <c r="P1547" s="84"/>
      <c r="Q1547" s="84"/>
      <c r="R1547" s="84"/>
    </row>
    <row r="1548" ht="15.75" customHeight="1">
      <c r="A1548" s="125"/>
      <c r="B1548" s="125"/>
      <c r="C1548" s="125"/>
      <c r="D1548" s="125"/>
      <c r="E1548" s="126"/>
      <c r="F1548" s="126"/>
      <c r="G1548" s="125"/>
      <c r="H1548" s="125"/>
      <c r="I1548" s="99"/>
      <c r="K1548" s="84"/>
      <c r="L1548" s="84"/>
      <c r="M1548" s="84"/>
      <c r="N1548" s="84"/>
      <c r="O1548" s="84"/>
      <c r="P1548" s="84"/>
      <c r="Q1548" s="84"/>
      <c r="R1548" s="84"/>
    </row>
    <row r="1549" ht="15.75" customHeight="1">
      <c r="A1549" s="125"/>
      <c r="B1549" s="125"/>
      <c r="C1549" s="125"/>
      <c r="D1549" s="125"/>
      <c r="E1549" s="126"/>
      <c r="F1549" s="126"/>
      <c r="G1549" s="125"/>
      <c r="H1549" s="125"/>
      <c r="I1549" s="99"/>
      <c r="K1549" s="84"/>
      <c r="L1549" s="84"/>
      <c r="M1549" s="84"/>
      <c r="N1549" s="84"/>
      <c r="O1549" s="84"/>
      <c r="P1549" s="84"/>
      <c r="Q1549" s="84"/>
      <c r="R1549" s="84"/>
    </row>
    <row r="1550" ht="15.75" customHeight="1">
      <c r="A1550" s="125"/>
      <c r="B1550" s="125"/>
      <c r="C1550" s="125"/>
      <c r="D1550" s="125"/>
      <c r="E1550" s="126"/>
      <c r="F1550" s="126"/>
      <c r="G1550" s="125"/>
      <c r="H1550" s="125"/>
      <c r="I1550" s="99"/>
      <c r="K1550" s="84"/>
      <c r="L1550" s="84"/>
      <c r="M1550" s="84"/>
      <c r="N1550" s="84"/>
      <c r="O1550" s="84"/>
      <c r="P1550" s="84"/>
      <c r="Q1550" s="84"/>
      <c r="R1550" s="84"/>
    </row>
    <row r="1551" ht="15.75" customHeight="1">
      <c r="A1551" s="125"/>
      <c r="B1551" s="125"/>
      <c r="C1551" s="125"/>
      <c r="D1551" s="125"/>
      <c r="E1551" s="126"/>
      <c r="F1551" s="126"/>
      <c r="G1551" s="125"/>
      <c r="H1551" s="125"/>
      <c r="I1551" s="99"/>
      <c r="K1551" s="84"/>
      <c r="L1551" s="84"/>
      <c r="M1551" s="84"/>
      <c r="N1551" s="84"/>
      <c r="O1551" s="84"/>
      <c r="P1551" s="84"/>
      <c r="Q1551" s="84"/>
      <c r="R1551" s="84"/>
    </row>
    <row r="1552" ht="15.75" customHeight="1">
      <c r="A1552" s="125"/>
      <c r="B1552" s="125"/>
      <c r="C1552" s="125"/>
      <c r="D1552" s="125"/>
      <c r="E1552" s="126"/>
      <c r="F1552" s="126"/>
      <c r="G1552" s="125"/>
      <c r="H1552" s="125"/>
      <c r="I1552" s="99"/>
      <c r="K1552" s="84"/>
      <c r="L1552" s="84"/>
      <c r="M1552" s="84"/>
      <c r="N1552" s="84"/>
      <c r="O1552" s="84"/>
      <c r="P1552" s="84"/>
      <c r="Q1552" s="84"/>
      <c r="R1552" s="84"/>
    </row>
    <row r="1553" ht="15.75" customHeight="1">
      <c r="A1553" s="125"/>
      <c r="B1553" s="125"/>
      <c r="C1553" s="125"/>
      <c r="D1553" s="125"/>
      <c r="E1553" s="126"/>
      <c r="F1553" s="126"/>
      <c r="G1553" s="125"/>
      <c r="H1553" s="125"/>
      <c r="I1553" s="99"/>
      <c r="K1553" s="84"/>
      <c r="L1553" s="84"/>
      <c r="M1553" s="84"/>
      <c r="N1553" s="84"/>
      <c r="O1553" s="84"/>
      <c r="P1553" s="84"/>
      <c r="Q1553" s="84"/>
      <c r="R1553" s="84"/>
    </row>
    <row r="1554" ht="15.75" customHeight="1">
      <c r="A1554" s="125"/>
      <c r="B1554" s="125"/>
      <c r="C1554" s="125"/>
      <c r="D1554" s="125"/>
      <c r="E1554" s="126"/>
      <c r="F1554" s="126"/>
      <c r="G1554" s="125"/>
      <c r="H1554" s="125"/>
      <c r="I1554" s="99"/>
      <c r="K1554" s="84"/>
      <c r="L1554" s="84"/>
      <c r="M1554" s="84"/>
      <c r="N1554" s="84"/>
      <c r="O1554" s="84"/>
      <c r="P1554" s="84"/>
      <c r="Q1554" s="84"/>
      <c r="R1554" s="84"/>
    </row>
    <row r="1555" ht="15.75" customHeight="1">
      <c r="A1555" s="125"/>
      <c r="B1555" s="125"/>
      <c r="C1555" s="125"/>
      <c r="D1555" s="125"/>
      <c r="E1555" s="126"/>
      <c r="F1555" s="126"/>
      <c r="G1555" s="125"/>
      <c r="H1555" s="125"/>
      <c r="I1555" s="99"/>
      <c r="K1555" s="84"/>
      <c r="L1555" s="84"/>
      <c r="M1555" s="84"/>
      <c r="N1555" s="84"/>
      <c r="O1555" s="84"/>
      <c r="P1555" s="84"/>
      <c r="Q1555" s="84"/>
      <c r="R1555" s="84"/>
    </row>
    <row r="1556" ht="15.75" customHeight="1">
      <c r="A1556" s="125"/>
      <c r="B1556" s="125"/>
      <c r="C1556" s="125"/>
      <c r="D1556" s="125"/>
      <c r="E1556" s="126"/>
      <c r="F1556" s="126"/>
      <c r="G1556" s="125"/>
      <c r="H1556" s="125"/>
      <c r="I1556" s="99"/>
      <c r="K1556" s="84"/>
      <c r="L1556" s="84"/>
      <c r="M1556" s="84"/>
      <c r="N1556" s="84"/>
      <c r="O1556" s="84"/>
      <c r="P1556" s="84"/>
      <c r="Q1556" s="84"/>
      <c r="R1556" s="84"/>
    </row>
    <row r="1557" ht="15.75" customHeight="1">
      <c r="A1557" s="125"/>
      <c r="B1557" s="125"/>
      <c r="C1557" s="125"/>
      <c r="D1557" s="125"/>
      <c r="E1557" s="126"/>
      <c r="F1557" s="126"/>
      <c r="G1557" s="125"/>
      <c r="H1557" s="125"/>
      <c r="I1557" s="99"/>
      <c r="K1557" s="84"/>
      <c r="L1557" s="84"/>
      <c r="M1557" s="84"/>
      <c r="N1557" s="84"/>
      <c r="O1557" s="84"/>
      <c r="P1557" s="84"/>
      <c r="Q1557" s="84"/>
      <c r="R1557" s="84"/>
    </row>
    <row r="1558" ht="15.75" customHeight="1">
      <c r="A1558" s="125"/>
      <c r="B1558" s="125"/>
      <c r="C1558" s="125"/>
      <c r="D1558" s="125"/>
      <c r="E1558" s="126"/>
      <c r="F1558" s="126"/>
      <c r="G1558" s="125"/>
      <c r="H1558" s="125"/>
      <c r="I1558" s="99"/>
      <c r="K1558" s="84"/>
      <c r="L1558" s="84"/>
      <c r="M1558" s="84"/>
      <c r="N1558" s="84"/>
      <c r="O1558" s="84"/>
      <c r="P1558" s="84"/>
      <c r="Q1558" s="84"/>
      <c r="R1558" s="84"/>
    </row>
    <row r="1559" ht="15.75" customHeight="1">
      <c r="A1559" s="125"/>
      <c r="B1559" s="125"/>
      <c r="C1559" s="125"/>
      <c r="D1559" s="125"/>
      <c r="E1559" s="126"/>
      <c r="F1559" s="126"/>
      <c r="G1559" s="125"/>
      <c r="H1559" s="125"/>
      <c r="I1559" s="99"/>
      <c r="K1559" s="84"/>
      <c r="L1559" s="84"/>
      <c r="M1559" s="84"/>
      <c r="N1559" s="84"/>
      <c r="O1559" s="84"/>
      <c r="P1559" s="84"/>
      <c r="Q1559" s="84"/>
      <c r="R1559" s="84"/>
    </row>
    <row r="1560" ht="15.75" customHeight="1">
      <c r="A1560" s="125"/>
      <c r="B1560" s="125"/>
      <c r="C1560" s="125"/>
      <c r="D1560" s="125"/>
      <c r="E1560" s="126"/>
      <c r="F1560" s="126"/>
      <c r="G1560" s="125"/>
      <c r="H1560" s="125"/>
      <c r="I1560" s="99"/>
      <c r="K1560" s="84"/>
      <c r="L1560" s="84"/>
      <c r="M1560" s="84"/>
      <c r="N1560" s="84"/>
      <c r="O1560" s="84"/>
      <c r="P1560" s="84"/>
      <c r="Q1560" s="84"/>
      <c r="R1560" s="84"/>
    </row>
    <row r="1561" ht="15.75" customHeight="1">
      <c r="A1561" s="125"/>
      <c r="B1561" s="125"/>
      <c r="C1561" s="125"/>
      <c r="D1561" s="125"/>
      <c r="E1561" s="126"/>
      <c r="F1561" s="126"/>
      <c r="G1561" s="125"/>
      <c r="H1561" s="125"/>
      <c r="I1561" s="99"/>
      <c r="K1561" s="84"/>
      <c r="L1561" s="84"/>
      <c r="M1561" s="84"/>
      <c r="N1561" s="84"/>
      <c r="O1561" s="84"/>
      <c r="P1561" s="84"/>
      <c r="Q1561" s="84"/>
      <c r="R1561" s="84"/>
    </row>
    <row r="1562" ht="15.75" customHeight="1">
      <c r="A1562" s="125"/>
      <c r="B1562" s="125"/>
      <c r="C1562" s="125"/>
      <c r="D1562" s="125"/>
      <c r="E1562" s="126"/>
      <c r="F1562" s="126"/>
      <c r="G1562" s="125"/>
      <c r="H1562" s="125"/>
      <c r="I1562" s="99"/>
      <c r="K1562" s="84"/>
      <c r="L1562" s="84"/>
      <c r="M1562" s="84"/>
      <c r="N1562" s="84"/>
      <c r="O1562" s="84"/>
      <c r="P1562" s="84"/>
      <c r="Q1562" s="84"/>
      <c r="R1562" s="84"/>
    </row>
    <row r="1563" ht="15.75" customHeight="1">
      <c r="A1563" s="125"/>
      <c r="B1563" s="125"/>
      <c r="C1563" s="125"/>
      <c r="D1563" s="125"/>
      <c r="E1563" s="126"/>
      <c r="F1563" s="126"/>
      <c r="G1563" s="125"/>
      <c r="H1563" s="125"/>
      <c r="I1563" s="99"/>
      <c r="K1563" s="84"/>
      <c r="L1563" s="84"/>
      <c r="M1563" s="84"/>
      <c r="N1563" s="84"/>
      <c r="O1563" s="84"/>
      <c r="P1563" s="84"/>
      <c r="Q1563" s="84"/>
      <c r="R1563" s="84"/>
    </row>
    <row r="1564" ht="15.75" customHeight="1">
      <c r="A1564" s="125"/>
      <c r="B1564" s="125"/>
      <c r="C1564" s="125"/>
      <c r="D1564" s="125"/>
      <c r="E1564" s="126"/>
      <c r="F1564" s="126"/>
      <c r="G1564" s="125"/>
      <c r="H1564" s="125"/>
      <c r="I1564" s="99"/>
      <c r="K1564" s="84"/>
      <c r="L1564" s="84"/>
      <c r="M1564" s="84"/>
      <c r="N1564" s="84"/>
      <c r="O1564" s="84"/>
      <c r="P1564" s="84"/>
      <c r="Q1564" s="84"/>
      <c r="R1564" s="84"/>
    </row>
    <row r="1565" ht="15.75" customHeight="1">
      <c r="A1565" s="125"/>
      <c r="B1565" s="125"/>
      <c r="C1565" s="125"/>
      <c r="D1565" s="125"/>
      <c r="E1565" s="126"/>
      <c r="F1565" s="126"/>
      <c r="G1565" s="125"/>
      <c r="H1565" s="125"/>
      <c r="I1565" s="99"/>
      <c r="K1565" s="84"/>
      <c r="L1565" s="84"/>
      <c r="M1565" s="84"/>
      <c r="N1565" s="84"/>
      <c r="O1565" s="84"/>
      <c r="P1565" s="84"/>
      <c r="Q1565" s="84"/>
      <c r="R1565" s="84"/>
    </row>
    <row r="1566" ht="15.75" customHeight="1">
      <c r="A1566" s="125"/>
      <c r="B1566" s="125"/>
      <c r="C1566" s="125"/>
      <c r="D1566" s="125"/>
      <c r="E1566" s="126"/>
      <c r="F1566" s="126"/>
      <c r="G1566" s="125"/>
      <c r="H1566" s="125"/>
      <c r="I1566" s="99"/>
      <c r="K1566" s="84"/>
      <c r="L1566" s="84"/>
      <c r="M1566" s="84"/>
      <c r="N1566" s="84"/>
      <c r="O1566" s="84"/>
      <c r="P1566" s="84"/>
      <c r="Q1566" s="84"/>
      <c r="R1566" s="84"/>
    </row>
    <row r="1567" ht="15.75" customHeight="1">
      <c r="A1567" s="125"/>
      <c r="B1567" s="125"/>
      <c r="C1567" s="125"/>
      <c r="D1567" s="125"/>
      <c r="E1567" s="126"/>
      <c r="F1567" s="126"/>
      <c r="G1567" s="125"/>
      <c r="H1567" s="125"/>
      <c r="I1567" s="99"/>
      <c r="K1567" s="84"/>
      <c r="L1567" s="84"/>
      <c r="M1567" s="84"/>
      <c r="N1567" s="84"/>
      <c r="O1567" s="84"/>
      <c r="P1567" s="84"/>
      <c r="Q1567" s="84"/>
      <c r="R1567" s="84"/>
    </row>
    <row r="1568" ht="15.75" customHeight="1">
      <c r="A1568" s="125"/>
      <c r="B1568" s="125"/>
      <c r="C1568" s="125"/>
      <c r="D1568" s="125"/>
      <c r="E1568" s="126"/>
      <c r="F1568" s="126"/>
      <c r="G1568" s="125"/>
      <c r="H1568" s="125"/>
      <c r="I1568" s="99"/>
      <c r="K1568" s="84"/>
      <c r="L1568" s="84"/>
      <c r="M1568" s="84"/>
      <c r="N1568" s="84"/>
      <c r="O1568" s="84"/>
      <c r="P1568" s="84"/>
      <c r="Q1568" s="84"/>
      <c r="R1568" s="84"/>
    </row>
    <row r="1569" ht="15.75" customHeight="1">
      <c r="A1569" s="125"/>
      <c r="B1569" s="125"/>
      <c r="C1569" s="125"/>
      <c r="D1569" s="125"/>
      <c r="E1569" s="126"/>
      <c r="F1569" s="126"/>
      <c r="G1569" s="125"/>
      <c r="H1569" s="125"/>
      <c r="I1569" s="99"/>
      <c r="K1569" s="84"/>
      <c r="L1569" s="84"/>
      <c r="M1569" s="84"/>
      <c r="N1569" s="84"/>
      <c r="O1569" s="84"/>
      <c r="P1569" s="84"/>
      <c r="Q1569" s="84"/>
      <c r="R1569" s="84"/>
    </row>
    <row r="1570" ht="15.75" customHeight="1">
      <c r="A1570" s="125"/>
      <c r="B1570" s="125"/>
      <c r="C1570" s="125"/>
      <c r="D1570" s="125"/>
      <c r="E1570" s="126"/>
      <c r="F1570" s="126"/>
      <c r="G1570" s="125"/>
      <c r="H1570" s="125"/>
      <c r="I1570" s="99"/>
      <c r="K1570" s="84"/>
      <c r="L1570" s="84"/>
      <c r="M1570" s="84"/>
      <c r="N1570" s="84"/>
      <c r="O1570" s="84"/>
      <c r="P1570" s="84"/>
      <c r="Q1570" s="84"/>
      <c r="R1570" s="84"/>
    </row>
    <row r="1571" ht="15.75" customHeight="1">
      <c r="A1571" s="125"/>
      <c r="B1571" s="125"/>
      <c r="C1571" s="125"/>
      <c r="D1571" s="125"/>
      <c r="E1571" s="126"/>
      <c r="F1571" s="126"/>
      <c r="G1571" s="125"/>
      <c r="H1571" s="125"/>
      <c r="I1571" s="99"/>
      <c r="K1571" s="84"/>
      <c r="L1571" s="84"/>
      <c r="M1571" s="84"/>
      <c r="N1571" s="84"/>
      <c r="O1571" s="84"/>
      <c r="P1571" s="84"/>
      <c r="Q1571" s="84"/>
      <c r="R1571" s="84"/>
    </row>
    <row r="1572" ht="15.75" customHeight="1">
      <c r="A1572" s="125"/>
      <c r="B1572" s="125"/>
      <c r="C1572" s="125"/>
      <c r="D1572" s="125"/>
      <c r="E1572" s="126"/>
      <c r="F1572" s="126"/>
      <c r="G1572" s="125"/>
      <c r="H1572" s="125"/>
      <c r="I1572" s="99"/>
      <c r="K1572" s="84"/>
      <c r="L1572" s="84"/>
      <c r="M1572" s="84"/>
      <c r="N1572" s="84"/>
      <c r="O1572" s="84"/>
      <c r="P1572" s="84"/>
      <c r="Q1572" s="84"/>
      <c r="R1572" s="84"/>
    </row>
    <row r="1573" ht="15.75" customHeight="1">
      <c r="A1573" s="125"/>
      <c r="B1573" s="125"/>
      <c r="C1573" s="125"/>
      <c r="D1573" s="125"/>
      <c r="E1573" s="126"/>
      <c r="F1573" s="126"/>
      <c r="G1573" s="125"/>
      <c r="H1573" s="125"/>
      <c r="I1573" s="99"/>
      <c r="K1573" s="84"/>
      <c r="L1573" s="84"/>
      <c r="M1573" s="84"/>
      <c r="N1573" s="84"/>
      <c r="O1573" s="84"/>
      <c r="P1573" s="84"/>
      <c r="Q1573" s="84"/>
      <c r="R1573" s="84"/>
    </row>
    <row r="1574" ht="15.75" customHeight="1">
      <c r="A1574" s="125"/>
      <c r="B1574" s="125"/>
      <c r="C1574" s="125"/>
      <c r="D1574" s="125"/>
      <c r="E1574" s="126"/>
      <c r="F1574" s="126"/>
      <c r="G1574" s="125"/>
      <c r="H1574" s="125"/>
      <c r="I1574" s="99"/>
      <c r="K1574" s="84"/>
      <c r="L1574" s="84"/>
      <c r="M1574" s="84"/>
      <c r="N1574" s="84"/>
      <c r="O1574" s="84"/>
      <c r="P1574" s="84"/>
      <c r="Q1574" s="84"/>
      <c r="R1574" s="84"/>
    </row>
    <row r="1575" ht="15.75" customHeight="1">
      <c r="A1575" s="125"/>
      <c r="B1575" s="125"/>
      <c r="C1575" s="125"/>
      <c r="D1575" s="125"/>
      <c r="E1575" s="126"/>
      <c r="F1575" s="126"/>
      <c r="G1575" s="125"/>
      <c r="H1575" s="125"/>
      <c r="I1575" s="99"/>
      <c r="K1575" s="84"/>
      <c r="L1575" s="84"/>
      <c r="M1575" s="84"/>
      <c r="N1575" s="84"/>
      <c r="O1575" s="84"/>
      <c r="P1575" s="84"/>
      <c r="Q1575" s="84"/>
      <c r="R1575" s="84"/>
    </row>
    <row r="1576" ht="15.75" customHeight="1">
      <c r="A1576" s="125"/>
      <c r="B1576" s="125"/>
      <c r="C1576" s="125"/>
      <c r="D1576" s="125"/>
      <c r="E1576" s="126"/>
      <c r="F1576" s="126"/>
      <c r="G1576" s="125"/>
      <c r="H1576" s="125"/>
      <c r="I1576" s="99"/>
      <c r="K1576" s="84"/>
      <c r="L1576" s="84"/>
      <c r="M1576" s="84"/>
      <c r="N1576" s="84"/>
      <c r="O1576" s="84"/>
      <c r="P1576" s="84"/>
      <c r="Q1576" s="84"/>
      <c r="R1576" s="84"/>
    </row>
    <row r="1577" ht="15.75" customHeight="1">
      <c r="A1577" s="125"/>
      <c r="B1577" s="125"/>
      <c r="C1577" s="125"/>
      <c r="D1577" s="125"/>
      <c r="E1577" s="126"/>
      <c r="F1577" s="126"/>
      <c r="G1577" s="125"/>
      <c r="H1577" s="125"/>
      <c r="I1577" s="99"/>
      <c r="K1577" s="84"/>
      <c r="L1577" s="84"/>
      <c r="M1577" s="84"/>
      <c r="N1577" s="84"/>
      <c r="O1577" s="84"/>
      <c r="P1577" s="84"/>
      <c r="Q1577" s="84"/>
      <c r="R1577" s="84"/>
    </row>
    <row r="1578" ht="15.75" customHeight="1">
      <c r="A1578" s="125"/>
      <c r="B1578" s="125"/>
      <c r="C1578" s="125"/>
      <c r="D1578" s="125"/>
      <c r="E1578" s="126"/>
      <c r="F1578" s="126"/>
      <c r="G1578" s="125"/>
      <c r="H1578" s="125"/>
      <c r="I1578" s="99"/>
      <c r="K1578" s="84"/>
      <c r="L1578" s="84"/>
      <c r="M1578" s="84"/>
      <c r="N1578" s="84"/>
      <c r="O1578" s="84"/>
      <c r="P1578" s="84"/>
      <c r="Q1578" s="84"/>
      <c r="R1578" s="84"/>
    </row>
    <row r="1579" ht="15.75" customHeight="1">
      <c r="A1579" s="125"/>
      <c r="B1579" s="125"/>
      <c r="C1579" s="125"/>
      <c r="D1579" s="125"/>
      <c r="E1579" s="126"/>
      <c r="F1579" s="126"/>
      <c r="G1579" s="125"/>
      <c r="H1579" s="125"/>
      <c r="I1579" s="99"/>
      <c r="K1579" s="84"/>
      <c r="L1579" s="84"/>
      <c r="M1579" s="84"/>
      <c r="N1579" s="84"/>
      <c r="O1579" s="84"/>
      <c r="P1579" s="84"/>
      <c r="Q1579" s="84"/>
      <c r="R1579" s="84"/>
    </row>
    <row r="1580" ht="15.75" customHeight="1">
      <c r="A1580" s="125"/>
      <c r="B1580" s="125"/>
      <c r="C1580" s="125"/>
      <c r="D1580" s="125"/>
      <c r="E1580" s="126"/>
      <c r="F1580" s="126"/>
      <c r="G1580" s="125"/>
      <c r="H1580" s="125"/>
      <c r="I1580" s="99"/>
      <c r="K1580" s="84"/>
      <c r="L1580" s="84"/>
      <c r="M1580" s="84"/>
      <c r="N1580" s="84"/>
      <c r="O1580" s="84"/>
      <c r="P1580" s="84"/>
      <c r="Q1580" s="84"/>
      <c r="R1580" s="84"/>
    </row>
    <row r="1581" ht="15.75" customHeight="1">
      <c r="A1581" s="125"/>
      <c r="B1581" s="125"/>
      <c r="C1581" s="125"/>
      <c r="D1581" s="125"/>
      <c r="E1581" s="126"/>
      <c r="F1581" s="126"/>
      <c r="G1581" s="125"/>
      <c r="H1581" s="125"/>
      <c r="I1581" s="99"/>
      <c r="K1581" s="84"/>
      <c r="L1581" s="84"/>
      <c r="M1581" s="84"/>
      <c r="N1581" s="84"/>
      <c r="O1581" s="84"/>
      <c r="P1581" s="84"/>
      <c r="Q1581" s="84"/>
      <c r="R1581" s="84"/>
    </row>
    <row r="1582" ht="15.75" customHeight="1">
      <c r="A1582" s="125"/>
      <c r="B1582" s="125"/>
      <c r="C1582" s="125"/>
      <c r="D1582" s="125"/>
      <c r="E1582" s="126"/>
      <c r="F1582" s="126"/>
      <c r="G1582" s="125"/>
      <c r="H1582" s="125"/>
      <c r="I1582" s="99"/>
      <c r="K1582" s="84"/>
      <c r="L1582" s="84"/>
      <c r="M1582" s="84"/>
      <c r="N1582" s="84"/>
      <c r="O1582" s="84"/>
      <c r="P1582" s="84"/>
      <c r="Q1582" s="84"/>
      <c r="R1582" s="84"/>
    </row>
    <row r="1583" ht="15.75" customHeight="1">
      <c r="A1583" s="125"/>
      <c r="B1583" s="125"/>
      <c r="C1583" s="125"/>
      <c r="D1583" s="125"/>
      <c r="E1583" s="126"/>
      <c r="F1583" s="126"/>
      <c r="G1583" s="125"/>
      <c r="H1583" s="125"/>
      <c r="I1583" s="99"/>
      <c r="K1583" s="84"/>
      <c r="L1583" s="84"/>
      <c r="M1583" s="84"/>
      <c r="N1583" s="84"/>
      <c r="O1583" s="84"/>
      <c r="P1583" s="84"/>
      <c r="Q1583" s="84"/>
      <c r="R1583" s="84"/>
    </row>
    <row r="1584" ht="15.75" customHeight="1">
      <c r="A1584" s="125"/>
      <c r="B1584" s="125"/>
      <c r="C1584" s="125"/>
      <c r="D1584" s="125"/>
      <c r="E1584" s="126"/>
      <c r="F1584" s="126"/>
      <c r="G1584" s="125"/>
      <c r="H1584" s="125"/>
      <c r="I1584" s="99"/>
      <c r="K1584" s="84"/>
      <c r="L1584" s="84"/>
      <c r="M1584" s="84"/>
      <c r="N1584" s="84"/>
      <c r="O1584" s="84"/>
      <c r="P1584" s="84"/>
      <c r="Q1584" s="84"/>
      <c r="R1584" s="84"/>
    </row>
    <row r="1585" ht="15.75" customHeight="1">
      <c r="A1585" s="125"/>
      <c r="B1585" s="125"/>
      <c r="C1585" s="125"/>
      <c r="D1585" s="125"/>
      <c r="E1585" s="126"/>
      <c r="F1585" s="126"/>
      <c r="G1585" s="125"/>
      <c r="H1585" s="125"/>
      <c r="I1585" s="99"/>
      <c r="K1585" s="84"/>
      <c r="L1585" s="84"/>
      <c r="M1585" s="84"/>
      <c r="N1585" s="84"/>
      <c r="O1585" s="84"/>
      <c r="P1585" s="84"/>
      <c r="Q1585" s="84"/>
      <c r="R1585" s="84"/>
    </row>
    <row r="1586" ht="15.75" customHeight="1">
      <c r="A1586" s="125"/>
      <c r="B1586" s="125"/>
      <c r="C1586" s="125"/>
      <c r="D1586" s="125"/>
      <c r="E1586" s="126"/>
      <c r="F1586" s="126"/>
      <c r="G1586" s="125"/>
      <c r="H1586" s="125"/>
      <c r="I1586" s="99"/>
      <c r="K1586" s="84"/>
      <c r="L1586" s="84"/>
      <c r="M1586" s="84"/>
      <c r="N1586" s="84"/>
      <c r="O1586" s="84"/>
      <c r="P1586" s="84"/>
      <c r="Q1586" s="84"/>
      <c r="R1586" s="84"/>
    </row>
    <row r="1587" ht="15.75" customHeight="1">
      <c r="A1587" s="125"/>
      <c r="B1587" s="125"/>
      <c r="C1587" s="125"/>
      <c r="D1587" s="125"/>
      <c r="E1587" s="126"/>
      <c r="F1587" s="126"/>
      <c r="G1587" s="125"/>
      <c r="H1587" s="125"/>
      <c r="I1587" s="99"/>
      <c r="K1587" s="84"/>
      <c r="L1587" s="84"/>
      <c r="M1587" s="84"/>
      <c r="N1587" s="84"/>
      <c r="O1587" s="84"/>
      <c r="P1587" s="84"/>
      <c r="Q1587" s="84"/>
      <c r="R1587" s="84"/>
    </row>
    <row r="1588" ht="15.75" customHeight="1">
      <c r="A1588" s="125"/>
      <c r="B1588" s="125"/>
      <c r="C1588" s="125"/>
      <c r="D1588" s="125"/>
      <c r="E1588" s="126"/>
      <c r="F1588" s="126"/>
      <c r="G1588" s="125"/>
      <c r="H1588" s="125"/>
      <c r="I1588" s="99"/>
      <c r="K1588" s="84"/>
      <c r="L1588" s="84"/>
      <c r="M1588" s="84"/>
      <c r="N1588" s="84"/>
      <c r="O1588" s="84"/>
      <c r="P1588" s="84"/>
      <c r="Q1588" s="84"/>
      <c r="R1588" s="84"/>
    </row>
    <row r="1589" ht="15.75" customHeight="1">
      <c r="A1589" s="125"/>
      <c r="B1589" s="125"/>
      <c r="C1589" s="125"/>
      <c r="D1589" s="125"/>
      <c r="E1589" s="126"/>
      <c r="F1589" s="126"/>
      <c r="G1589" s="125"/>
      <c r="H1589" s="125"/>
      <c r="I1589" s="99"/>
      <c r="K1589" s="84"/>
      <c r="L1589" s="84"/>
      <c r="M1589" s="84"/>
      <c r="N1589" s="84"/>
      <c r="O1589" s="84"/>
      <c r="P1589" s="84"/>
      <c r="Q1589" s="84"/>
      <c r="R1589" s="84"/>
    </row>
    <row r="1590" ht="15.75" customHeight="1">
      <c r="A1590" s="125"/>
      <c r="B1590" s="125"/>
      <c r="C1590" s="125"/>
      <c r="D1590" s="125"/>
      <c r="E1590" s="126"/>
      <c r="F1590" s="126"/>
      <c r="G1590" s="125"/>
      <c r="H1590" s="125"/>
      <c r="I1590" s="99"/>
      <c r="K1590" s="84"/>
      <c r="L1590" s="84"/>
      <c r="M1590" s="84"/>
      <c r="N1590" s="84"/>
      <c r="O1590" s="84"/>
      <c r="P1590" s="84"/>
      <c r="Q1590" s="84"/>
      <c r="R1590" s="84"/>
    </row>
    <row r="1591" ht="15.75" customHeight="1">
      <c r="A1591" s="125"/>
      <c r="B1591" s="125"/>
      <c r="C1591" s="125"/>
      <c r="D1591" s="125"/>
      <c r="E1591" s="126"/>
      <c r="F1591" s="126"/>
      <c r="G1591" s="125"/>
      <c r="H1591" s="125"/>
      <c r="I1591" s="99"/>
      <c r="K1591" s="84"/>
      <c r="M1591" s="84"/>
      <c r="N1591" s="84"/>
      <c r="O1591" s="84"/>
      <c r="P1591" s="84"/>
      <c r="Q1591" s="84"/>
      <c r="R1591" s="84"/>
    </row>
    <row r="1592" ht="15.75" customHeight="1">
      <c r="A1592" s="125"/>
      <c r="B1592" s="125"/>
      <c r="C1592" s="125"/>
      <c r="D1592" s="125"/>
      <c r="E1592" s="126"/>
      <c r="F1592" s="126"/>
      <c r="G1592" s="125"/>
      <c r="H1592" s="125"/>
      <c r="I1592" s="99"/>
      <c r="K1592" s="84"/>
      <c r="M1592" s="84"/>
      <c r="N1592" s="84"/>
      <c r="O1592" s="84"/>
      <c r="P1592" s="84"/>
      <c r="Q1592" s="84"/>
      <c r="R1592" s="84"/>
    </row>
    <row r="1593" ht="15.75" customHeight="1">
      <c r="A1593" s="125"/>
      <c r="B1593" s="125"/>
      <c r="C1593" s="125"/>
      <c r="D1593" s="125"/>
      <c r="E1593" s="126"/>
      <c r="F1593" s="126"/>
      <c r="G1593" s="125"/>
      <c r="H1593" s="125"/>
      <c r="I1593" s="99"/>
      <c r="K1593" s="84"/>
      <c r="M1593" s="84"/>
      <c r="N1593" s="84"/>
      <c r="O1593" s="84"/>
      <c r="P1593" s="84"/>
      <c r="Q1593" s="84"/>
      <c r="R1593" s="84"/>
    </row>
    <row r="1594" ht="15.75" customHeight="1">
      <c r="A1594" s="125"/>
      <c r="B1594" s="125"/>
      <c r="C1594" s="125"/>
      <c r="D1594" s="125"/>
      <c r="E1594" s="126"/>
      <c r="F1594" s="126"/>
      <c r="G1594" s="125"/>
      <c r="H1594" s="125"/>
      <c r="I1594" s="99"/>
      <c r="K1594" s="84"/>
      <c r="M1594" s="84"/>
      <c r="N1594" s="84"/>
      <c r="O1594" s="84"/>
      <c r="P1594" s="84"/>
      <c r="Q1594" s="84"/>
      <c r="R1594" s="84"/>
    </row>
    <row r="1595" ht="15.75" customHeight="1">
      <c r="A1595" s="125"/>
      <c r="B1595" s="125"/>
      <c r="C1595" s="125"/>
      <c r="D1595" s="125"/>
      <c r="E1595" s="126"/>
      <c r="F1595" s="126"/>
      <c r="G1595" s="125"/>
      <c r="H1595" s="125"/>
      <c r="I1595" s="99"/>
      <c r="K1595" s="84"/>
      <c r="M1595" s="84"/>
      <c r="N1595" s="84"/>
      <c r="O1595" s="84"/>
      <c r="P1595" s="84"/>
      <c r="Q1595" s="84"/>
      <c r="R1595" s="84"/>
    </row>
    <row r="1596" ht="15.75" customHeight="1">
      <c r="A1596" s="125"/>
      <c r="B1596" s="125"/>
      <c r="C1596" s="125"/>
      <c r="D1596" s="125"/>
      <c r="E1596" s="126"/>
      <c r="F1596" s="126"/>
      <c r="G1596" s="125"/>
      <c r="H1596" s="125"/>
      <c r="I1596" s="99"/>
      <c r="K1596" s="84"/>
      <c r="M1596" s="84"/>
      <c r="N1596" s="84"/>
      <c r="O1596" s="84"/>
      <c r="P1596" s="84"/>
      <c r="Q1596" s="84"/>
      <c r="R1596" s="84"/>
    </row>
    <row r="1597" ht="15.75" customHeight="1">
      <c r="A1597" s="125"/>
      <c r="B1597" s="125"/>
      <c r="C1597" s="125"/>
      <c r="D1597" s="125"/>
      <c r="E1597" s="126"/>
      <c r="F1597" s="126"/>
      <c r="G1597" s="125"/>
      <c r="H1597" s="125"/>
      <c r="I1597" s="99"/>
      <c r="K1597" s="84"/>
      <c r="M1597" s="84"/>
      <c r="N1597" s="84"/>
      <c r="O1597" s="84"/>
      <c r="P1597" s="84"/>
      <c r="Q1597" s="84"/>
      <c r="R1597" s="84"/>
    </row>
    <row r="1598" ht="15.75" customHeight="1">
      <c r="A1598" s="125"/>
      <c r="B1598" s="125"/>
      <c r="C1598" s="125"/>
      <c r="D1598" s="125"/>
      <c r="E1598" s="126"/>
      <c r="F1598" s="126"/>
      <c r="G1598" s="125"/>
      <c r="H1598" s="125"/>
      <c r="I1598" s="99"/>
      <c r="K1598" s="84"/>
      <c r="M1598" s="84"/>
      <c r="N1598" s="84"/>
      <c r="O1598" s="84"/>
      <c r="P1598" s="84"/>
      <c r="Q1598" s="84"/>
      <c r="R1598" s="84"/>
    </row>
    <row r="1599" ht="15.75" customHeight="1">
      <c r="A1599" s="125"/>
      <c r="B1599" s="125"/>
      <c r="C1599" s="125"/>
      <c r="D1599" s="125"/>
      <c r="E1599" s="126"/>
      <c r="F1599" s="126"/>
      <c r="G1599" s="125"/>
      <c r="H1599" s="125"/>
      <c r="I1599" s="99"/>
      <c r="K1599" s="84"/>
      <c r="M1599" s="84"/>
      <c r="N1599" s="84"/>
      <c r="O1599" s="84"/>
      <c r="P1599" s="84"/>
      <c r="Q1599" s="84"/>
      <c r="R1599" s="84"/>
    </row>
    <row r="1600" ht="15.75" customHeight="1">
      <c r="A1600" s="125"/>
      <c r="B1600" s="125"/>
      <c r="C1600" s="125"/>
      <c r="D1600" s="125"/>
      <c r="E1600" s="126"/>
      <c r="F1600" s="126"/>
      <c r="G1600" s="125"/>
      <c r="H1600" s="125"/>
      <c r="I1600" s="99"/>
      <c r="K1600" s="84"/>
      <c r="M1600" s="84"/>
      <c r="N1600" s="84"/>
      <c r="O1600" s="84"/>
      <c r="P1600" s="84"/>
      <c r="Q1600" s="84"/>
      <c r="R1600" s="84"/>
    </row>
    <row r="1601" ht="15.75" customHeight="1">
      <c r="A1601" s="125"/>
      <c r="B1601" s="125"/>
      <c r="C1601" s="125"/>
      <c r="D1601" s="125"/>
      <c r="E1601" s="126"/>
      <c r="F1601" s="126"/>
      <c r="G1601" s="125"/>
      <c r="H1601" s="125"/>
      <c r="I1601" s="99"/>
      <c r="K1601" s="84"/>
      <c r="M1601" s="84"/>
      <c r="N1601" s="84"/>
      <c r="O1601" s="84"/>
      <c r="P1601" s="84"/>
      <c r="Q1601" s="84"/>
      <c r="R1601" s="84"/>
    </row>
  </sheetData>
  <mergeCells count="24">
    <mergeCell ref="C2:C13"/>
    <mergeCell ref="C14:C19"/>
    <mergeCell ref="C20:C43"/>
    <mergeCell ref="C44:C82"/>
    <mergeCell ref="C83:C94"/>
    <mergeCell ref="C95:C109"/>
    <mergeCell ref="C112:C114"/>
    <mergeCell ref="C115:C126"/>
    <mergeCell ref="C127:C135"/>
    <mergeCell ref="C136:C144"/>
    <mergeCell ref="C145:C146"/>
    <mergeCell ref="C147:C155"/>
    <mergeCell ref="C156:C182"/>
    <mergeCell ref="C183:C209"/>
    <mergeCell ref="C363:C445"/>
    <mergeCell ref="C446:C589"/>
    <mergeCell ref="C590:C601"/>
    <mergeCell ref="C210:C230"/>
    <mergeCell ref="C231:C251"/>
    <mergeCell ref="C252:C270"/>
    <mergeCell ref="C271:C273"/>
    <mergeCell ref="C274:C276"/>
    <mergeCell ref="C277:C279"/>
    <mergeCell ref="C280:C362"/>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1.22" defaultRowHeight="15.0"/>
  <cols>
    <col customWidth="1" min="1" max="1" width="10.11"/>
    <col customWidth="1" min="2" max="2" width="71.56"/>
    <col customWidth="1" min="3" max="3" width="28.11"/>
    <col customWidth="1" min="4" max="4" width="6.22"/>
    <col customWidth="1" min="5" max="5" width="6.44"/>
    <col customWidth="1" min="6" max="6" width="6.78"/>
    <col customWidth="1" min="7" max="7" width="4.89"/>
    <col customWidth="1" min="8" max="8" width="44.56"/>
    <col customWidth="1" min="9" max="9" width="9.11"/>
    <col customWidth="1" min="11" max="11" width="10.56"/>
    <col customWidth="1" min="12" max="12" width="9.56"/>
    <col customWidth="1" min="13" max="13" width="8.44"/>
    <col customWidth="1" min="14" max="14" width="8.11"/>
    <col customWidth="1" min="15" max="15" width="8.22"/>
    <col customWidth="1" min="16" max="18" width="8.0"/>
  </cols>
  <sheetData>
    <row r="1" ht="15.75" customHeight="1">
      <c r="A1" s="128" t="s">
        <v>219</v>
      </c>
      <c r="B1" s="82" t="s">
        <v>220</v>
      </c>
      <c r="C1" s="82" t="s">
        <v>221</v>
      </c>
      <c r="D1" s="82" t="s">
        <v>222</v>
      </c>
      <c r="E1" s="83" t="s">
        <v>223</v>
      </c>
      <c r="F1" s="83" t="s">
        <v>224</v>
      </c>
      <c r="G1" s="82" t="s">
        <v>225</v>
      </c>
      <c r="H1" s="82" t="s">
        <v>46</v>
      </c>
      <c r="I1" s="84"/>
      <c r="K1" s="84"/>
      <c r="L1" s="51" t="s">
        <v>1120</v>
      </c>
      <c r="M1" s="51" t="s">
        <v>1120</v>
      </c>
    </row>
    <row r="2" ht="15.75" customHeight="1">
      <c r="A2" s="129">
        <v>1.0011E7</v>
      </c>
      <c r="B2" s="106" t="s">
        <v>1121</v>
      </c>
      <c r="C2" s="130" t="s">
        <v>1122</v>
      </c>
      <c r="D2" s="106" t="s">
        <v>228</v>
      </c>
      <c r="E2" s="131" t="s">
        <v>1123</v>
      </c>
      <c r="F2" s="132"/>
      <c r="G2" s="106" t="s">
        <v>1124</v>
      </c>
      <c r="H2" s="133"/>
      <c r="I2" s="89"/>
      <c r="K2" s="84"/>
      <c r="L2" s="99">
        <f t="shared" ref="L2:M2" si="1">COUNTIF(A2:A1214,A2)</f>
        <v>1</v>
      </c>
      <c r="M2" s="99">
        <f t="shared" si="1"/>
        <v>1</v>
      </c>
    </row>
    <row r="3" ht="15.75" customHeight="1">
      <c r="A3" s="129">
        <v>1.0011001E7</v>
      </c>
      <c r="B3" s="106" t="s">
        <v>1125</v>
      </c>
      <c r="C3" s="59"/>
      <c r="D3" s="134"/>
      <c r="E3" s="131" t="s">
        <v>1123</v>
      </c>
      <c r="F3" s="132"/>
      <c r="G3" s="106" t="s">
        <v>1124</v>
      </c>
      <c r="H3" s="133"/>
      <c r="I3" s="89"/>
      <c r="K3" s="84"/>
      <c r="L3" s="99">
        <f t="shared" ref="L3:M3" si="2">COUNTIF(A3:A1215,A3)</f>
        <v>1</v>
      </c>
      <c r="M3" s="99">
        <f t="shared" si="2"/>
        <v>1</v>
      </c>
    </row>
    <row r="4" ht="15.75" customHeight="1">
      <c r="A4" s="129">
        <v>1.0011002E7</v>
      </c>
      <c r="B4" s="106" t="s">
        <v>1126</v>
      </c>
      <c r="C4" s="59"/>
      <c r="D4" s="134"/>
      <c r="E4" s="131" t="s">
        <v>1123</v>
      </c>
      <c r="F4" s="132"/>
      <c r="G4" s="106" t="s">
        <v>1124</v>
      </c>
      <c r="H4" s="133"/>
      <c r="I4" s="89"/>
      <c r="K4" s="84"/>
      <c r="L4" s="99">
        <f t="shared" ref="L4:M4" si="3">COUNTIF(A4:A1216,A4)</f>
        <v>1</v>
      </c>
      <c r="M4" s="99">
        <f t="shared" si="3"/>
        <v>1</v>
      </c>
    </row>
    <row r="5" ht="15.75" customHeight="1">
      <c r="A5" s="129">
        <v>1.0011003E7</v>
      </c>
      <c r="B5" s="106" t="s">
        <v>1127</v>
      </c>
      <c r="C5" s="59"/>
      <c r="D5" s="134"/>
      <c r="E5" s="131" t="s">
        <v>1123</v>
      </c>
      <c r="F5" s="132"/>
      <c r="G5" s="106" t="s">
        <v>1124</v>
      </c>
      <c r="H5" s="133"/>
      <c r="I5" s="89"/>
      <c r="K5" s="84"/>
      <c r="L5" s="99">
        <f t="shared" ref="L5:M5" si="4">COUNTIF(A5:A1217,A5)</f>
        <v>1</v>
      </c>
      <c r="M5" s="99">
        <f t="shared" si="4"/>
        <v>1</v>
      </c>
    </row>
    <row r="6" ht="15.75" customHeight="1">
      <c r="A6" s="129">
        <v>1.0011004E7</v>
      </c>
      <c r="B6" s="106" t="s">
        <v>1128</v>
      </c>
      <c r="C6" s="59"/>
      <c r="D6" s="134"/>
      <c r="E6" s="131" t="s">
        <v>1123</v>
      </c>
      <c r="F6" s="132"/>
      <c r="G6" s="106" t="s">
        <v>1124</v>
      </c>
      <c r="H6" s="133"/>
      <c r="I6" s="89"/>
      <c r="K6" s="84"/>
      <c r="L6" s="99">
        <f t="shared" ref="L6:M6" si="5">COUNTIF(A6:A1218,A6)</f>
        <v>1</v>
      </c>
      <c r="M6" s="99">
        <f t="shared" si="5"/>
        <v>1</v>
      </c>
    </row>
    <row r="7" ht="15.75" customHeight="1">
      <c r="A7" s="129">
        <v>1.0011005E7</v>
      </c>
      <c r="B7" s="135" t="s">
        <v>1129</v>
      </c>
      <c r="C7" s="59"/>
      <c r="D7" s="134"/>
      <c r="E7" s="131" t="s">
        <v>1123</v>
      </c>
      <c r="F7" s="132"/>
      <c r="G7" s="106" t="s">
        <v>1124</v>
      </c>
      <c r="H7" s="133"/>
      <c r="I7" s="89"/>
      <c r="K7" s="84"/>
      <c r="L7" s="99">
        <f t="shared" ref="L7:M7" si="6">COUNTIF(A7:A1219,A7)</f>
        <v>1</v>
      </c>
      <c r="M7" s="99">
        <f t="shared" si="6"/>
        <v>1</v>
      </c>
    </row>
    <row r="8" ht="15.75" customHeight="1">
      <c r="A8" s="129">
        <v>1.001101E7</v>
      </c>
      <c r="B8" s="106" t="s">
        <v>1130</v>
      </c>
      <c r="C8" s="59"/>
      <c r="D8" s="106" t="s">
        <v>228</v>
      </c>
      <c r="E8" s="131" t="s">
        <v>1123</v>
      </c>
      <c r="F8" s="132"/>
      <c r="G8" s="106" t="s">
        <v>1124</v>
      </c>
      <c r="H8" s="133"/>
      <c r="I8" s="89"/>
      <c r="K8" s="84"/>
      <c r="L8" s="99">
        <f t="shared" ref="L8:M8" si="7">COUNTIF(A8:A1220,A8)</f>
        <v>1</v>
      </c>
      <c r="M8" s="99">
        <f t="shared" si="7"/>
        <v>1</v>
      </c>
    </row>
    <row r="9" ht="15.75" customHeight="1">
      <c r="A9" s="129">
        <v>1.0011011E7</v>
      </c>
      <c r="B9" s="106" t="s">
        <v>1131</v>
      </c>
      <c r="C9" s="59"/>
      <c r="D9" s="134"/>
      <c r="E9" s="131" t="s">
        <v>1123</v>
      </c>
      <c r="F9" s="132"/>
      <c r="G9" s="106" t="s">
        <v>1124</v>
      </c>
      <c r="H9" s="133"/>
      <c r="I9" s="89"/>
      <c r="K9" s="84"/>
      <c r="L9" s="99">
        <f t="shared" ref="L9:M9" si="8">COUNTIF(A9:A1221,A9)</f>
        <v>1</v>
      </c>
      <c r="M9" s="99">
        <f t="shared" si="8"/>
        <v>1</v>
      </c>
    </row>
    <row r="10" ht="15.75" customHeight="1">
      <c r="A10" s="129">
        <v>1.0011012E7</v>
      </c>
      <c r="B10" s="106" t="s">
        <v>1132</v>
      </c>
      <c r="C10" s="59"/>
      <c r="D10" s="134"/>
      <c r="E10" s="131" t="s">
        <v>1123</v>
      </c>
      <c r="F10" s="132"/>
      <c r="G10" s="106" t="s">
        <v>1124</v>
      </c>
      <c r="H10" s="133"/>
      <c r="I10" s="89"/>
      <c r="K10" s="84"/>
      <c r="L10" s="99">
        <f t="shared" ref="L10:M10" si="9">COUNTIF(A10:A1222,A10)</f>
        <v>1</v>
      </c>
      <c r="M10" s="99">
        <f t="shared" si="9"/>
        <v>1</v>
      </c>
    </row>
    <row r="11" ht="15.75" customHeight="1">
      <c r="A11" s="129">
        <v>1.0011013E7</v>
      </c>
      <c r="B11" s="106" t="s">
        <v>1133</v>
      </c>
      <c r="C11" s="59"/>
      <c r="D11" s="134"/>
      <c r="E11" s="131" t="s">
        <v>1123</v>
      </c>
      <c r="F11" s="132"/>
      <c r="G11" s="106" t="s">
        <v>1124</v>
      </c>
      <c r="H11" s="133"/>
      <c r="I11" s="89"/>
      <c r="K11" s="84"/>
      <c r="L11" s="99">
        <f t="shared" ref="L11:M11" si="10">COUNTIF(A11:A1223,A11)</f>
        <v>1</v>
      </c>
      <c r="M11" s="99">
        <f t="shared" si="10"/>
        <v>1</v>
      </c>
    </row>
    <row r="12" ht="15.75" customHeight="1">
      <c r="A12" s="129">
        <v>1.0011014E7</v>
      </c>
      <c r="B12" s="106" t="s">
        <v>1134</v>
      </c>
      <c r="C12" s="59"/>
      <c r="D12" s="134"/>
      <c r="E12" s="131" t="s">
        <v>1123</v>
      </c>
      <c r="F12" s="132"/>
      <c r="G12" s="106" t="s">
        <v>1124</v>
      </c>
      <c r="H12" s="133"/>
      <c r="I12" s="89"/>
      <c r="K12" s="84"/>
      <c r="L12" s="99">
        <f t="shared" ref="L12:M12" si="11">COUNTIF(A12:A1224,A12)</f>
        <v>1</v>
      </c>
      <c r="M12" s="99">
        <f t="shared" si="11"/>
        <v>1</v>
      </c>
    </row>
    <row r="13" ht="15.75" customHeight="1">
      <c r="A13" s="129">
        <v>1.0011015E7</v>
      </c>
      <c r="B13" s="136" t="s">
        <v>1135</v>
      </c>
      <c r="C13" s="59"/>
      <c r="D13" s="134"/>
      <c r="E13" s="131" t="s">
        <v>1123</v>
      </c>
      <c r="F13" s="132"/>
      <c r="G13" s="106" t="s">
        <v>1124</v>
      </c>
      <c r="H13" s="133"/>
      <c r="I13" s="89"/>
      <c r="K13" s="84"/>
      <c r="L13" s="99">
        <f t="shared" ref="L13:M13" si="12">COUNTIF(A13:A1225,A13)</f>
        <v>1</v>
      </c>
      <c r="M13" s="99">
        <f t="shared" si="12"/>
        <v>1</v>
      </c>
    </row>
    <row r="14" ht="15.75" customHeight="1">
      <c r="A14" s="129">
        <v>1.001102E7</v>
      </c>
      <c r="B14" s="106" t="s">
        <v>1136</v>
      </c>
      <c r="C14" s="59"/>
      <c r="D14" s="106" t="s">
        <v>228</v>
      </c>
      <c r="E14" s="131" t="s">
        <v>1123</v>
      </c>
      <c r="F14" s="132"/>
      <c r="G14" s="106" t="s">
        <v>1124</v>
      </c>
      <c r="H14" s="133"/>
      <c r="I14" s="89"/>
      <c r="K14" s="84"/>
      <c r="L14" s="99">
        <f t="shared" ref="L14:M14" si="13">COUNTIF(A14:A1226,A14)</f>
        <v>1</v>
      </c>
      <c r="M14" s="99">
        <f t="shared" si="13"/>
        <v>1</v>
      </c>
    </row>
    <row r="15" ht="15.75" customHeight="1">
      <c r="A15" s="129">
        <v>1.0011021E7</v>
      </c>
      <c r="B15" s="106" t="s">
        <v>1137</v>
      </c>
      <c r="C15" s="59"/>
      <c r="D15" s="134"/>
      <c r="E15" s="131" t="s">
        <v>1123</v>
      </c>
      <c r="F15" s="132"/>
      <c r="G15" s="106" t="s">
        <v>1124</v>
      </c>
      <c r="H15" s="133"/>
      <c r="I15" s="89"/>
      <c r="K15" s="84"/>
      <c r="L15" s="99">
        <f t="shared" ref="L15:M15" si="14">COUNTIF(A15:A1227,A15)</f>
        <v>1</v>
      </c>
      <c r="M15" s="99">
        <f t="shared" si="14"/>
        <v>1</v>
      </c>
    </row>
    <row r="16" ht="15.75" customHeight="1">
      <c r="A16" s="129">
        <v>1.0011022E7</v>
      </c>
      <c r="B16" s="106" t="s">
        <v>1138</v>
      </c>
      <c r="C16" s="59"/>
      <c r="D16" s="134"/>
      <c r="E16" s="131" t="s">
        <v>1123</v>
      </c>
      <c r="F16" s="132"/>
      <c r="G16" s="106" t="s">
        <v>1124</v>
      </c>
      <c r="H16" s="133"/>
      <c r="I16" s="89"/>
      <c r="K16" s="84"/>
      <c r="L16" s="99">
        <f t="shared" ref="L16:M16" si="15">COUNTIF(A16:A1228,A16)</f>
        <v>1</v>
      </c>
      <c r="M16" s="99">
        <f t="shared" si="15"/>
        <v>1</v>
      </c>
    </row>
    <row r="17" ht="15.75" customHeight="1">
      <c r="A17" s="129">
        <v>1.0011023E7</v>
      </c>
      <c r="B17" s="106" t="s">
        <v>1139</v>
      </c>
      <c r="C17" s="59"/>
      <c r="D17" s="134"/>
      <c r="E17" s="131" t="s">
        <v>1123</v>
      </c>
      <c r="F17" s="132"/>
      <c r="G17" s="106" t="s">
        <v>1124</v>
      </c>
      <c r="H17" s="133"/>
      <c r="I17" s="89"/>
      <c r="K17" s="84"/>
      <c r="L17" s="99">
        <f t="shared" ref="L17:M17" si="16">COUNTIF(A17:A1229,A17)</f>
        <v>1</v>
      </c>
      <c r="M17" s="99">
        <f t="shared" si="16"/>
        <v>1</v>
      </c>
    </row>
    <row r="18" ht="15.75" customHeight="1">
      <c r="A18" s="129">
        <v>1.0011024E7</v>
      </c>
      <c r="B18" s="106" t="s">
        <v>1140</v>
      </c>
      <c r="C18" s="59"/>
      <c r="D18" s="134"/>
      <c r="E18" s="131" t="s">
        <v>1123</v>
      </c>
      <c r="F18" s="132"/>
      <c r="G18" s="106" t="s">
        <v>1124</v>
      </c>
      <c r="H18" s="133"/>
      <c r="I18" s="89"/>
      <c r="K18" s="84"/>
      <c r="L18" s="99">
        <f t="shared" ref="L18:M18" si="17">COUNTIF(A18:A1230,A18)</f>
        <v>1</v>
      </c>
      <c r="M18" s="99">
        <f t="shared" si="17"/>
        <v>1</v>
      </c>
    </row>
    <row r="19" ht="15.75" customHeight="1">
      <c r="A19" s="129">
        <v>1.0011025E7</v>
      </c>
      <c r="B19" s="137" t="s">
        <v>1141</v>
      </c>
      <c r="C19" s="59"/>
      <c r="D19" s="134"/>
      <c r="E19" s="131" t="s">
        <v>1123</v>
      </c>
      <c r="F19" s="132"/>
      <c r="G19" s="106" t="s">
        <v>1124</v>
      </c>
      <c r="H19" s="133"/>
      <c r="I19" s="89"/>
      <c r="K19" s="84"/>
      <c r="L19" s="99">
        <f t="shared" ref="L19:M19" si="18">COUNTIF(A19:A1231,A19)</f>
        <v>1</v>
      </c>
      <c r="M19" s="99">
        <f t="shared" si="18"/>
        <v>1</v>
      </c>
    </row>
    <row r="20" ht="15.75" customHeight="1">
      <c r="A20" s="138">
        <v>1.0012E7</v>
      </c>
      <c r="B20" s="139" t="s">
        <v>1142</v>
      </c>
      <c r="C20" s="59"/>
      <c r="D20" s="140"/>
      <c r="E20" s="141"/>
      <c r="F20" s="142" t="s">
        <v>1143</v>
      </c>
      <c r="G20" s="139" t="s">
        <v>1124</v>
      </c>
      <c r="H20" s="143"/>
      <c r="I20" s="144"/>
      <c r="J20" s="145"/>
      <c r="K20" s="146"/>
      <c r="L20" s="99">
        <f t="shared" ref="L20:M20" si="19">COUNTIF(A20:A1232,A20)</f>
        <v>1</v>
      </c>
      <c r="M20" s="99">
        <f t="shared" si="19"/>
        <v>1</v>
      </c>
      <c r="N20" s="145"/>
      <c r="O20" s="145"/>
      <c r="P20" s="145"/>
      <c r="Q20" s="145"/>
      <c r="R20" s="145"/>
    </row>
    <row r="21" ht="15.75" customHeight="1">
      <c r="A21" s="129">
        <v>1.0012001E7</v>
      </c>
      <c r="B21" s="106" t="s">
        <v>1144</v>
      </c>
      <c r="C21" s="59"/>
      <c r="D21" s="134"/>
      <c r="E21" s="132"/>
      <c r="F21" s="131" t="s">
        <v>1143</v>
      </c>
      <c r="G21" s="106" t="s">
        <v>1124</v>
      </c>
      <c r="H21" s="147"/>
      <c r="I21" s="89"/>
      <c r="K21" s="84"/>
      <c r="L21" s="99">
        <f t="shared" ref="L21:M21" si="20">COUNTIF(A21:A1233,A21)</f>
        <v>1</v>
      </c>
      <c r="M21" s="99">
        <f t="shared" si="20"/>
        <v>1</v>
      </c>
    </row>
    <row r="22" ht="15.75" customHeight="1">
      <c r="A22" s="129">
        <v>1.0012002E7</v>
      </c>
      <c r="B22" s="106" t="s">
        <v>1145</v>
      </c>
      <c r="C22" s="59"/>
      <c r="D22" s="134"/>
      <c r="E22" s="132"/>
      <c r="F22" s="131" t="s">
        <v>1143</v>
      </c>
      <c r="G22" s="106" t="s">
        <v>1124</v>
      </c>
      <c r="H22" s="147"/>
      <c r="I22" s="89"/>
      <c r="K22" s="84"/>
      <c r="L22" s="99">
        <f t="shared" ref="L22:M22" si="21">COUNTIF(A22:A1234,A22)</f>
        <v>1</v>
      </c>
      <c r="M22" s="99">
        <f t="shared" si="21"/>
        <v>1</v>
      </c>
    </row>
    <row r="23" ht="15.75" customHeight="1">
      <c r="A23" s="129">
        <v>1.0012003E7</v>
      </c>
      <c r="B23" s="106" t="s">
        <v>1146</v>
      </c>
      <c r="C23" s="59"/>
      <c r="D23" s="134"/>
      <c r="E23" s="132"/>
      <c r="F23" s="131" t="s">
        <v>1143</v>
      </c>
      <c r="G23" s="106" t="s">
        <v>1124</v>
      </c>
      <c r="H23" s="147"/>
      <c r="I23" s="89"/>
      <c r="K23" s="84"/>
      <c r="L23" s="99">
        <f t="shared" ref="L23:M23" si="22">COUNTIF(A23:A1235,A23)</f>
        <v>1</v>
      </c>
      <c r="M23" s="99">
        <f t="shared" si="22"/>
        <v>1</v>
      </c>
    </row>
    <row r="24" ht="15.75" customHeight="1">
      <c r="A24" s="129">
        <v>1.0012004E7</v>
      </c>
      <c r="B24" s="106" t="s">
        <v>1147</v>
      </c>
      <c r="C24" s="59"/>
      <c r="D24" s="134"/>
      <c r="E24" s="132"/>
      <c r="F24" s="131" t="s">
        <v>1143</v>
      </c>
      <c r="G24" s="106" t="s">
        <v>1124</v>
      </c>
      <c r="H24" s="147"/>
      <c r="I24" s="89"/>
      <c r="K24" s="84"/>
      <c r="L24" s="99">
        <f t="shared" ref="L24:M24" si="23">COUNTIF(A24:A1236,A24)</f>
        <v>1</v>
      </c>
      <c r="M24" s="99">
        <f t="shared" si="23"/>
        <v>1</v>
      </c>
    </row>
    <row r="25" ht="15.75" customHeight="1">
      <c r="A25" s="129">
        <v>1.0012005E7</v>
      </c>
      <c r="B25" s="135" t="s">
        <v>1148</v>
      </c>
      <c r="C25" s="59"/>
      <c r="D25" s="134"/>
      <c r="E25" s="132"/>
      <c r="F25" s="131" t="s">
        <v>1143</v>
      </c>
      <c r="G25" s="106" t="s">
        <v>1124</v>
      </c>
      <c r="H25" s="147"/>
      <c r="I25" s="89"/>
      <c r="K25" s="84"/>
      <c r="L25" s="99">
        <f t="shared" ref="L25:M25" si="24">COUNTIF(A25:A1237,A25)</f>
        <v>1</v>
      </c>
      <c r="M25" s="99">
        <f t="shared" si="24"/>
        <v>1</v>
      </c>
    </row>
    <row r="26" ht="15.75" customHeight="1">
      <c r="A26" s="129">
        <v>1.001201E7</v>
      </c>
      <c r="B26" s="106" t="s">
        <v>1149</v>
      </c>
      <c r="C26" s="59"/>
      <c r="D26" s="134"/>
      <c r="E26" s="132"/>
      <c r="F26" s="131" t="s">
        <v>1143</v>
      </c>
      <c r="G26" s="106" t="s">
        <v>1124</v>
      </c>
      <c r="H26" s="147"/>
      <c r="I26" s="89"/>
      <c r="K26" s="84"/>
      <c r="L26" s="99">
        <f t="shared" ref="L26:M26" si="25">COUNTIF(A26:A1238,A26)</f>
        <v>1</v>
      </c>
      <c r="M26" s="99">
        <f t="shared" si="25"/>
        <v>1</v>
      </c>
    </row>
    <row r="27" ht="15.75" customHeight="1">
      <c r="A27" s="129">
        <v>1.0012011E7</v>
      </c>
      <c r="B27" s="106" t="s">
        <v>1150</v>
      </c>
      <c r="C27" s="59"/>
      <c r="D27" s="134"/>
      <c r="E27" s="132"/>
      <c r="F27" s="131" t="s">
        <v>1143</v>
      </c>
      <c r="G27" s="106" t="s">
        <v>1124</v>
      </c>
      <c r="H27" s="147"/>
      <c r="I27" s="89"/>
      <c r="K27" s="84"/>
      <c r="L27" s="99">
        <f t="shared" ref="L27:M27" si="26">COUNTIF(A27:A1239,A27)</f>
        <v>1</v>
      </c>
      <c r="M27" s="99">
        <f t="shared" si="26"/>
        <v>1</v>
      </c>
    </row>
    <row r="28" ht="15.75" customHeight="1">
      <c r="A28" s="129">
        <v>1.0012012E7</v>
      </c>
      <c r="B28" s="106" t="s">
        <v>1151</v>
      </c>
      <c r="C28" s="59"/>
      <c r="D28" s="134"/>
      <c r="E28" s="132"/>
      <c r="F28" s="131" t="s">
        <v>1143</v>
      </c>
      <c r="G28" s="106" t="s">
        <v>1124</v>
      </c>
      <c r="H28" s="147"/>
      <c r="I28" s="89"/>
      <c r="K28" s="84"/>
      <c r="L28" s="99">
        <f t="shared" ref="L28:M28" si="27">COUNTIF(A28:A1240,A28)</f>
        <v>1</v>
      </c>
      <c r="M28" s="99">
        <f t="shared" si="27"/>
        <v>1</v>
      </c>
    </row>
    <row r="29" ht="15.75" customHeight="1">
      <c r="A29" s="129">
        <v>1.0012013E7</v>
      </c>
      <c r="B29" s="106" t="s">
        <v>1152</v>
      </c>
      <c r="C29" s="59"/>
      <c r="D29" s="134"/>
      <c r="E29" s="132"/>
      <c r="F29" s="131" t="s">
        <v>1143</v>
      </c>
      <c r="G29" s="106" t="s">
        <v>1124</v>
      </c>
      <c r="H29" s="147"/>
      <c r="I29" s="89"/>
      <c r="K29" s="84"/>
      <c r="L29" s="99">
        <f t="shared" ref="L29:M29" si="28">COUNTIF(A29:A1241,A29)</f>
        <v>1</v>
      </c>
      <c r="M29" s="99">
        <f t="shared" si="28"/>
        <v>1</v>
      </c>
    </row>
    <row r="30" ht="15.75" customHeight="1">
      <c r="A30" s="129">
        <v>1.0012014E7</v>
      </c>
      <c r="B30" s="106" t="s">
        <v>1153</v>
      </c>
      <c r="C30" s="59"/>
      <c r="D30" s="134"/>
      <c r="E30" s="132"/>
      <c r="F30" s="131" t="s">
        <v>1143</v>
      </c>
      <c r="G30" s="106" t="s">
        <v>1124</v>
      </c>
      <c r="H30" s="147"/>
      <c r="I30" s="89"/>
      <c r="K30" s="84"/>
      <c r="L30" s="99">
        <f t="shared" ref="L30:M30" si="29">COUNTIF(A30:A1242,A30)</f>
        <v>1</v>
      </c>
      <c r="M30" s="99">
        <f t="shared" si="29"/>
        <v>1</v>
      </c>
    </row>
    <row r="31" ht="15.75" customHeight="1">
      <c r="A31" s="129">
        <v>1.0012015E7</v>
      </c>
      <c r="B31" s="136" t="s">
        <v>1154</v>
      </c>
      <c r="C31" s="59"/>
      <c r="D31" s="134"/>
      <c r="E31" s="132"/>
      <c r="F31" s="131" t="s">
        <v>1143</v>
      </c>
      <c r="G31" s="106" t="s">
        <v>1124</v>
      </c>
      <c r="H31" s="147"/>
      <c r="I31" s="89"/>
      <c r="K31" s="84"/>
      <c r="L31" s="99">
        <f t="shared" ref="L31:M31" si="30">COUNTIF(A31:A1243,A31)</f>
        <v>1</v>
      </c>
      <c r="M31" s="99">
        <f t="shared" si="30"/>
        <v>1</v>
      </c>
    </row>
    <row r="32" ht="15.75" customHeight="1">
      <c r="A32" s="129">
        <v>1.001202E7</v>
      </c>
      <c r="B32" s="139" t="s">
        <v>1155</v>
      </c>
      <c r="C32" s="59"/>
      <c r="D32" s="134"/>
      <c r="E32" s="132"/>
      <c r="F32" s="131" t="s">
        <v>1143</v>
      </c>
      <c r="G32" s="106" t="s">
        <v>1124</v>
      </c>
      <c r="H32" s="147"/>
      <c r="I32" s="89"/>
      <c r="K32" s="84"/>
      <c r="L32" s="99">
        <f t="shared" ref="L32:M32" si="31">COUNTIF(A32:A1244,A32)</f>
        <v>1</v>
      </c>
      <c r="M32" s="99">
        <f t="shared" si="31"/>
        <v>1</v>
      </c>
    </row>
    <row r="33" ht="15.75" customHeight="1">
      <c r="A33" s="129">
        <v>1.0012021E7</v>
      </c>
      <c r="B33" s="106" t="s">
        <v>1156</v>
      </c>
      <c r="C33" s="59"/>
      <c r="D33" s="134"/>
      <c r="E33" s="132"/>
      <c r="F33" s="131" t="s">
        <v>1143</v>
      </c>
      <c r="G33" s="106" t="s">
        <v>1124</v>
      </c>
      <c r="H33" s="147"/>
      <c r="I33" s="89"/>
      <c r="K33" s="84"/>
      <c r="L33" s="99">
        <f t="shared" ref="L33:M33" si="32">COUNTIF(A33:A1245,A33)</f>
        <v>1</v>
      </c>
      <c r="M33" s="99">
        <f t="shared" si="32"/>
        <v>1</v>
      </c>
    </row>
    <row r="34" ht="15.75" customHeight="1">
      <c r="A34" s="129">
        <v>1.0012022E7</v>
      </c>
      <c r="B34" s="106" t="s">
        <v>1157</v>
      </c>
      <c r="C34" s="59"/>
      <c r="D34" s="134"/>
      <c r="E34" s="132"/>
      <c r="F34" s="131" t="s">
        <v>1143</v>
      </c>
      <c r="G34" s="106" t="s">
        <v>1124</v>
      </c>
      <c r="H34" s="147"/>
      <c r="I34" s="89"/>
      <c r="K34" s="84"/>
      <c r="L34" s="99">
        <f t="shared" ref="L34:M34" si="33">COUNTIF(A34:A1246,A34)</f>
        <v>1</v>
      </c>
      <c r="M34" s="99">
        <f t="shared" si="33"/>
        <v>1</v>
      </c>
    </row>
    <row r="35" ht="15.75" customHeight="1">
      <c r="A35" s="129">
        <v>1.0012023E7</v>
      </c>
      <c r="B35" s="106" t="s">
        <v>1158</v>
      </c>
      <c r="C35" s="59"/>
      <c r="D35" s="134"/>
      <c r="E35" s="148"/>
      <c r="F35" s="131" t="s">
        <v>1143</v>
      </c>
      <c r="G35" s="106" t="s">
        <v>1124</v>
      </c>
      <c r="H35" s="147"/>
      <c r="I35" s="89"/>
      <c r="K35" s="84"/>
      <c r="L35" s="99">
        <f t="shared" ref="L35:M35" si="34">COUNTIF(A35:A1247,A35)</f>
        <v>1</v>
      </c>
      <c r="M35" s="99">
        <f t="shared" si="34"/>
        <v>1</v>
      </c>
    </row>
    <row r="36" ht="15.75" customHeight="1">
      <c r="A36" s="129">
        <v>1.0012024E7</v>
      </c>
      <c r="B36" s="106" t="s">
        <v>1159</v>
      </c>
      <c r="C36" s="59"/>
      <c r="D36" s="134"/>
      <c r="E36" s="132"/>
      <c r="F36" s="131" t="s">
        <v>1143</v>
      </c>
      <c r="G36" s="106" t="s">
        <v>1124</v>
      </c>
      <c r="H36" s="147"/>
      <c r="I36" s="89"/>
      <c r="K36" s="84"/>
      <c r="L36" s="99">
        <f t="shared" ref="L36:M36" si="35">COUNTIF(A36:A1248,A36)</f>
        <v>1</v>
      </c>
      <c r="M36" s="99">
        <f t="shared" si="35"/>
        <v>1</v>
      </c>
    </row>
    <row r="37" ht="15.75" customHeight="1">
      <c r="A37" s="129">
        <v>1.0012025E7</v>
      </c>
      <c r="B37" s="137" t="s">
        <v>1160</v>
      </c>
      <c r="C37" s="59"/>
      <c r="D37" s="134"/>
      <c r="E37" s="149"/>
      <c r="F37" s="131" t="s">
        <v>1143</v>
      </c>
      <c r="G37" s="106" t="s">
        <v>1124</v>
      </c>
      <c r="H37" s="147"/>
      <c r="I37" s="89"/>
      <c r="K37" s="84"/>
      <c r="L37" s="99">
        <f t="shared" ref="L37:M37" si="36">COUNTIF(A37:A1249,A37)</f>
        <v>1</v>
      </c>
      <c r="M37" s="99">
        <f t="shared" si="36"/>
        <v>1</v>
      </c>
    </row>
    <row r="38" ht="15.75" customHeight="1">
      <c r="A38" s="129">
        <v>1.0013E7</v>
      </c>
      <c r="B38" s="106" t="s">
        <v>1161</v>
      </c>
      <c r="C38" s="59"/>
      <c r="D38" s="134"/>
      <c r="E38" s="132"/>
      <c r="F38" s="131" t="s">
        <v>1162</v>
      </c>
      <c r="G38" s="106" t="s">
        <v>1124</v>
      </c>
      <c r="H38" s="133"/>
      <c r="I38" s="89"/>
      <c r="K38" s="84"/>
      <c r="L38" s="99">
        <f t="shared" ref="L38:M38" si="37">COUNTIF(A38:A1250,A38)</f>
        <v>1</v>
      </c>
      <c r="M38" s="99">
        <f t="shared" si="37"/>
        <v>1</v>
      </c>
    </row>
    <row r="39" ht="15.75" customHeight="1">
      <c r="A39" s="129">
        <v>1.0013001E7</v>
      </c>
      <c r="B39" s="106" t="s">
        <v>1163</v>
      </c>
      <c r="C39" s="59"/>
      <c r="D39" s="134"/>
      <c r="E39" s="132"/>
      <c r="F39" s="131" t="s">
        <v>1164</v>
      </c>
      <c r="G39" s="106" t="s">
        <v>1124</v>
      </c>
      <c r="H39" s="133"/>
      <c r="I39" s="89"/>
      <c r="K39" s="84"/>
      <c r="L39" s="99">
        <f t="shared" ref="L39:M39" si="38">COUNTIF(A39:A1251,A39)</f>
        <v>1</v>
      </c>
      <c r="M39" s="99">
        <f t="shared" si="38"/>
        <v>1</v>
      </c>
    </row>
    <row r="40" ht="15.75" customHeight="1">
      <c r="A40" s="129">
        <v>1.0013002E7</v>
      </c>
      <c r="B40" s="106" t="s">
        <v>1165</v>
      </c>
      <c r="C40" s="59"/>
      <c r="D40" s="134"/>
      <c r="E40" s="132"/>
      <c r="F40" s="131" t="s">
        <v>1164</v>
      </c>
      <c r="G40" s="106" t="s">
        <v>1124</v>
      </c>
      <c r="H40" s="133"/>
      <c r="I40" s="89"/>
      <c r="K40" s="84"/>
      <c r="L40" s="99">
        <f t="shared" ref="L40:M40" si="39">COUNTIF(A40:A1252,A40)</f>
        <v>1</v>
      </c>
      <c r="M40" s="99">
        <f t="shared" si="39"/>
        <v>1</v>
      </c>
    </row>
    <row r="41" ht="15.75" customHeight="1">
      <c r="A41" s="129">
        <v>1.0013003E7</v>
      </c>
      <c r="B41" s="106" t="s">
        <v>1166</v>
      </c>
      <c r="C41" s="59"/>
      <c r="D41" s="134"/>
      <c r="E41" s="132"/>
      <c r="F41" s="131" t="s">
        <v>1164</v>
      </c>
      <c r="G41" s="106" t="s">
        <v>1124</v>
      </c>
      <c r="H41" s="133"/>
      <c r="I41" s="89"/>
      <c r="K41" s="84"/>
      <c r="L41" s="99">
        <f t="shared" ref="L41:M41" si="40">COUNTIF(A41:A1253,A41)</f>
        <v>1</v>
      </c>
      <c r="M41" s="99">
        <f t="shared" si="40"/>
        <v>1</v>
      </c>
    </row>
    <row r="42" ht="15.75" customHeight="1">
      <c r="A42" s="129">
        <v>1.0013004E7</v>
      </c>
      <c r="B42" s="135" t="s">
        <v>1167</v>
      </c>
      <c r="C42" s="59"/>
      <c r="D42" s="134"/>
      <c r="E42" s="132"/>
      <c r="F42" s="131" t="s">
        <v>1168</v>
      </c>
      <c r="G42" s="106" t="s">
        <v>1124</v>
      </c>
      <c r="H42" s="133"/>
      <c r="I42" s="89"/>
      <c r="K42" s="84"/>
      <c r="L42" s="99">
        <f t="shared" ref="L42:M42" si="41">COUNTIF(A42:A1254,A42)</f>
        <v>1</v>
      </c>
      <c r="M42" s="99">
        <f t="shared" si="41"/>
        <v>1</v>
      </c>
    </row>
    <row r="43" ht="15.75" customHeight="1">
      <c r="A43" s="129">
        <v>1.001301E7</v>
      </c>
      <c r="B43" s="106" t="s">
        <v>1169</v>
      </c>
      <c r="C43" s="59"/>
      <c r="D43" s="134"/>
      <c r="E43" s="132"/>
      <c r="F43" s="131" t="s">
        <v>1162</v>
      </c>
      <c r="G43" s="106" t="s">
        <v>1124</v>
      </c>
      <c r="H43" s="133"/>
      <c r="I43" s="89"/>
      <c r="K43" s="84"/>
      <c r="L43" s="99">
        <f t="shared" ref="L43:M43" si="42">COUNTIF(A43:A1255,A43)</f>
        <v>1</v>
      </c>
      <c r="M43" s="99">
        <f t="shared" si="42"/>
        <v>1</v>
      </c>
    </row>
    <row r="44" ht="15.75" customHeight="1">
      <c r="A44" s="129">
        <v>1.0013011E7</v>
      </c>
      <c r="B44" s="106" t="s">
        <v>1170</v>
      </c>
      <c r="C44" s="59"/>
      <c r="D44" s="134"/>
      <c r="E44" s="132"/>
      <c r="F44" s="131" t="s">
        <v>1164</v>
      </c>
      <c r="G44" s="106" t="s">
        <v>1124</v>
      </c>
      <c r="H44" s="133"/>
      <c r="I44" s="89"/>
      <c r="K44" s="84"/>
      <c r="L44" s="99">
        <f t="shared" ref="L44:M44" si="43">COUNTIF(A44:A1256,A44)</f>
        <v>1</v>
      </c>
      <c r="M44" s="99">
        <f t="shared" si="43"/>
        <v>1</v>
      </c>
    </row>
    <row r="45" ht="15.75" customHeight="1">
      <c r="A45" s="129">
        <v>1.0013012E7</v>
      </c>
      <c r="B45" s="106" t="s">
        <v>1171</v>
      </c>
      <c r="C45" s="59"/>
      <c r="D45" s="134"/>
      <c r="E45" s="132"/>
      <c r="F45" s="131" t="s">
        <v>1164</v>
      </c>
      <c r="G45" s="106" t="s">
        <v>1124</v>
      </c>
      <c r="H45" s="133"/>
      <c r="I45" s="89"/>
      <c r="K45" s="84"/>
      <c r="L45" s="99">
        <f t="shared" ref="L45:M45" si="44">COUNTIF(A45:A1257,A45)</f>
        <v>1</v>
      </c>
      <c r="M45" s="99">
        <f t="shared" si="44"/>
        <v>1</v>
      </c>
    </row>
    <row r="46" ht="15.75" customHeight="1">
      <c r="A46" s="129">
        <v>1.0013013E7</v>
      </c>
      <c r="B46" s="106" t="s">
        <v>1172</v>
      </c>
      <c r="C46" s="59"/>
      <c r="D46" s="134"/>
      <c r="E46" s="132"/>
      <c r="F46" s="131" t="s">
        <v>1164</v>
      </c>
      <c r="G46" s="106" t="s">
        <v>1124</v>
      </c>
      <c r="H46" s="133"/>
      <c r="I46" s="89"/>
      <c r="K46" s="84"/>
      <c r="L46" s="99">
        <f t="shared" ref="L46:M46" si="45">COUNTIF(A46:A1258,A46)</f>
        <v>1</v>
      </c>
      <c r="M46" s="99">
        <f t="shared" si="45"/>
        <v>1</v>
      </c>
    </row>
    <row r="47" ht="15.75" customHeight="1">
      <c r="A47" s="129">
        <v>1.0013014E7</v>
      </c>
      <c r="B47" s="136" t="s">
        <v>1173</v>
      </c>
      <c r="C47" s="59"/>
      <c r="D47" s="134"/>
      <c r="E47" s="132"/>
      <c r="F47" s="131" t="s">
        <v>1168</v>
      </c>
      <c r="G47" s="106" t="s">
        <v>1124</v>
      </c>
      <c r="H47" s="133"/>
      <c r="I47" s="89"/>
      <c r="K47" s="84"/>
      <c r="L47" s="99">
        <f t="shared" ref="L47:M47" si="46">COUNTIF(A47:A1259,A47)</f>
        <v>1</v>
      </c>
      <c r="M47" s="99">
        <f t="shared" si="46"/>
        <v>1</v>
      </c>
    </row>
    <row r="48" ht="15.75" customHeight="1">
      <c r="A48" s="129">
        <v>1.001302E7</v>
      </c>
      <c r="B48" s="106" t="s">
        <v>1174</v>
      </c>
      <c r="C48" s="59"/>
      <c r="D48" s="134"/>
      <c r="E48" s="132"/>
      <c r="F48" s="131" t="s">
        <v>1162</v>
      </c>
      <c r="G48" s="106" t="s">
        <v>1124</v>
      </c>
      <c r="H48" s="133"/>
      <c r="I48" s="89"/>
      <c r="K48" s="84"/>
      <c r="L48" s="99">
        <f t="shared" ref="L48:M48" si="47">COUNTIF(A48:A1260,A48)</f>
        <v>1</v>
      </c>
      <c r="M48" s="99">
        <f t="shared" si="47"/>
        <v>1</v>
      </c>
    </row>
    <row r="49" ht="15.75" customHeight="1">
      <c r="A49" s="129">
        <v>1.0013021E7</v>
      </c>
      <c r="B49" s="106" t="s">
        <v>1175</v>
      </c>
      <c r="C49" s="59"/>
      <c r="D49" s="134"/>
      <c r="E49" s="132"/>
      <c r="F49" s="131" t="s">
        <v>1164</v>
      </c>
      <c r="G49" s="106" t="s">
        <v>1124</v>
      </c>
      <c r="H49" s="147" t="s">
        <v>1176</v>
      </c>
      <c r="I49" s="89"/>
      <c r="K49" s="84"/>
      <c r="L49" s="99">
        <f t="shared" ref="L49:M49" si="48">COUNTIF(A49:A1261,A49)</f>
        <v>1</v>
      </c>
      <c r="M49" s="99">
        <f t="shared" si="48"/>
        <v>1</v>
      </c>
    </row>
    <row r="50" ht="15.75" customHeight="1">
      <c r="A50" s="129">
        <v>1.0013022E7</v>
      </c>
      <c r="B50" s="106" t="s">
        <v>1177</v>
      </c>
      <c r="C50" s="59"/>
      <c r="D50" s="134"/>
      <c r="E50" s="132"/>
      <c r="F50" s="131" t="s">
        <v>1164</v>
      </c>
      <c r="G50" s="106" t="s">
        <v>1124</v>
      </c>
      <c r="H50" s="150" t="s">
        <v>1178</v>
      </c>
      <c r="I50" s="89"/>
      <c r="K50" s="84"/>
      <c r="L50" s="99">
        <f t="shared" ref="L50:M50" si="49">COUNTIF(A50:A1262,A50)</f>
        <v>1</v>
      </c>
      <c r="M50" s="99">
        <f t="shared" si="49"/>
        <v>1</v>
      </c>
    </row>
    <row r="51" ht="15.75" customHeight="1">
      <c r="A51" s="129">
        <v>1.0013023E7</v>
      </c>
      <c r="B51" s="106" t="s">
        <v>1179</v>
      </c>
      <c r="C51" s="59"/>
      <c r="D51" s="134"/>
      <c r="E51" s="132"/>
      <c r="F51" s="131" t="s">
        <v>1164</v>
      </c>
      <c r="G51" s="106" t="s">
        <v>1124</v>
      </c>
      <c r="H51" s="133"/>
      <c r="I51" s="89"/>
      <c r="K51" s="84"/>
      <c r="L51" s="99">
        <f t="shared" ref="L51:M51" si="50">COUNTIF(A51:A1263,A51)</f>
        <v>1</v>
      </c>
      <c r="M51" s="99">
        <f t="shared" si="50"/>
        <v>1</v>
      </c>
    </row>
    <row r="52" ht="15.75" customHeight="1">
      <c r="A52" s="129">
        <v>1.0013024E7</v>
      </c>
      <c r="B52" s="137" t="s">
        <v>1180</v>
      </c>
      <c r="C52" s="59"/>
      <c r="D52" s="134"/>
      <c r="E52" s="132"/>
      <c r="F52" s="131" t="s">
        <v>1168</v>
      </c>
      <c r="G52" s="106" t="s">
        <v>1124</v>
      </c>
      <c r="H52" s="133"/>
      <c r="I52" s="89"/>
      <c r="K52" s="84"/>
      <c r="L52" s="99">
        <f t="shared" ref="L52:M52" si="51">COUNTIF(A52:A1264,A52)</f>
        <v>1</v>
      </c>
      <c r="M52" s="99">
        <f t="shared" si="51"/>
        <v>1</v>
      </c>
    </row>
    <row r="53" ht="15.75" customHeight="1">
      <c r="A53" s="151">
        <v>1.0014E7</v>
      </c>
      <c r="B53" s="105" t="s">
        <v>1181</v>
      </c>
      <c r="C53" s="59"/>
      <c r="D53" s="134"/>
      <c r="E53" s="131" t="s">
        <v>12</v>
      </c>
      <c r="F53" s="132"/>
      <c r="G53" s="106" t="s">
        <v>1124</v>
      </c>
      <c r="H53" s="133"/>
      <c r="I53" s="89"/>
      <c r="K53" s="84"/>
      <c r="L53" s="99">
        <f t="shared" ref="L53:M53" si="52">COUNTIF(A53:A1265,A53)</f>
        <v>1</v>
      </c>
      <c r="M53" s="99">
        <f t="shared" si="52"/>
        <v>1</v>
      </c>
    </row>
    <row r="54" ht="15.75" customHeight="1">
      <c r="A54" s="151">
        <v>1.0014001E7</v>
      </c>
      <c r="B54" s="105" t="s">
        <v>1182</v>
      </c>
      <c r="C54" s="59"/>
      <c r="D54" s="134"/>
      <c r="E54" s="131" t="s">
        <v>12</v>
      </c>
      <c r="F54" s="132"/>
      <c r="G54" s="106" t="s">
        <v>1124</v>
      </c>
      <c r="H54" s="133"/>
      <c r="I54" s="89"/>
      <c r="K54" s="84"/>
      <c r="L54" s="99">
        <f t="shared" ref="L54:M54" si="53">COUNTIF(A54:A1266,A54)</f>
        <v>1</v>
      </c>
      <c r="M54" s="99">
        <f t="shared" si="53"/>
        <v>1</v>
      </c>
    </row>
    <row r="55" ht="15.75" customHeight="1">
      <c r="A55" s="151">
        <v>1.0014002E7</v>
      </c>
      <c r="B55" s="105" t="s">
        <v>1183</v>
      </c>
      <c r="C55" s="59"/>
      <c r="D55" s="134"/>
      <c r="E55" s="131" t="s">
        <v>12</v>
      </c>
      <c r="F55" s="132"/>
      <c r="G55" s="106" t="s">
        <v>1124</v>
      </c>
      <c r="H55" s="133"/>
      <c r="I55" s="89"/>
      <c r="K55" s="84"/>
      <c r="L55" s="99">
        <f t="shared" ref="L55:M55" si="54">COUNTIF(A55:A1267,A55)</f>
        <v>1</v>
      </c>
      <c r="M55" s="99">
        <f t="shared" si="54"/>
        <v>1</v>
      </c>
    </row>
    <row r="56" ht="15.75" customHeight="1">
      <c r="A56" s="151">
        <v>1.0014003E7</v>
      </c>
      <c r="B56" s="105" t="s">
        <v>1184</v>
      </c>
      <c r="C56" s="59"/>
      <c r="D56" s="134"/>
      <c r="E56" s="131" t="s">
        <v>12</v>
      </c>
      <c r="F56" s="132"/>
      <c r="G56" s="106" t="s">
        <v>1124</v>
      </c>
      <c r="H56" s="133"/>
      <c r="I56" s="89"/>
      <c r="K56" s="84"/>
      <c r="L56" s="99">
        <f t="shared" ref="L56:M56" si="55">COUNTIF(A56:A1268,A56)</f>
        <v>1</v>
      </c>
      <c r="M56" s="99">
        <f t="shared" si="55"/>
        <v>1</v>
      </c>
    </row>
    <row r="57" ht="15.75" customHeight="1">
      <c r="A57" s="151">
        <v>1.0014004E7</v>
      </c>
      <c r="B57" s="152" t="s">
        <v>1185</v>
      </c>
      <c r="C57" s="59"/>
      <c r="D57" s="134"/>
      <c r="E57" s="131" t="s">
        <v>12</v>
      </c>
      <c r="F57" s="132"/>
      <c r="G57" s="106" t="s">
        <v>1124</v>
      </c>
      <c r="H57" s="133"/>
      <c r="I57" s="89"/>
      <c r="K57" s="84"/>
      <c r="L57" s="99">
        <f t="shared" ref="L57:M57" si="56">COUNTIF(A57:A1269,A57)</f>
        <v>1</v>
      </c>
      <c r="M57" s="99">
        <f t="shared" si="56"/>
        <v>1</v>
      </c>
    </row>
    <row r="58" ht="15.75" customHeight="1">
      <c r="A58" s="129">
        <v>1.001401E7</v>
      </c>
      <c r="B58" s="106" t="s">
        <v>1186</v>
      </c>
      <c r="C58" s="59"/>
      <c r="D58" s="134"/>
      <c r="E58" s="131" t="s">
        <v>12</v>
      </c>
      <c r="F58" s="132"/>
      <c r="G58" s="106" t="s">
        <v>1124</v>
      </c>
      <c r="H58" s="133"/>
      <c r="I58" s="89"/>
      <c r="K58" s="84"/>
      <c r="L58" s="99">
        <f t="shared" ref="L58:M58" si="57">COUNTIF(A58:A1270,A58)</f>
        <v>1</v>
      </c>
      <c r="M58" s="99">
        <f t="shared" si="57"/>
        <v>1</v>
      </c>
    </row>
    <row r="59" ht="15.75" customHeight="1">
      <c r="A59" s="129">
        <v>1.0014011E7</v>
      </c>
      <c r="B59" s="106" t="s">
        <v>1187</v>
      </c>
      <c r="C59" s="59"/>
      <c r="D59" s="134"/>
      <c r="E59" s="131" t="s">
        <v>12</v>
      </c>
      <c r="F59" s="132"/>
      <c r="G59" s="106" t="s">
        <v>1124</v>
      </c>
      <c r="H59" s="133"/>
      <c r="I59" s="89"/>
      <c r="K59" s="84"/>
      <c r="L59" s="99">
        <f t="shared" ref="L59:M59" si="58">COUNTIF(A59:A1271,A59)</f>
        <v>1</v>
      </c>
      <c r="M59" s="99">
        <f t="shared" si="58"/>
        <v>1</v>
      </c>
    </row>
    <row r="60" ht="15.75" customHeight="1">
      <c r="A60" s="129">
        <v>1.0014012E7</v>
      </c>
      <c r="B60" s="106" t="s">
        <v>1188</v>
      </c>
      <c r="C60" s="59"/>
      <c r="D60" s="134"/>
      <c r="E60" s="131" t="s">
        <v>12</v>
      </c>
      <c r="F60" s="132"/>
      <c r="G60" s="106" t="s">
        <v>1124</v>
      </c>
      <c r="H60" s="133"/>
      <c r="I60" s="89"/>
      <c r="K60" s="84"/>
      <c r="L60" s="99">
        <f t="shared" ref="L60:M60" si="59">COUNTIF(A60:A1272,A60)</f>
        <v>1</v>
      </c>
      <c r="M60" s="99">
        <f t="shared" si="59"/>
        <v>1</v>
      </c>
    </row>
    <row r="61" ht="15.75" customHeight="1">
      <c r="A61" s="129">
        <v>1.0014013E7</v>
      </c>
      <c r="B61" s="106" t="s">
        <v>1189</v>
      </c>
      <c r="C61" s="59"/>
      <c r="D61" s="134"/>
      <c r="E61" s="131" t="s">
        <v>12</v>
      </c>
      <c r="F61" s="132"/>
      <c r="G61" s="106" t="s">
        <v>1124</v>
      </c>
      <c r="H61" s="133"/>
      <c r="I61" s="89"/>
      <c r="K61" s="84"/>
      <c r="L61" s="99">
        <f t="shared" ref="L61:M61" si="60">COUNTIF(A61:A1273,A61)</f>
        <v>1</v>
      </c>
      <c r="M61" s="99">
        <f t="shared" si="60"/>
        <v>1</v>
      </c>
    </row>
    <row r="62" ht="15.75" customHeight="1">
      <c r="A62" s="129">
        <v>1.0014014E7</v>
      </c>
      <c r="B62" s="136" t="s">
        <v>1190</v>
      </c>
      <c r="C62" s="59"/>
      <c r="D62" s="134"/>
      <c r="E62" s="131" t="s">
        <v>12</v>
      </c>
      <c r="F62" s="132"/>
      <c r="G62" s="106" t="s">
        <v>1124</v>
      </c>
      <c r="H62" s="133"/>
      <c r="I62" s="89"/>
      <c r="K62" s="84"/>
      <c r="L62" s="99">
        <f t="shared" ref="L62:M62" si="61">COUNTIF(A62:A1274,A62)</f>
        <v>1</v>
      </c>
      <c r="M62" s="99">
        <f t="shared" si="61"/>
        <v>1</v>
      </c>
    </row>
    <row r="63" ht="15.75" customHeight="1">
      <c r="A63" s="129">
        <v>1.001402E7</v>
      </c>
      <c r="B63" s="106" t="s">
        <v>1191</v>
      </c>
      <c r="C63" s="59"/>
      <c r="D63" s="134"/>
      <c r="E63" s="131" t="s">
        <v>12</v>
      </c>
      <c r="F63" s="132"/>
      <c r="G63" s="106" t="s">
        <v>1124</v>
      </c>
      <c r="H63" s="133"/>
      <c r="I63" s="89"/>
      <c r="K63" s="84"/>
      <c r="L63" s="99">
        <f t="shared" ref="L63:M63" si="62">COUNTIF(A63:A1275,A63)</f>
        <v>1</v>
      </c>
      <c r="M63" s="99">
        <f t="shared" si="62"/>
        <v>1</v>
      </c>
    </row>
    <row r="64" ht="15.75" customHeight="1">
      <c r="A64" s="129">
        <v>1.0014021E7</v>
      </c>
      <c r="B64" s="106" t="s">
        <v>1192</v>
      </c>
      <c r="C64" s="59"/>
      <c r="D64" s="134"/>
      <c r="E64" s="131" t="s">
        <v>12</v>
      </c>
      <c r="F64" s="132"/>
      <c r="G64" s="106" t="s">
        <v>1124</v>
      </c>
      <c r="H64" s="133"/>
      <c r="I64" s="89"/>
      <c r="K64" s="84"/>
      <c r="L64" s="99">
        <f t="shared" ref="L64:M64" si="63">COUNTIF(A64:A1276,A64)</f>
        <v>1</v>
      </c>
      <c r="M64" s="99">
        <f t="shared" si="63"/>
        <v>1</v>
      </c>
    </row>
    <row r="65" ht="15.75" customHeight="1">
      <c r="A65" s="129">
        <v>1.0014022E7</v>
      </c>
      <c r="B65" s="106" t="s">
        <v>1193</v>
      </c>
      <c r="C65" s="59"/>
      <c r="D65" s="134"/>
      <c r="E65" s="131" t="s">
        <v>12</v>
      </c>
      <c r="F65" s="132"/>
      <c r="G65" s="106" t="s">
        <v>1124</v>
      </c>
      <c r="H65" s="133"/>
      <c r="I65" s="89"/>
      <c r="K65" s="84"/>
      <c r="L65" s="99">
        <f t="shared" ref="L65:M65" si="64">COUNTIF(A65:A1277,A65)</f>
        <v>1</v>
      </c>
      <c r="M65" s="99">
        <f t="shared" si="64"/>
        <v>1</v>
      </c>
    </row>
    <row r="66" ht="15.75" customHeight="1">
      <c r="A66" s="129">
        <v>1.0014023E7</v>
      </c>
      <c r="B66" s="106" t="s">
        <v>1194</v>
      </c>
      <c r="C66" s="59"/>
      <c r="D66" s="134"/>
      <c r="E66" s="131" t="s">
        <v>12</v>
      </c>
      <c r="F66" s="132"/>
      <c r="G66" s="106" t="s">
        <v>1124</v>
      </c>
      <c r="H66" s="133"/>
      <c r="I66" s="89"/>
      <c r="K66" s="84"/>
      <c r="L66" s="99">
        <f t="shared" ref="L66:M66" si="65">COUNTIF(A66:A1278,A66)</f>
        <v>1</v>
      </c>
      <c r="M66" s="99">
        <f t="shared" si="65"/>
        <v>1</v>
      </c>
    </row>
    <row r="67" ht="15.75" customHeight="1">
      <c r="A67" s="129">
        <v>1.0014024E7</v>
      </c>
      <c r="B67" s="137" t="s">
        <v>1195</v>
      </c>
      <c r="C67" s="73"/>
      <c r="D67" s="134"/>
      <c r="E67" s="131" t="s">
        <v>12</v>
      </c>
      <c r="F67" s="132"/>
      <c r="G67" s="106" t="s">
        <v>1124</v>
      </c>
      <c r="H67" s="133"/>
      <c r="I67" s="89"/>
      <c r="K67" s="84"/>
      <c r="L67" s="99">
        <f t="shared" ref="L67:M67" si="66">COUNTIF(A67:A1279,A67)</f>
        <v>1</v>
      </c>
      <c r="M67" s="99">
        <f t="shared" si="66"/>
        <v>1</v>
      </c>
    </row>
    <row r="68" ht="15.75" customHeight="1">
      <c r="A68" s="129">
        <v>1.002E7</v>
      </c>
      <c r="B68" s="153" t="s">
        <v>1196</v>
      </c>
      <c r="C68" s="130" t="s">
        <v>227</v>
      </c>
      <c r="D68" s="106" t="s">
        <v>228</v>
      </c>
      <c r="E68" s="131" t="s">
        <v>1197</v>
      </c>
      <c r="F68" s="131" t="s">
        <v>1198</v>
      </c>
      <c r="G68" s="106" t="s">
        <v>231</v>
      </c>
      <c r="H68" s="154"/>
      <c r="I68" s="89"/>
      <c r="K68" s="84"/>
      <c r="L68" s="99">
        <f t="shared" ref="L68:M68" si="67">COUNTIF(A68:A1280,A68)</f>
        <v>1</v>
      </c>
      <c r="M68" s="99">
        <f t="shared" si="67"/>
        <v>1</v>
      </c>
    </row>
    <row r="69" ht="15.75" customHeight="1">
      <c r="A69" s="129">
        <v>1.0020001E7</v>
      </c>
      <c r="B69" s="153" t="s">
        <v>1199</v>
      </c>
      <c r="C69" s="59"/>
      <c r="D69" s="133"/>
      <c r="E69" s="131" t="s">
        <v>1200</v>
      </c>
      <c r="F69" s="131" t="s">
        <v>1201</v>
      </c>
      <c r="G69" s="106" t="s">
        <v>231</v>
      </c>
      <c r="H69" s="154"/>
      <c r="I69" s="89"/>
      <c r="K69" s="84"/>
      <c r="L69" s="99">
        <f t="shared" ref="L69:M69" si="68">COUNTIF(A69:A1281,A69)</f>
        <v>1</v>
      </c>
      <c r="M69" s="99">
        <f t="shared" si="68"/>
        <v>1</v>
      </c>
    </row>
    <row r="70" ht="15.75" customHeight="1">
      <c r="A70" s="129">
        <v>1.0020002E7</v>
      </c>
      <c r="B70" s="106" t="s">
        <v>1202</v>
      </c>
      <c r="C70" s="59"/>
      <c r="D70" s="133"/>
      <c r="E70" s="131" t="s">
        <v>1200</v>
      </c>
      <c r="F70" s="131" t="s">
        <v>1201</v>
      </c>
      <c r="G70" s="106" t="s">
        <v>231</v>
      </c>
      <c r="H70" s="154"/>
      <c r="I70" s="89"/>
      <c r="K70" s="84"/>
      <c r="L70" s="99">
        <f t="shared" ref="L70:M70" si="69">COUNTIF(A70:A1282,A70)</f>
        <v>1</v>
      </c>
      <c r="M70" s="99">
        <f t="shared" si="69"/>
        <v>1</v>
      </c>
    </row>
    <row r="71" ht="15.75" customHeight="1">
      <c r="A71" s="129">
        <v>1.0020003E7</v>
      </c>
      <c r="B71" s="106" t="s">
        <v>1203</v>
      </c>
      <c r="C71" s="59"/>
      <c r="D71" s="133"/>
      <c r="E71" s="131" t="s">
        <v>1200</v>
      </c>
      <c r="F71" s="131" t="s">
        <v>1201</v>
      </c>
      <c r="G71" s="106" t="s">
        <v>231</v>
      </c>
      <c r="H71" s="154"/>
      <c r="I71" s="89"/>
      <c r="K71" s="84"/>
      <c r="L71" s="99">
        <f t="shared" ref="L71:M71" si="70">COUNTIF(A71:A1283,A71)</f>
        <v>1</v>
      </c>
      <c r="M71" s="99">
        <f t="shared" si="70"/>
        <v>1</v>
      </c>
    </row>
    <row r="72" ht="15.75" customHeight="1">
      <c r="A72" s="129">
        <v>1.002001E7</v>
      </c>
      <c r="B72" s="153" t="s">
        <v>1204</v>
      </c>
      <c r="C72" s="59"/>
      <c r="D72" s="106" t="s">
        <v>228</v>
      </c>
      <c r="E72" s="131" t="s">
        <v>1197</v>
      </c>
      <c r="F72" s="131" t="s">
        <v>1198</v>
      </c>
      <c r="G72" s="106" t="s">
        <v>231</v>
      </c>
      <c r="H72" s="154"/>
      <c r="I72" s="89"/>
      <c r="K72" s="84"/>
      <c r="L72" s="99">
        <f t="shared" ref="L72:M72" si="71">COUNTIF(A72:A1284,A72)</f>
        <v>1</v>
      </c>
      <c r="M72" s="99">
        <f t="shared" si="71"/>
        <v>1</v>
      </c>
    </row>
    <row r="73" ht="15.75" customHeight="1">
      <c r="A73" s="129">
        <v>1.0020011E7</v>
      </c>
      <c r="B73" s="153" t="s">
        <v>1205</v>
      </c>
      <c r="C73" s="59"/>
      <c r="D73" s="133"/>
      <c r="E73" s="131" t="s">
        <v>1200</v>
      </c>
      <c r="F73" s="131" t="s">
        <v>1201</v>
      </c>
      <c r="G73" s="106" t="s">
        <v>231</v>
      </c>
      <c r="H73" s="154"/>
      <c r="I73" s="89"/>
      <c r="K73" s="84"/>
      <c r="L73" s="99">
        <f t="shared" ref="L73:M73" si="72">COUNTIF(A73:A1285,A73)</f>
        <v>1</v>
      </c>
      <c r="M73" s="99">
        <f t="shared" si="72"/>
        <v>1</v>
      </c>
    </row>
    <row r="74" ht="15.75" customHeight="1">
      <c r="A74" s="129">
        <v>1.0020012E7</v>
      </c>
      <c r="B74" s="106" t="s">
        <v>1206</v>
      </c>
      <c r="C74" s="59"/>
      <c r="D74" s="133"/>
      <c r="E74" s="131" t="s">
        <v>1200</v>
      </c>
      <c r="F74" s="131" t="s">
        <v>1201</v>
      </c>
      <c r="G74" s="106" t="s">
        <v>231</v>
      </c>
      <c r="H74" s="154"/>
      <c r="I74" s="89"/>
      <c r="K74" s="84"/>
      <c r="L74" s="99">
        <f t="shared" ref="L74:M74" si="73">COUNTIF(A74:A1286,A74)</f>
        <v>1</v>
      </c>
      <c r="M74" s="99">
        <f t="shared" si="73"/>
        <v>1</v>
      </c>
    </row>
    <row r="75" ht="15.75" customHeight="1">
      <c r="A75" s="129">
        <v>1.0020013E7</v>
      </c>
      <c r="B75" s="106" t="s">
        <v>1207</v>
      </c>
      <c r="C75" s="59"/>
      <c r="D75" s="133"/>
      <c r="E75" s="131" t="s">
        <v>1200</v>
      </c>
      <c r="F75" s="131" t="s">
        <v>1201</v>
      </c>
      <c r="G75" s="106" t="s">
        <v>231</v>
      </c>
      <c r="H75" s="154"/>
      <c r="I75" s="89"/>
      <c r="K75" s="84"/>
      <c r="L75" s="99">
        <f t="shared" ref="L75:M75" si="74">COUNTIF(A75:A1287,A75)</f>
        <v>1</v>
      </c>
      <c r="M75" s="99">
        <f t="shared" si="74"/>
        <v>1</v>
      </c>
    </row>
    <row r="76" ht="15.75" customHeight="1">
      <c r="A76" s="129">
        <v>1.002002E7</v>
      </c>
      <c r="B76" s="153" t="s">
        <v>1208</v>
      </c>
      <c r="C76" s="59"/>
      <c r="D76" s="106" t="s">
        <v>228</v>
      </c>
      <c r="E76" s="131" t="s">
        <v>1197</v>
      </c>
      <c r="F76" s="131" t="s">
        <v>1198</v>
      </c>
      <c r="G76" s="106" t="s">
        <v>231</v>
      </c>
      <c r="H76" s="154"/>
      <c r="I76" s="89"/>
      <c r="K76" s="84"/>
      <c r="L76" s="99">
        <f t="shared" ref="L76:M76" si="75">COUNTIF(A76:A1288,A76)</f>
        <v>1</v>
      </c>
      <c r="M76" s="99">
        <f t="shared" si="75"/>
        <v>1</v>
      </c>
    </row>
    <row r="77" ht="15.75" customHeight="1">
      <c r="A77" s="129">
        <v>1.0020021E7</v>
      </c>
      <c r="B77" s="153" t="s">
        <v>1209</v>
      </c>
      <c r="C77" s="59"/>
      <c r="D77" s="133"/>
      <c r="E77" s="131" t="s">
        <v>1200</v>
      </c>
      <c r="F77" s="131" t="s">
        <v>1201</v>
      </c>
      <c r="G77" s="106" t="s">
        <v>231</v>
      </c>
      <c r="H77" s="154"/>
      <c r="I77" s="89"/>
      <c r="K77" s="84"/>
      <c r="L77" s="99">
        <f t="shared" ref="L77:M77" si="76">COUNTIF(A77:A1289,A77)</f>
        <v>1</v>
      </c>
      <c r="M77" s="99">
        <f t="shared" si="76"/>
        <v>1</v>
      </c>
    </row>
    <row r="78" ht="15.75" customHeight="1">
      <c r="A78" s="129">
        <v>1.0020022E7</v>
      </c>
      <c r="B78" s="106" t="s">
        <v>1210</v>
      </c>
      <c r="C78" s="59"/>
      <c r="D78" s="133"/>
      <c r="E78" s="131" t="s">
        <v>1200</v>
      </c>
      <c r="F78" s="131" t="s">
        <v>1201</v>
      </c>
      <c r="G78" s="106" t="s">
        <v>231</v>
      </c>
      <c r="H78" s="155"/>
      <c r="I78" s="89"/>
      <c r="K78" s="84"/>
      <c r="L78" s="99">
        <f t="shared" ref="L78:M78" si="77">COUNTIF(A78:A1290,A78)</f>
        <v>1</v>
      </c>
      <c r="M78" s="99">
        <f t="shared" si="77"/>
        <v>1</v>
      </c>
    </row>
    <row r="79" ht="15.75" customHeight="1">
      <c r="A79" s="129">
        <v>1.0020023E7</v>
      </c>
      <c r="B79" s="106" t="s">
        <v>1211</v>
      </c>
      <c r="C79" s="73"/>
      <c r="D79" s="133"/>
      <c r="E79" s="131" t="s">
        <v>1200</v>
      </c>
      <c r="F79" s="131" t="s">
        <v>1201</v>
      </c>
      <c r="G79" s="106" t="s">
        <v>231</v>
      </c>
      <c r="H79" s="155"/>
      <c r="I79" s="90"/>
      <c r="K79" s="84"/>
      <c r="L79" s="99">
        <f t="shared" ref="L79:M79" si="78">COUNTIF(A79:A1291,A79)</f>
        <v>1</v>
      </c>
      <c r="M79" s="99">
        <f t="shared" si="78"/>
        <v>1</v>
      </c>
    </row>
    <row r="80" ht="15.75" customHeight="1">
      <c r="A80" s="129">
        <v>1.1405E7</v>
      </c>
      <c r="B80" s="153" t="s">
        <v>1212</v>
      </c>
      <c r="C80" s="130" t="s">
        <v>246</v>
      </c>
      <c r="D80" s="106"/>
      <c r="E80" s="156"/>
      <c r="F80" s="156"/>
      <c r="G80" s="106" t="s">
        <v>231</v>
      </c>
      <c r="H80" s="147" t="s">
        <v>1213</v>
      </c>
      <c r="I80" s="90"/>
      <c r="K80" s="84"/>
      <c r="L80" s="99">
        <f t="shared" ref="L80:M80" si="79">COUNTIF(A80:A1292,A80)</f>
        <v>1</v>
      </c>
      <c r="M80" s="99">
        <f t="shared" si="79"/>
        <v>1</v>
      </c>
    </row>
    <row r="81" ht="15.75" customHeight="1">
      <c r="A81" s="129">
        <v>1.1405001E7</v>
      </c>
      <c r="B81" s="153" t="s">
        <v>1214</v>
      </c>
      <c r="C81" s="59"/>
      <c r="D81" s="106"/>
      <c r="E81" s="156"/>
      <c r="F81" s="156"/>
      <c r="G81" s="106" t="s">
        <v>231</v>
      </c>
      <c r="H81" s="147" t="s">
        <v>1213</v>
      </c>
      <c r="I81" s="90"/>
      <c r="K81" s="84"/>
      <c r="L81" s="99">
        <f t="shared" ref="L81:M81" si="80">COUNTIF(A81:A1293,A81)</f>
        <v>1</v>
      </c>
      <c r="M81" s="99">
        <f t="shared" si="80"/>
        <v>1</v>
      </c>
    </row>
    <row r="82" ht="15.75" customHeight="1">
      <c r="A82" s="129">
        <v>1.1405002E7</v>
      </c>
      <c r="B82" s="106" t="s">
        <v>1215</v>
      </c>
      <c r="C82" s="59"/>
      <c r="D82" s="106"/>
      <c r="E82" s="156"/>
      <c r="F82" s="156"/>
      <c r="G82" s="106" t="s">
        <v>231</v>
      </c>
      <c r="H82" s="147" t="s">
        <v>1213</v>
      </c>
      <c r="I82" s="90"/>
      <c r="K82" s="84"/>
      <c r="L82" s="99">
        <f t="shared" ref="L82:M82" si="81">COUNTIF(A82:A1294,A82)</f>
        <v>1</v>
      </c>
      <c r="M82" s="99">
        <f t="shared" si="81"/>
        <v>1</v>
      </c>
    </row>
    <row r="83" ht="15.75" customHeight="1">
      <c r="A83" s="129">
        <v>1.140501E7</v>
      </c>
      <c r="B83" s="153" t="s">
        <v>1216</v>
      </c>
      <c r="C83" s="59"/>
      <c r="D83" s="106"/>
      <c r="E83" s="156"/>
      <c r="F83" s="156"/>
      <c r="G83" s="106" t="s">
        <v>231</v>
      </c>
      <c r="H83" s="147" t="s">
        <v>1213</v>
      </c>
      <c r="I83" s="90"/>
      <c r="K83" s="84"/>
      <c r="L83" s="99">
        <f t="shared" ref="L83:M83" si="82">COUNTIF(A83:A1295,A83)</f>
        <v>1</v>
      </c>
      <c r="M83" s="99">
        <f t="shared" si="82"/>
        <v>1</v>
      </c>
    </row>
    <row r="84" ht="15.75" customHeight="1">
      <c r="A84" s="129">
        <v>1.1405011E7</v>
      </c>
      <c r="B84" s="153" t="s">
        <v>1217</v>
      </c>
      <c r="C84" s="59"/>
      <c r="D84" s="106"/>
      <c r="E84" s="156"/>
      <c r="F84" s="156"/>
      <c r="G84" s="106" t="s">
        <v>231</v>
      </c>
      <c r="H84" s="147" t="s">
        <v>1213</v>
      </c>
      <c r="I84" s="90"/>
      <c r="K84" s="84"/>
      <c r="L84" s="99">
        <f t="shared" ref="L84:M84" si="83">COUNTIF(A84:A1296,A84)</f>
        <v>1</v>
      </c>
      <c r="M84" s="99">
        <f t="shared" si="83"/>
        <v>1</v>
      </c>
    </row>
    <row r="85" ht="15.75" customHeight="1">
      <c r="A85" s="129">
        <v>1.1405012E7</v>
      </c>
      <c r="B85" s="106" t="s">
        <v>1218</v>
      </c>
      <c r="C85" s="59"/>
      <c r="D85" s="106"/>
      <c r="E85" s="156"/>
      <c r="F85" s="156"/>
      <c r="G85" s="106" t="s">
        <v>231</v>
      </c>
      <c r="H85" s="147" t="s">
        <v>1213</v>
      </c>
      <c r="I85" s="90"/>
      <c r="K85" s="84"/>
      <c r="L85" s="99">
        <f t="shared" ref="L85:M85" si="84">COUNTIF(A85:A1297,A85)</f>
        <v>1</v>
      </c>
      <c r="M85" s="99">
        <f t="shared" si="84"/>
        <v>1</v>
      </c>
    </row>
    <row r="86" ht="15.75" customHeight="1">
      <c r="A86" s="129">
        <v>1.140502E7</v>
      </c>
      <c r="B86" s="153" t="s">
        <v>1219</v>
      </c>
      <c r="C86" s="59"/>
      <c r="D86" s="106" t="s">
        <v>228</v>
      </c>
      <c r="E86" s="156"/>
      <c r="F86" s="156"/>
      <c r="G86" s="106" t="s">
        <v>231</v>
      </c>
      <c r="H86" s="147" t="s">
        <v>1213</v>
      </c>
      <c r="I86" s="90"/>
      <c r="K86" s="84"/>
      <c r="L86" s="99">
        <f t="shared" ref="L86:M86" si="85">COUNTIF(A86:A1298,A86)</f>
        <v>1</v>
      </c>
      <c r="M86" s="99">
        <f t="shared" si="85"/>
        <v>1</v>
      </c>
    </row>
    <row r="87" ht="15.75" customHeight="1">
      <c r="A87" s="129">
        <v>1.1405021E7</v>
      </c>
      <c r="B87" s="153" t="s">
        <v>1220</v>
      </c>
      <c r="C87" s="59"/>
      <c r="D87" s="133"/>
      <c r="E87" s="156"/>
      <c r="F87" s="156"/>
      <c r="G87" s="106" t="s">
        <v>231</v>
      </c>
      <c r="H87" s="147" t="s">
        <v>1213</v>
      </c>
      <c r="I87" s="90"/>
      <c r="K87" s="84"/>
      <c r="L87" s="99">
        <f t="shared" ref="L87:M87" si="86">COUNTIF(A87:A1299,A87)</f>
        <v>1</v>
      </c>
      <c r="M87" s="99">
        <f t="shared" si="86"/>
        <v>1</v>
      </c>
    </row>
    <row r="88" ht="15.75" customHeight="1">
      <c r="A88" s="129">
        <v>1.1405022E7</v>
      </c>
      <c r="B88" s="106" t="s">
        <v>1221</v>
      </c>
      <c r="C88" s="73"/>
      <c r="D88" s="133"/>
      <c r="E88" s="156"/>
      <c r="F88" s="156"/>
      <c r="G88" s="106" t="s">
        <v>231</v>
      </c>
      <c r="H88" s="147" t="s">
        <v>1213</v>
      </c>
      <c r="I88" s="90"/>
      <c r="K88" s="84"/>
      <c r="L88" s="99">
        <f t="shared" ref="L88:M88" si="87">COUNTIF(A88:A1300,A88)</f>
        <v>1</v>
      </c>
      <c r="M88" s="99">
        <f t="shared" si="87"/>
        <v>1</v>
      </c>
    </row>
    <row r="89" ht="15.75" customHeight="1">
      <c r="A89" s="129">
        <v>1.0049001E7</v>
      </c>
      <c r="B89" s="106" t="s">
        <v>1222</v>
      </c>
      <c r="C89" s="130" t="s">
        <v>1223</v>
      </c>
      <c r="D89" s="133"/>
      <c r="E89" s="157" t="s">
        <v>1224</v>
      </c>
      <c r="F89" s="158" t="s">
        <v>248</v>
      </c>
      <c r="G89" s="106" t="s">
        <v>231</v>
      </c>
      <c r="H89" s="150" t="s">
        <v>1225</v>
      </c>
      <c r="I89" s="90"/>
      <c r="K89" s="84"/>
      <c r="L89" s="99">
        <f t="shared" ref="L89:M89" si="88">COUNTIF(A89:A1301,A89)</f>
        <v>1</v>
      </c>
      <c r="M89" s="99">
        <f t="shared" si="88"/>
        <v>1</v>
      </c>
    </row>
    <row r="90" ht="15.75" customHeight="1">
      <c r="A90" s="129">
        <v>1.0049002E7</v>
      </c>
      <c r="B90" s="106" t="s">
        <v>1226</v>
      </c>
      <c r="C90" s="59"/>
      <c r="D90" s="133"/>
      <c r="E90" s="158" t="s">
        <v>1224</v>
      </c>
      <c r="F90" s="158" t="s">
        <v>248</v>
      </c>
      <c r="G90" s="106" t="s">
        <v>231</v>
      </c>
      <c r="H90" s="150" t="s">
        <v>1225</v>
      </c>
      <c r="I90" s="90"/>
      <c r="K90" s="84"/>
      <c r="L90" s="99">
        <f t="shared" ref="L90:M90" si="89">COUNTIF(A90:A1302,A90)</f>
        <v>1</v>
      </c>
      <c r="M90" s="99">
        <f t="shared" si="89"/>
        <v>1</v>
      </c>
    </row>
    <row r="91" ht="15.75" customHeight="1">
      <c r="A91" s="129">
        <v>1.0049003E7</v>
      </c>
      <c r="B91" s="106" t="s">
        <v>1227</v>
      </c>
      <c r="C91" s="59"/>
      <c r="D91" s="133"/>
      <c r="E91" s="158" t="s">
        <v>1224</v>
      </c>
      <c r="F91" s="158" t="s">
        <v>248</v>
      </c>
      <c r="G91" s="106" t="s">
        <v>231</v>
      </c>
      <c r="H91" s="150" t="s">
        <v>1225</v>
      </c>
      <c r="I91" s="90"/>
      <c r="K91" s="84"/>
      <c r="L91" s="99">
        <f t="shared" ref="L91:M91" si="90">COUNTIF(A91:A1303,A91)</f>
        <v>1</v>
      </c>
      <c r="M91" s="99">
        <f t="shared" si="90"/>
        <v>1</v>
      </c>
    </row>
    <row r="92" ht="15.75" customHeight="1">
      <c r="A92" s="129">
        <v>1.0049004E7</v>
      </c>
      <c r="B92" s="106" t="s">
        <v>1228</v>
      </c>
      <c r="C92" s="59"/>
      <c r="D92" s="133"/>
      <c r="E92" s="158" t="s">
        <v>1224</v>
      </c>
      <c r="F92" s="158" t="s">
        <v>248</v>
      </c>
      <c r="G92" s="106" t="s">
        <v>231</v>
      </c>
      <c r="H92" s="150" t="s">
        <v>1225</v>
      </c>
      <c r="I92" s="90"/>
      <c r="K92" s="84"/>
      <c r="L92" s="99">
        <f t="shared" ref="L92:M92" si="91">COUNTIF(A92:A1304,A92)</f>
        <v>1</v>
      </c>
      <c r="M92" s="99">
        <f t="shared" si="91"/>
        <v>1</v>
      </c>
    </row>
    <row r="93" ht="15.75" customHeight="1">
      <c r="A93" s="129">
        <v>1.0049011E7</v>
      </c>
      <c r="B93" s="106" t="s">
        <v>1229</v>
      </c>
      <c r="C93" s="59"/>
      <c r="D93" s="133"/>
      <c r="E93" s="157" t="s">
        <v>1224</v>
      </c>
      <c r="F93" s="158" t="s">
        <v>248</v>
      </c>
      <c r="G93" s="106" t="s">
        <v>231</v>
      </c>
      <c r="H93" s="150"/>
      <c r="I93" s="90"/>
      <c r="K93" s="84"/>
      <c r="L93" s="99">
        <f t="shared" ref="L93:M93" si="92">COUNTIF(A93:A1305,A93)</f>
        <v>1</v>
      </c>
      <c r="M93" s="99">
        <f t="shared" si="92"/>
        <v>1</v>
      </c>
    </row>
    <row r="94" ht="15.75" customHeight="1">
      <c r="A94" s="129">
        <v>1.0049012E7</v>
      </c>
      <c r="B94" s="106" t="s">
        <v>1230</v>
      </c>
      <c r="C94" s="59"/>
      <c r="D94" s="133"/>
      <c r="E94" s="158" t="s">
        <v>1224</v>
      </c>
      <c r="F94" s="158" t="s">
        <v>248</v>
      </c>
      <c r="G94" s="106" t="s">
        <v>231</v>
      </c>
      <c r="H94" s="150"/>
      <c r="I94" s="90"/>
      <c r="K94" s="84"/>
      <c r="L94" s="99">
        <f t="shared" ref="L94:M94" si="93">COUNTIF(A94:A1306,A94)</f>
        <v>1</v>
      </c>
      <c r="M94" s="99">
        <f t="shared" si="93"/>
        <v>1</v>
      </c>
    </row>
    <row r="95" ht="15.75" customHeight="1">
      <c r="A95" s="129">
        <v>1.0049013E7</v>
      </c>
      <c r="B95" s="106" t="s">
        <v>1231</v>
      </c>
      <c r="C95" s="59"/>
      <c r="D95" s="133"/>
      <c r="E95" s="158" t="s">
        <v>1224</v>
      </c>
      <c r="F95" s="158" t="s">
        <v>248</v>
      </c>
      <c r="G95" s="106" t="s">
        <v>231</v>
      </c>
      <c r="H95" s="150"/>
      <c r="I95" s="90"/>
      <c r="K95" s="84"/>
      <c r="L95" s="99">
        <f t="shared" ref="L95:M95" si="94">COUNTIF(A95:A1307,A95)</f>
        <v>1</v>
      </c>
      <c r="M95" s="99">
        <f t="shared" si="94"/>
        <v>1</v>
      </c>
    </row>
    <row r="96" ht="15.75" customHeight="1">
      <c r="A96" s="129">
        <v>1.0049014E7</v>
      </c>
      <c r="B96" s="106" t="s">
        <v>1232</v>
      </c>
      <c r="C96" s="59"/>
      <c r="D96" s="133"/>
      <c r="E96" s="158" t="s">
        <v>1224</v>
      </c>
      <c r="F96" s="158" t="s">
        <v>248</v>
      </c>
      <c r="G96" s="106" t="s">
        <v>231</v>
      </c>
      <c r="H96" s="150"/>
      <c r="I96" s="90"/>
      <c r="K96" s="84"/>
      <c r="L96" s="99">
        <f t="shared" ref="L96:M96" si="95">COUNTIF(A96:A1308,A96)</f>
        <v>1</v>
      </c>
      <c r="M96" s="99">
        <f t="shared" si="95"/>
        <v>1</v>
      </c>
    </row>
    <row r="97" ht="15.75" customHeight="1">
      <c r="A97" s="129">
        <v>1.0049021E7</v>
      </c>
      <c r="B97" s="106" t="s">
        <v>1233</v>
      </c>
      <c r="C97" s="59"/>
      <c r="D97" s="133"/>
      <c r="E97" s="157" t="s">
        <v>1224</v>
      </c>
      <c r="F97" s="158" t="s">
        <v>248</v>
      </c>
      <c r="G97" s="106" t="s">
        <v>231</v>
      </c>
      <c r="H97" s="150"/>
      <c r="I97" s="90"/>
      <c r="K97" s="84"/>
      <c r="L97" s="99">
        <f t="shared" ref="L97:M97" si="96">COUNTIF(A97:A1309,A97)</f>
        <v>1</v>
      </c>
      <c r="M97" s="99">
        <f t="shared" si="96"/>
        <v>1</v>
      </c>
    </row>
    <row r="98" ht="15.75" customHeight="1">
      <c r="A98" s="129">
        <v>1.0049022E7</v>
      </c>
      <c r="B98" s="106" t="s">
        <v>1234</v>
      </c>
      <c r="C98" s="59"/>
      <c r="D98" s="133"/>
      <c r="E98" s="158" t="s">
        <v>1224</v>
      </c>
      <c r="F98" s="158" t="s">
        <v>248</v>
      </c>
      <c r="G98" s="106" t="s">
        <v>231</v>
      </c>
      <c r="H98" s="150"/>
      <c r="I98" s="90"/>
      <c r="K98" s="84"/>
      <c r="L98" s="99">
        <f t="shared" ref="L98:M98" si="97">COUNTIF(A98:A1310,A98)</f>
        <v>1</v>
      </c>
      <c r="M98" s="99">
        <f t="shared" si="97"/>
        <v>1</v>
      </c>
    </row>
    <row r="99" ht="15.75" customHeight="1">
      <c r="A99" s="129">
        <v>1.0049023E7</v>
      </c>
      <c r="B99" s="106" t="s">
        <v>1235</v>
      </c>
      <c r="C99" s="59"/>
      <c r="D99" s="133"/>
      <c r="E99" s="158" t="s">
        <v>1224</v>
      </c>
      <c r="F99" s="158" t="s">
        <v>248</v>
      </c>
      <c r="G99" s="106" t="s">
        <v>231</v>
      </c>
      <c r="H99" s="150"/>
      <c r="I99" s="90"/>
      <c r="K99" s="84"/>
      <c r="L99" s="99">
        <f t="shared" ref="L99:M99" si="98">COUNTIF(A99:A1311,A99)</f>
        <v>1</v>
      </c>
      <c r="M99" s="99">
        <f t="shared" si="98"/>
        <v>1</v>
      </c>
    </row>
    <row r="100" ht="15.75" customHeight="1">
      <c r="A100" s="129">
        <v>1.0049024E7</v>
      </c>
      <c r="B100" s="106" t="s">
        <v>1236</v>
      </c>
      <c r="C100" s="59"/>
      <c r="D100" s="133"/>
      <c r="E100" s="158" t="s">
        <v>1224</v>
      </c>
      <c r="F100" s="158" t="s">
        <v>248</v>
      </c>
      <c r="G100" s="106" t="s">
        <v>231</v>
      </c>
      <c r="H100" s="150"/>
      <c r="I100" s="90"/>
      <c r="K100" s="84"/>
      <c r="L100" s="99">
        <f t="shared" ref="L100:M100" si="99">COUNTIF(A100:A1312,A100)</f>
        <v>1</v>
      </c>
      <c r="M100" s="99">
        <f t="shared" si="99"/>
        <v>1</v>
      </c>
    </row>
    <row r="101" ht="15.75" customHeight="1">
      <c r="A101" s="129">
        <v>1.0020031E7</v>
      </c>
      <c r="B101" s="106" t="s">
        <v>1237</v>
      </c>
      <c r="C101" s="59"/>
      <c r="D101" s="133"/>
      <c r="E101" s="158" t="s">
        <v>229</v>
      </c>
      <c r="F101" s="158" t="s">
        <v>235</v>
      </c>
      <c r="G101" s="106" t="s">
        <v>231</v>
      </c>
      <c r="H101" s="150" t="s">
        <v>1238</v>
      </c>
      <c r="I101" s="90"/>
      <c r="K101" s="84"/>
      <c r="L101" s="99">
        <f t="shared" ref="L101:M101" si="100">COUNTIF(A101:A1313,A101)</f>
        <v>1</v>
      </c>
      <c r="M101" s="99">
        <f t="shared" si="100"/>
        <v>1</v>
      </c>
    </row>
    <row r="102" ht="15.75" customHeight="1">
      <c r="A102" s="129">
        <v>1.0020032E7</v>
      </c>
      <c r="B102" s="106" t="s">
        <v>1239</v>
      </c>
      <c r="C102" s="59"/>
      <c r="D102" s="133"/>
      <c r="E102" s="158" t="s">
        <v>229</v>
      </c>
      <c r="F102" s="158" t="s">
        <v>235</v>
      </c>
      <c r="G102" s="106" t="s">
        <v>231</v>
      </c>
      <c r="H102" s="150" t="s">
        <v>1238</v>
      </c>
      <c r="I102" s="90"/>
      <c r="K102" s="84"/>
      <c r="L102" s="99">
        <f t="shared" ref="L102:M102" si="101">COUNTIF(A102:A1314,A102)</f>
        <v>1</v>
      </c>
      <c r="M102" s="99">
        <f t="shared" si="101"/>
        <v>1</v>
      </c>
    </row>
    <row r="103" ht="15.75" customHeight="1">
      <c r="A103" s="129">
        <v>1.0020033E7</v>
      </c>
      <c r="B103" s="106" t="s">
        <v>1240</v>
      </c>
      <c r="C103" s="59"/>
      <c r="D103" s="133"/>
      <c r="E103" s="158" t="s">
        <v>229</v>
      </c>
      <c r="F103" s="158" t="s">
        <v>235</v>
      </c>
      <c r="G103" s="106" t="s">
        <v>231</v>
      </c>
      <c r="H103" s="150" t="s">
        <v>1225</v>
      </c>
      <c r="I103" s="90"/>
      <c r="K103" s="84"/>
      <c r="L103" s="99">
        <f t="shared" ref="L103:M103" si="102">COUNTIF(A103:A1315,A103)</f>
        <v>1</v>
      </c>
      <c r="M103" s="99">
        <f t="shared" si="102"/>
        <v>1</v>
      </c>
    </row>
    <row r="104" ht="15.75" customHeight="1">
      <c r="A104" s="129">
        <v>1.0020034E7</v>
      </c>
      <c r="B104" s="106" t="s">
        <v>1241</v>
      </c>
      <c r="C104" s="59"/>
      <c r="D104" s="133"/>
      <c r="E104" s="158" t="s">
        <v>229</v>
      </c>
      <c r="F104" s="158" t="s">
        <v>235</v>
      </c>
      <c r="G104" s="106" t="s">
        <v>231</v>
      </c>
      <c r="H104" s="150" t="s">
        <v>1238</v>
      </c>
      <c r="I104" s="90"/>
      <c r="K104" s="84"/>
      <c r="L104" s="99">
        <f t="shared" ref="L104:M104" si="103">COUNTIF(A104:A1316,A104)</f>
        <v>1</v>
      </c>
      <c r="M104" s="99">
        <f t="shared" si="103"/>
        <v>1</v>
      </c>
    </row>
    <row r="105" ht="15.75" customHeight="1">
      <c r="A105" s="129">
        <v>1.0020041E7</v>
      </c>
      <c r="B105" s="106" t="s">
        <v>1242</v>
      </c>
      <c r="C105" s="59"/>
      <c r="D105" s="133"/>
      <c r="E105" s="158" t="s">
        <v>229</v>
      </c>
      <c r="F105" s="158" t="s">
        <v>235</v>
      </c>
      <c r="G105" s="106" t="s">
        <v>231</v>
      </c>
      <c r="H105" s="150" t="s">
        <v>1238</v>
      </c>
      <c r="I105" s="90"/>
      <c r="K105" s="84"/>
      <c r="L105" s="99">
        <f t="shared" ref="L105:M105" si="104">COUNTIF(A105:A1317,A105)</f>
        <v>1</v>
      </c>
      <c r="M105" s="99">
        <f t="shared" si="104"/>
        <v>1</v>
      </c>
    </row>
    <row r="106" ht="15.75" customHeight="1">
      <c r="A106" s="129">
        <v>1.0020042E7</v>
      </c>
      <c r="B106" s="106" t="s">
        <v>1243</v>
      </c>
      <c r="C106" s="59"/>
      <c r="D106" s="133"/>
      <c r="E106" s="158" t="s">
        <v>229</v>
      </c>
      <c r="F106" s="158" t="s">
        <v>235</v>
      </c>
      <c r="G106" s="106" t="s">
        <v>231</v>
      </c>
      <c r="H106" s="150" t="s">
        <v>1238</v>
      </c>
      <c r="I106" s="90"/>
      <c r="K106" s="84"/>
      <c r="L106" s="99">
        <f t="shared" ref="L106:M106" si="105">COUNTIF(A106:A1318,A106)</f>
        <v>1</v>
      </c>
      <c r="M106" s="99">
        <f t="shared" si="105"/>
        <v>1</v>
      </c>
    </row>
    <row r="107" ht="15.75" customHeight="1">
      <c r="A107" s="129">
        <v>1.0020043E7</v>
      </c>
      <c r="B107" s="106" t="s">
        <v>1244</v>
      </c>
      <c r="C107" s="59"/>
      <c r="D107" s="133"/>
      <c r="E107" s="158" t="s">
        <v>229</v>
      </c>
      <c r="F107" s="158" t="s">
        <v>235</v>
      </c>
      <c r="G107" s="106" t="s">
        <v>231</v>
      </c>
      <c r="H107" s="150" t="s">
        <v>1225</v>
      </c>
      <c r="I107" s="90"/>
      <c r="K107" s="84"/>
      <c r="L107" s="99">
        <f t="shared" ref="L107:M107" si="106">COUNTIF(A107:A1319,A107)</f>
        <v>1</v>
      </c>
      <c r="M107" s="99">
        <f t="shared" si="106"/>
        <v>1</v>
      </c>
    </row>
    <row r="108" ht="15.75" customHeight="1">
      <c r="A108" s="129">
        <v>1.0020044E7</v>
      </c>
      <c r="B108" s="106" t="s">
        <v>1245</v>
      </c>
      <c r="C108" s="59"/>
      <c r="D108" s="133"/>
      <c r="E108" s="158" t="s">
        <v>229</v>
      </c>
      <c r="F108" s="158" t="s">
        <v>235</v>
      </c>
      <c r="G108" s="106" t="s">
        <v>231</v>
      </c>
      <c r="H108" s="150" t="s">
        <v>1238</v>
      </c>
      <c r="I108" s="90"/>
      <c r="K108" s="84"/>
      <c r="L108" s="99">
        <f t="shared" ref="L108:M108" si="107">COUNTIF(A108:A1320,A108)</f>
        <v>1</v>
      </c>
      <c r="M108" s="99">
        <f t="shared" si="107"/>
        <v>1</v>
      </c>
    </row>
    <row r="109" ht="15.75" customHeight="1">
      <c r="A109" s="129">
        <v>1.0020051E7</v>
      </c>
      <c r="B109" s="106" t="s">
        <v>1246</v>
      </c>
      <c r="C109" s="59"/>
      <c r="D109" s="133"/>
      <c r="E109" s="158" t="s">
        <v>229</v>
      </c>
      <c r="F109" s="158" t="s">
        <v>235</v>
      </c>
      <c r="G109" s="106" t="s">
        <v>231</v>
      </c>
      <c r="H109" s="150" t="s">
        <v>1238</v>
      </c>
      <c r="I109" s="90"/>
      <c r="K109" s="84"/>
      <c r="L109" s="99">
        <f t="shared" ref="L109:M109" si="108">COUNTIF(A109:A1321,A109)</f>
        <v>1</v>
      </c>
      <c r="M109" s="99">
        <f t="shared" si="108"/>
        <v>1</v>
      </c>
    </row>
    <row r="110" ht="15.75" customHeight="1">
      <c r="A110" s="129">
        <v>1.0020052E7</v>
      </c>
      <c r="B110" s="106" t="s">
        <v>1247</v>
      </c>
      <c r="C110" s="59"/>
      <c r="D110" s="133"/>
      <c r="E110" s="158" t="s">
        <v>229</v>
      </c>
      <c r="F110" s="158" t="s">
        <v>235</v>
      </c>
      <c r="G110" s="106" t="s">
        <v>231</v>
      </c>
      <c r="H110" s="150" t="s">
        <v>1238</v>
      </c>
      <c r="I110" s="90"/>
      <c r="K110" s="84"/>
      <c r="L110" s="99">
        <f t="shared" ref="L110:M110" si="109">COUNTIF(A110:A1322,A110)</f>
        <v>1</v>
      </c>
      <c r="M110" s="99">
        <f t="shared" si="109"/>
        <v>1</v>
      </c>
    </row>
    <row r="111" ht="15.75" customHeight="1">
      <c r="A111" s="129">
        <v>1.0020053E7</v>
      </c>
      <c r="B111" s="106" t="s">
        <v>1248</v>
      </c>
      <c r="C111" s="59"/>
      <c r="D111" s="133"/>
      <c r="E111" s="158" t="s">
        <v>229</v>
      </c>
      <c r="F111" s="158" t="s">
        <v>235</v>
      </c>
      <c r="G111" s="106" t="s">
        <v>231</v>
      </c>
      <c r="H111" s="150"/>
      <c r="I111" s="90"/>
      <c r="K111" s="84"/>
      <c r="L111" s="99">
        <f t="shared" ref="L111:M111" si="110">COUNTIF(A111:A1323,A111)</f>
        <v>1</v>
      </c>
      <c r="M111" s="99">
        <f t="shared" si="110"/>
        <v>1</v>
      </c>
    </row>
    <row r="112" ht="15.75" customHeight="1">
      <c r="A112" s="129">
        <v>1.0020054E7</v>
      </c>
      <c r="B112" s="106" t="s">
        <v>1249</v>
      </c>
      <c r="C112" s="73"/>
      <c r="D112" s="133"/>
      <c r="E112" s="158" t="s">
        <v>229</v>
      </c>
      <c r="F112" s="158" t="s">
        <v>235</v>
      </c>
      <c r="G112" s="106" t="s">
        <v>231</v>
      </c>
      <c r="H112" s="150" t="s">
        <v>1238</v>
      </c>
      <c r="I112" s="90"/>
      <c r="K112" s="84"/>
      <c r="L112" s="99">
        <f t="shared" ref="L112:M112" si="111">COUNTIF(A112:A1324,A112)</f>
        <v>1</v>
      </c>
      <c r="M112" s="99">
        <f t="shared" si="111"/>
        <v>1</v>
      </c>
    </row>
    <row r="113" ht="15.75" customHeight="1">
      <c r="A113" s="129">
        <v>1.0031E7</v>
      </c>
      <c r="B113" s="106" t="s">
        <v>1250</v>
      </c>
      <c r="C113" s="130" t="s">
        <v>1251</v>
      </c>
      <c r="D113" s="133"/>
      <c r="E113" s="156" t="s">
        <v>256</v>
      </c>
      <c r="F113" s="156" t="s">
        <v>256</v>
      </c>
      <c r="G113" s="159"/>
      <c r="H113" s="133"/>
      <c r="I113" s="90"/>
      <c r="K113" s="84"/>
      <c r="L113" s="99">
        <f t="shared" ref="L113:M113" si="112">COUNTIF(A113:A1325,A113)</f>
        <v>1</v>
      </c>
      <c r="M113" s="99">
        <f t="shared" si="112"/>
        <v>1</v>
      </c>
    </row>
    <row r="114" ht="15.75" customHeight="1">
      <c r="A114" s="129">
        <v>1.0031001E7</v>
      </c>
      <c r="B114" s="106" t="s">
        <v>1252</v>
      </c>
      <c r="C114" s="59"/>
      <c r="D114" s="133"/>
      <c r="E114" s="156" t="s">
        <v>256</v>
      </c>
      <c r="F114" s="156" t="s">
        <v>256</v>
      </c>
      <c r="G114" s="159"/>
      <c r="H114" s="133"/>
      <c r="I114" s="90"/>
      <c r="K114" s="84"/>
      <c r="L114" s="99">
        <f t="shared" ref="L114:M114" si="113">COUNTIF(A114:A1326,A114)</f>
        <v>1</v>
      </c>
      <c r="M114" s="99">
        <f t="shared" si="113"/>
        <v>1</v>
      </c>
    </row>
    <row r="115" ht="15.75" customHeight="1">
      <c r="A115" s="129">
        <v>1.0031002E7</v>
      </c>
      <c r="B115" s="106" t="s">
        <v>1253</v>
      </c>
      <c r="C115" s="59"/>
      <c r="D115" s="133"/>
      <c r="E115" s="156" t="s">
        <v>259</v>
      </c>
      <c r="F115" s="156" t="s">
        <v>259</v>
      </c>
      <c r="G115" s="159"/>
      <c r="H115" s="133"/>
      <c r="I115" s="90"/>
      <c r="K115" s="84"/>
      <c r="L115" s="99">
        <f t="shared" ref="L115:M115" si="114">COUNTIF(A115:A1327,A115)</f>
        <v>1</v>
      </c>
      <c r="M115" s="99">
        <f t="shared" si="114"/>
        <v>1</v>
      </c>
    </row>
    <row r="116" ht="15.75" customHeight="1">
      <c r="A116" s="129">
        <v>1.0031003E7</v>
      </c>
      <c r="B116" s="106" t="s">
        <v>1254</v>
      </c>
      <c r="C116" s="59"/>
      <c r="D116" s="133"/>
      <c r="E116" s="156" t="s">
        <v>259</v>
      </c>
      <c r="F116" s="156" t="s">
        <v>259</v>
      </c>
      <c r="G116" s="159"/>
      <c r="H116" s="133"/>
      <c r="I116" s="90"/>
      <c r="K116" s="84"/>
      <c r="L116" s="99">
        <f t="shared" ref="L116:M116" si="115">COUNTIF(A116:A1328,A116)</f>
        <v>1</v>
      </c>
      <c r="M116" s="99">
        <f t="shared" si="115"/>
        <v>1</v>
      </c>
    </row>
    <row r="117" ht="15.75" customHeight="1">
      <c r="A117" s="129">
        <v>1.0031004E7</v>
      </c>
      <c r="B117" s="106" t="s">
        <v>1255</v>
      </c>
      <c r="C117" s="59"/>
      <c r="D117" s="133"/>
      <c r="E117" s="156" t="s">
        <v>262</v>
      </c>
      <c r="F117" s="156" t="s">
        <v>262</v>
      </c>
      <c r="G117" s="159"/>
      <c r="H117" s="133"/>
      <c r="I117" s="90"/>
      <c r="K117" s="84"/>
      <c r="L117" s="99">
        <f t="shared" ref="L117:M117" si="116">COUNTIF(A117:A1329,A117)</f>
        <v>1</v>
      </c>
      <c r="M117" s="99">
        <f t="shared" si="116"/>
        <v>1</v>
      </c>
    </row>
    <row r="118" ht="15.75" customHeight="1">
      <c r="A118" s="129">
        <v>1.0031005E7</v>
      </c>
      <c r="B118" s="106" t="s">
        <v>1256</v>
      </c>
      <c r="C118" s="59"/>
      <c r="D118" s="133"/>
      <c r="E118" s="156" t="s">
        <v>262</v>
      </c>
      <c r="F118" s="156" t="s">
        <v>262</v>
      </c>
      <c r="G118" s="159"/>
      <c r="H118" s="133"/>
      <c r="I118" s="90"/>
      <c r="K118" s="84"/>
      <c r="L118" s="99">
        <f t="shared" ref="L118:M118" si="117">COUNTIF(A118:A1330,A118)</f>
        <v>1</v>
      </c>
      <c r="M118" s="99">
        <f t="shared" si="117"/>
        <v>1</v>
      </c>
    </row>
    <row r="119" ht="15.75" customHeight="1">
      <c r="A119" s="129">
        <v>1.0031006E7</v>
      </c>
      <c r="B119" s="106" t="s">
        <v>1257</v>
      </c>
      <c r="C119" s="59"/>
      <c r="D119" s="133"/>
      <c r="E119" s="156" t="s">
        <v>265</v>
      </c>
      <c r="F119" s="156" t="s">
        <v>265</v>
      </c>
      <c r="G119" s="159"/>
      <c r="H119" s="133"/>
      <c r="I119" s="90"/>
      <c r="K119" s="84"/>
      <c r="L119" s="99">
        <f t="shared" ref="L119:M119" si="118">COUNTIF(A119:A1331,A119)</f>
        <v>1</v>
      </c>
      <c r="M119" s="99">
        <f t="shared" si="118"/>
        <v>1</v>
      </c>
    </row>
    <row r="120" ht="15.75" customHeight="1">
      <c r="A120" s="129">
        <v>1.0031007E7</v>
      </c>
      <c r="B120" s="106" t="s">
        <v>1258</v>
      </c>
      <c r="C120" s="59"/>
      <c r="D120" s="133"/>
      <c r="E120" s="156" t="s">
        <v>265</v>
      </c>
      <c r="F120" s="156" t="s">
        <v>265</v>
      </c>
      <c r="G120" s="159"/>
      <c r="H120" s="133"/>
      <c r="I120" s="90"/>
      <c r="K120" s="84"/>
      <c r="L120" s="99">
        <f t="shared" ref="L120:M120" si="119">COUNTIF(A120:A1332,A120)</f>
        <v>1</v>
      </c>
      <c r="M120" s="99">
        <f t="shared" si="119"/>
        <v>1</v>
      </c>
    </row>
    <row r="121" ht="15.75" customHeight="1">
      <c r="A121" s="129">
        <v>1.003101E7</v>
      </c>
      <c r="B121" s="106" t="s">
        <v>1259</v>
      </c>
      <c r="C121" s="59"/>
      <c r="D121" s="133"/>
      <c r="E121" s="156" t="s">
        <v>256</v>
      </c>
      <c r="F121" s="156" t="s">
        <v>256</v>
      </c>
      <c r="G121" s="159"/>
      <c r="H121" s="133"/>
      <c r="I121" s="90"/>
      <c r="K121" s="84"/>
      <c r="L121" s="99">
        <f t="shared" ref="L121:M121" si="120">COUNTIF(A121:A1333,A121)</f>
        <v>1</v>
      </c>
      <c r="M121" s="99">
        <f t="shared" si="120"/>
        <v>1</v>
      </c>
    </row>
    <row r="122" ht="15.75" customHeight="1">
      <c r="A122" s="129">
        <v>1.0031011E7</v>
      </c>
      <c r="B122" s="106" t="s">
        <v>1260</v>
      </c>
      <c r="C122" s="59"/>
      <c r="D122" s="133"/>
      <c r="E122" s="156" t="s">
        <v>256</v>
      </c>
      <c r="F122" s="156" t="s">
        <v>256</v>
      </c>
      <c r="G122" s="159"/>
      <c r="H122" s="133"/>
      <c r="I122" s="90"/>
      <c r="K122" s="84"/>
      <c r="L122" s="99">
        <f t="shared" ref="L122:M122" si="121">COUNTIF(A122:A1334,A122)</f>
        <v>1</v>
      </c>
      <c r="M122" s="99">
        <f t="shared" si="121"/>
        <v>1</v>
      </c>
    </row>
    <row r="123" ht="15.75" customHeight="1">
      <c r="A123" s="129">
        <v>1.0031012E7</v>
      </c>
      <c r="B123" s="106" t="s">
        <v>1261</v>
      </c>
      <c r="C123" s="59"/>
      <c r="D123" s="133"/>
      <c r="E123" s="156" t="s">
        <v>259</v>
      </c>
      <c r="F123" s="156" t="s">
        <v>259</v>
      </c>
      <c r="G123" s="159"/>
      <c r="H123" s="133"/>
      <c r="I123" s="90"/>
      <c r="K123" s="84"/>
      <c r="L123" s="99">
        <f t="shared" ref="L123:M123" si="122">COUNTIF(A123:A1335,A123)</f>
        <v>1</v>
      </c>
      <c r="M123" s="99">
        <f t="shared" si="122"/>
        <v>1</v>
      </c>
    </row>
    <row r="124" ht="15.75" customHeight="1">
      <c r="A124" s="129">
        <v>1.0031013E7</v>
      </c>
      <c r="B124" s="106" t="s">
        <v>1262</v>
      </c>
      <c r="C124" s="59"/>
      <c r="D124" s="133"/>
      <c r="E124" s="156" t="s">
        <v>259</v>
      </c>
      <c r="F124" s="156" t="s">
        <v>259</v>
      </c>
      <c r="G124" s="159"/>
      <c r="H124" s="133"/>
      <c r="I124" s="90"/>
      <c r="K124" s="84"/>
      <c r="L124" s="99">
        <f t="shared" ref="L124:M124" si="123">COUNTIF(A124:A1336,A124)</f>
        <v>1</v>
      </c>
      <c r="M124" s="99">
        <f t="shared" si="123"/>
        <v>1</v>
      </c>
    </row>
    <row r="125" ht="15.75" customHeight="1">
      <c r="A125" s="129">
        <v>1.0031014E7</v>
      </c>
      <c r="B125" s="106" t="s">
        <v>1263</v>
      </c>
      <c r="C125" s="59"/>
      <c r="D125" s="133"/>
      <c r="E125" s="156" t="s">
        <v>262</v>
      </c>
      <c r="F125" s="156" t="s">
        <v>262</v>
      </c>
      <c r="G125" s="159"/>
      <c r="H125" s="133"/>
      <c r="I125" s="90"/>
      <c r="K125" s="84"/>
      <c r="L125" s="99">
        <f t="shared" ref="L125:M125" si="124">COUNTIF(A125:A1337,A125)</f>
        <v>1</v>
      </c>
      <c r="M125" s="99">
        <f t="shared" si="124"/>
        <v>1</v>
      </c>
    </row>
    <row r="126" ht="15.75" customHeight="1">
      <c r="A126" s="129">
        <v>1.0031015E7</v>
      </c>
      <c r="B126" s="106" t="s">
        <v>1264</v>
      </c>
      <c r="C126" s="59"/>
      <c r="D126" s="133"/>
      <c r="E126" s="156" t="s">
        <v>262</v>
      </c>
      <c r="F126" s="156" t="s">
        <v>262</v>
      </c>
      <c r="G126" s="159"/>
      <c r="H126" s="133"/>
      <c r="I126" s="90"/>
      <c r="K126" s="84"/>
      <c r="L126" s="99">
        <f t="shared" ref="L126:M126" si="125">COUNTIF(A126:A1338,A126)</f>
        <v>1</v>
      </c>
      <c r="M126" s="99">
        <f t="shared" si="125"/>
        <v>1</v>
      </c>
    </row>
    <row r="127" ht="15.75" customHeight="1">
      <c r="A127" s="129">
        <v>1.0031016E7</v>
      </c>
      <c r="B127" s="106" t="s">
        <v>1265</v>
      </c>
      <c r="C127" s="59"/>
      <c r="D127" s="133"/>
      <c r="E127" s="156" t="s">
        <v>265</v>
      </c>
      <c r="F127" s="156" t="s">
        <v>265</v>
      </c>
      <c r="G127" s="159"/>
      <c r="H127" s="133"/>
      <c r="I127" s="90"/>
      <c r="K127" s="84"/>
      <c r="L127" s="99">
        <f t="shared" ref="L127:M127" si="126">COUNTIF(A127:A1339,A127)</f>
        <v>1</v>
      </c>
      <c r="M127" s="99">
        <f t="shared" si="126"/>
        <v>1</v>
      </c>
    </row>
    <row r="128" ht="15.75" customHeight="1">
      <c r="A128" s="129">
        <v>1.0031017E7</v>
      </c>
      <c r="B128" s="106" t="s">
        <v>1266</v>
      </c>
      <c r="C128" s="59"/>
      <c r="D128" s="133"/>
      <c r="E128" s="156" t="s">
        <v>265</v>
      </c>
      <c r="F128" s="156" t="s">
        <v>265</v>
      </c>
      <c r="G128" s="159"/>
      <c r="H128" s="133"/>
      <c r="I128" s="90"/>
      <c r="K128" s="84"/>
      <c r="L128" s="99">
        <f t="shared" ref="L128:M128" si="127">COUNTIF(A128:A1340,A128)</f>
        <v>1</v>
      </c>
      <c r="M128" s="99">
        <f t="shared" si="127"/>
        <v>1</v>
      </c>
    </row>
    <row r="129" ht="15.75" customHeight="1">
      <c r="A129" s="129">
        <v>1.003102E7</v>
      </c>
      <c r="B129" s="106" t="s">
        <v>1267</v>
      </c>
      <c r="C129" s="59"/>
      <c r="D129" s="133"/>
      <c r="E129" s="156" t="s">
        <v>256</v>
      </c>
      <c r="F129" s="156" t="s">
        <v>256</v>
      </c>
      <c r="G129" s="159"/>
      <c r="H129" s="133"/>
      <c r="I129" s="90"/>
      <c r="K129" s="84"/>
      <c r="L129" s="99">
        <f t="shared" ref="L129:M129" si="128">COUNTIF(A129:A1341,A129)</f>
        <v>1</v>
      </c>
      <c r="M129" s="99">
        <f t="shared" si="128"/>
        <v>1</v>
      </c>
    </row>
    <row r="130" ht="15.75" customHeight="1">
      <c r="A130" s="129">
        <v>1.0031021E7</v>
      </c>
      <c r="B130" s="106" t="s">
        <v>1268</v>
      </c>
      <c r="C130" s="59"/>
      <c r="D130" s="133"/>
      <c r="E130" s="156" t="s">
        <v>256</v>
      </c>
      <c r="F130" s="156" t="s">
        <v>256</v>
      </c>
      <c r="G130" s="159"/>
      <c r="H130" s="133"/>
      <c r="I130" s="90"/>
      <c r="K130" s="84"/>
      <c r="L130" s="99">
        <f t="shared" ref="L130:M130" si="129">COUNTIF(A130:A1342,A130)</f>
        <v>1</v>
      </c>
      <c r="M130" s="99">
        <f t="shared" si="129"/>
        <v>1</v>
      </c>
    </row>
    <row r="131" ht="15.75" customHeight="1">
      <c r="A131" s="129">
        <v>1.0031022E7</v>
      </c>
      <c r="B131" s="106" t="s">
        <v>1269</v>
      </c>
      <c r="C131" s="59"/>
      <c r="D131" s="133"/>
      <c r="E131" s="156" t="s">
        <v>259</v>
      </c>
      <c r="F131" s="156" t="s">
        <v>259</v>
      </c>
      <c r="G131" s="159"/>
      <c r="H131" s="133"/>
      <c r="I131" s="90"/>
      <c r="L131" s="99">
        <f t="shared" ref="L131:M131" si="130">COUNTIF(A131:A1343,A131)</f>
        <v>1</v>
      </c>
      <c r="M131" s="99">
        <f t="shared" si="130"/>
        <v>1</v>
      </c>
    </row>
    <row r="132" ht="15.75" customHeight="1">
      <c r="A132" s="129">
        <v>1.0031023E7</v>
      </c>
      <c r="B132" s="106" t="s">
        <v>1270</v>
      </c>
      <c r="C132" s="59"/>
      <c r="D132" s="133"/>
      <c r="E132" s="156" t="s">
        <v>259</v>
      </c>
      <c r="F132" s="156" t="s">
        <v>259</v>
      </c>
      <c r="G132" s="159"/>
      <c r="H132" s="133"/>
      <c r="I132" s="90"/>
      <c r="L132" s="99">
        <f t="shared" ref="L132:M132" si="131">COUNTIF(A132:A1344,A132)</f>
        <v>1</v>
      </c>
      <c r="M132" s="99">
        <f t="shared" si="131"/>
        <v>1</v>
      </c>
    </row>
    <row r="133" ht="15.75" customHeight="1">
      <c r="A133" s="129">
        <v>1.0031024E7</v>
      </c>
      <c r="B133" s="106" t="s">
        <v>1271</v>
      </c>
      <c r="C133" s="59"/>
      <c r="D133" s="133"/>
      <c r="E133" s="156" t="s">
        <v>262</v>
      </c>
      <c r="F133" s="156" t="s">
        <v>262</v>
      </c>
      <c r="G133" s="159"/>
      <c r="H133" s="133"/>
      <c r="I133" s="90"/>
      <c r="L133" s="99">
        <f t="shared" ref="L133:M133" si="132">COUNTIF(A133:A1345,A133)</f>
        <v>1</v>
      </c>
      <c r="M133" s="99">
        <f t="shared" si="132"/>
        <v>1</v>
      </c>
    </row>
    <row r="134" ht="15.75" customHeight="1">
      <c r="A134" s="129">
        <v>1.0031025E7</v>
      </c>
      <c r="B134" s="106" t="s">
        <v>1272</v>
      </c>
      <c r="C134" s="59"/>
      <c r="D134" s="133"/>
      <c r="E134" s="156" t="s">
        <v>262</v>
      </c>
      <c r="F134" s="156" t="s">
        <v>262</v>
      </c>
      <c r="G134" s="159"/>
      <c r="H134" s="133"/>
      <c r="I134" s="90"/>
      <c r="L134" s="99">
        <f t="shared" ref="L134:M134" si="133">COUNTIF(A134:A1346,A134)</f>
        <v>1</v>
      </c>
      <c r="M134" s="99">
        <f t="shared" si="133"/>
        <v>1</v>
      </c>
    </row>
    <row r="135" ht="15.75" customHeight="1">
      <c r="A135" s="129">
        <v>1.0031026E7</v>
      </c>
      <c r="B135" s="106" t="s">
        <v>1273</v>
      </c>
      <c r="C135" s="59"/>
      <c r="D135" s="133"/>
      <c r="E135" s="156" t="s">
        <v>265</v>
      </c>
      <c r="F135" s="156" t="s">
        <v>265</v>
      </c>
      <c r="G135" s="133"/>
      <c r="H135" s="133"/>
      <c r="I135" s="90"/>
      <c r="L135" s="99">
        <f t="shared" ref="L135:M135" si="134">COUNTIF(A135:A1347,A135)</f>
        <v>1</v>
      </c>
      <c r="M135" s="99">
        <f t="shared" si="134"/>
        <v>1</v>
      </c>
    </row>
    <row r="136" ht="15.75" customHeight="1">
      <c r="A136" s="129">
        <v>1.0031027E7</v>
      </c>
      <c r="B136" s="106" t="s">
        <v>1274</v>
      </c>
      <c r="C136" s="73"/>
      <c r="D136" s="133"/>
      <c r="E136" s="156" t="s">
        <v>265</v>
      </c>
      <c r="F136" s="156" t="s">
        <v>265</v>
      </c>
      <c r="G136" s="133"/>
      <c r="H136" s="133"/>
      <c r="I136" s="90"/>
      <c r="L136" s="99">
        <f t="shared" ref="L136:M136" si="135">COUNTIF(A136:A1348,A136)</f>
        <v>1</v>
      </c>
      <c r="M136" s="99">
        <f t="shared" si="135"/>
        <v>1</v>
      </c>
    </row>
    <row r="137" ht="15.75" customHeight="1">
      <c r="A137" s="129">
        <v>1.062005E7</v>
      </c>
      <c r="B137" s="153" t="s">
        <v>1275</v>
      </c>
      <c r="C137" s="130" t="s">
        <v>1276</v>
      </c>
      <c r="D137" s="133"/>
      <c r="E137" s="156" t="s">
        <v>247</v>
      </c>
      <c r="F137" s="160" t="s">
        <v>235</v>
      </c>
      <c r="G137" s="133"/>
      <c r="H137" s="161"/>
      <c r="I137" s="90"/>
      <c r="L137" s="99">
        <f t="shared" ref="L137:M137" si="136">COUNTIF(A137:A1349,A137)</f>
        <v>1</v>
      </c>
      <c r="M137" s="99">
        <f t="shared" si="136"/>
        <v>1</v>
      </c>
    </row>
    <row r="138" ht="15.75" customHeight="1">
      <c r="A138" s="129">
        <v>1.0620051E7</v>
      </c>
      <c r="B138" s="153" t="s">
        <v>1277</v>
      </c>
      <c r="C138" s="59"/>
      <c r="D138" s="133"/>
      <c r="E138" s="156" t="s">
        <v>235</v>
      </c>
      <c r="F138" s="156" t="s">
        <v>235</v>
      </c>
      <c r="G138" s="133"/>
      <c r="H138" s="161"/>
      <c r="I138" s="90"/>
      <c r="L138" s="99">
        <f t="shared" ref="L138:M138" si="137">COUNTIF(A138:A1350,A138)</f>
        <v>1</v>
      </c>
      <c r="M138" s="99">
        <f t="shared" si="137"/>
        <v>1</v>
      </c>
    </row>
    <row r="139" ht="15.75" customHeight="1">
      <c r="A139" s="129">
        <v>1.0620052E7</v>
      </c>
      <c r="B139" s="153" t="s">
        <v>1278</v>
      </c>
      <c r="C139" s="59"/>
      <c r="D139" s="133"/>
      <c r="E139" s="156" t="s">
        <v>235</v>
      </c>
      <c r="F139" s="156" t="s">
        <v>235</v>
      </c>
      <c r="G139" s="133"/>
      <c r="H139" s="161"/>
      <c r="I139" s="90"/>
      <c r="L139" s="99">
        <f t="shared" ref="L139:M139" si="138">COUNTIF(A139:A1351,A139)</f>
        <v>1</v>
      </c>
      <c r="M139" s="99">
        <f t="shared" si="138"/>
        <v>1</v>
      </c>
    </row>
    <row r="140" ht="15.75" customHeight="1">
      <c r="A140" s="129">
        <v>1.0620053E7</v>
      </c>
      <c r="B140" s="153" t="s">
        <v>1279</v>
      </c>
      <c r="C140" s="59"/>
      <c r="D140" s="133"/>
      <c r="E140" s="156" t="s">
        <v>235</v>
      </c>
      <c r="F140" s="156" t="s">
        <v>235</v>
      </c>
      <c r="G140" s="133"/>
      <c r="H140" s="161"/>
      <c r="I140" s="90"/>
      <c r="L140" s="99">
        <f t="shared" ref="L140:M140" si="139">COUNTIF(A140:A1352,A140)</f>
        <v>1</v>
      </c>
      <c r="M140" s="99">
        <f t="shared" si="139"/>
        <v>1</v>
      </c>
    </row>
    <row r="141" ht="15.75" customHeight="1">
      <c r="A141" s="129">
        <v>1.0620054E7</v>
      </c>
      <c r="B141" s="153" t="s">
        <v>1280</v>
      </c>
      <c r="C141" s="59"/>
      <c r="D141" s="133"/>
      <c r="E141" s="156" t="s">
        <v>247</v>
      </c>
      <c r="F141" s="160" t="s">
        <v>235</v>
      </c>
      <c r="G141" s="133"/>
      <c r="H141" s="161"/>
      <c r="I141" s="90"/>
      <c r="L141" s="99">
        <f t="shared" ref="L141:M141" si="140">COUNTIF(A141:A1353,A141)</f>
        <v>1</v>
      </c>
      <c r="M141" s="99">
        <f t="shared" si="140"/>
        <v>1</v>
      </c>
    </row>
    <row r="142" ht="15.75" customHeight="1">
      <c r="A142" s="129">
        <v>1.0620055E7</v>
      </c>
      <c r="B142" s="153" t="s">
        <v>1281</v>
      </c>
      <c r="C142" s="59"/>
      <c r="D142" s="133"/>
      <c r="E142" s="156" t="s">
        <v>247</v>
      </c>
      <c r="F142" s="156" t="s">
        <v>247</v>
      </c>
      <c r="G142" s="133"/>
      <c r="H142" s="161"/>
      <c r="I142" s="90"/>
      <c r="L142" s="99">
        <f t="shared" ref="L142:M142" si="141">COUNTIF(A142:A1354,A142)</f>
        <v>1</v>
      </c>
      <c r="M142" s="99">
        <f t="shared" si="141"/>
        <v>1</v>
      </c>
    </row>
    <row r="143" ht="15.75" customHeight="1">
      <c r="A143" s="129">
        <v>1.0620056E7</v>
      </c>
      <c r="B143" s="153" t="s">
        <v>1282</v>
      </c>
      <c r="C143" s="59"/>
      <c r="D143" s="133"/>
      <c r="E143" s="156" t="s">
        <v>247</v>
      </c>
      <c r="F143" s="156" t="s">
        <v>247</v>
      </c>
      <c r="G143" s="133"/>
      <c r="H143" s="161"/>
      <c r="I143" s="90"/>
      <c r="L143" s="99">
        <f t="shared" ref="L143:M143" si="142">COUNTIF(A143:A1355,A143)</f>
        <v>1</v>
      </c>
      <c r="M143" s="99">
        <f t="shared" si="142"/>
        <v>1</v>
      </c>
    </row>
    <row r="144" ht="15.75" customHeight="1">
      <c r="A144" s="129">
        <v>1.0620057E7</v>
      </c>
      <c r="B144" s="153" t="s">
        <v>1283</v>
      </c>
      <c r="C144" s="59"/>
      <c r="D144" s="133"/>
      <c r="E144" s="156" t="s">
        <v>235</v>
      </c>
      <c r="F144" s="156" t="s">
        <v>235</v>
      </c>
      <c r="G144" s="133"/>
      <c r="H144" s="161"/>
      <c r="I144" s="90"/>
      <c r="L144" s="99">
        <f t="shared" ref="L144:M144" si="143">COUNTIF(A144:A1356,A144)</f>
        <v>1</v>
      </c>
      <c r="M144" s="99">
        <f t="shared" si="143"/>
        <v>1</v>
      </c>
    </row>
    <row r="145" ht="15.75" customHeight="1">
      <c r="A145" s="129">
        <v>1.0620058E7</v>
      </c>
      <c r="B145" s="153" t="s">
        <v>1284</v>
      </c>
      <c r="C145" s="59"/>
      <c r="D145" s="133"/>
      <c r="E145" s="156" t="s">
        <v>247</v>
      </c>
      <c r="F145" s="160" t="s">
        <v>235</v>
      </c>
      <c r="G145" s="133"/>
      <c r="H145" s="161"/>
      <c r="I145" s="90"/>
      <c r="L145" s="99">
        <f t="shared" ref="L145:M145" si="144">COUNTIF(A145:A1357,A145)</f>
        <v>1</v>
      </c>
      <c r="M145" s="99">
        <f t="shared" si="144"/>
        <v>1</v>
      </c>
    </row>
    <row r="146" ht="15.75" customHeight="1">
      <c r="A146" s="129">
        <v>1.0620059E7</v>
      </c>
      <c r="B146" s="153" t="s">
        <v>1285</v>
      </c>
      <c r="C146" s="59"/>
      <c r="D146" s="133"/>
      <c r="E146" s="160" t="s">
        <v>405</v>
      </c>
      <c r="F146" s="160" t="s">
        <v>405</v>
      </c>
      <c r="G146" s="133"/>
      <c r="H146" s="161"/>
      <c r="I146" s="90"/>
      <c r="L146" s="99">
        <f t="shared" ref="L146:M146" si="145">COUNTIF(A146:A1358,A146)</f>
        <v>1</v>
      </c>
      <c r="M146" s="99">
        <f t="shared" si="145"/>
        <v>1</v>
      </c>
    </row>
    <row r="147" ht="15.75" customHeight="1">
      <c r="A147" s="129">
        <v>1.062006E7</v>
      </c>
      <c r="B147" s="153" t="s">
        <v>1286</v>
      </c>
      <c r="C147" s="59"/>
      <c r="D147" s="133"/>
      <c r="E147" s="160" t="s">
        <v>405</v>
      </c>
      <c r="F147" s="160" t="s">
        <v>405</v>
      </c>
      <c r="G147" s="133"/>
      <c r="H147" s="161"/>
      <c r="I147" s="90"/>
      <c r="L147" s="99">
        <f t="shared" ref="L147:M147" si="146">COUNTIF(A147:A1359,A147)</f>
        <v>1</v>
      </c>
      <c r="M147" s="99">
        <f t="shared" si="146"/>
        <v>1</v>
      </c>
    </row>
    <row r="148" ht="15.75" customHeight="1">
      <c r="A148" s="129">
        <v>1.0620061E7</v>
      </c>
      <c r="B148" s="153" t="s">
        <v>1287</v>
      </c>
      <c r="C148" s="59"/>
      <c r="D148" s="133"/>
      <c r="E148" s="156" t="s">
        <v>235</v>
      </c>
      <c r="F148" s="156" t="s">
        <v>235</v>
      </c>
      <c r="G148" s="133"/>
      <c r="H148" s="161"/>
      <c r="I148" s="90"/>
      <c r="L148" s="99">
        <f t="shared" ref="L148:M148" si="147">COUNTIF(A148:A1360,A148)</f>
        <v>1</v>
      </c>
      <c r="M148" s="99">
        <f t="shared" si="147"/>
        <v>1</v>
      </c>
    </row>
    <row r="149" ht="15.75" customHeight="1">
      <c r="A149" s="129">
        <v>1.0620062E7</v>
      </c>
      <c r="B149" s="153" t="s">
        <v>1288</v>
      </c>
      <c r="C149" s="59"/>
      <c r="D149" s="133"/>
      <c r="E149" s="156" t="s">
        <v>247</v>
      </c>
      <c r="F149" s="160" t="s">
        <v>235</v>
      </c>
      <c r="G149" s="133"/>
      <c r="H149" s="161"/>
      <c r="I149" s="90"/>
      <c r="L149" s="99">
        <f t="shared" ref="L149:M149" si="148">COUNTIF(A149:A1361,A149)</f>
        <v>1</v>
      </c>
      <c r="M149" s="99">
        <f t="shared" si="148"/>
        <v>1</v>
      </c>
    </row>
    <row r="150" ht="15.75" customHeight="1">
      <c r="A150" s="129">
        <v>1.0620063E7</v>
      </c>
      <c r="B150" s="153" t="s">
        <v>1289</v>
      </c>
      <c r="C150" s="59"/>
      <c r="D150" s="133"/>
      <c r="E150" s="160" t="s">
        <v>235</v>
      </c>
      <c r="F150" s="160" t="s">
        <v>235</v>
      </c>
      <c r="G150" s="133"/>
      <c r="H150" s="161"/>
      <c r="I150" s="90"/>
      <c r="L150" s="99">
        <f t="shared" ref="L150:M150" si="149">COUNTIF(A150:A1362,A150)</f>
        <v>1</v>
      </c>
      <c r="M150" s="99">
        <f t="shared" si="149"/>
        <v>1</v>
      </c>
    </row>
    <row r="151" ht="15.75" customHeight="1">
      <c r="A151" s="129">
        <v>1.0620064E7</v>
      </c>
      <c r="B151" s="153" t="s">
        <v>1290</v>
      </c>
      <c r="C151" s="59"/>
      <c r="D151" s="133"/>
      <c r="E151" s="160" t="s">
        <v>235</v>
      </c>
      <c r="F151" s="160" t="s">
        <v>235</v>
      </c>
      <c r="G151" s="133"/>
      <c r="H151" s="161"/>
      <c r="I151" s="90"/>
      <c r="L151" s="99">
        <f t="shared" ref="L151:M151" si="150">COUNTIF(A151:A1363,A151)</f>
        <v>1</v>
      </c>
      <c r="M151" s="99">
        <f t="shared" si="150"/>
        <v>1</v>
      </c>
    </row>
    <row r="152" ht="15.75" customHeight="1">
      <c r="A152" s="129">
        <v>1.0620065E7</v>
      </c>
      <c r="B152" s="153" t="s">
        <v>1291</v>
      </c>
      <c r="C152" s="59"/>
      <c r="D152" s="133"/>
      <c r="E152" s="156" t="s">
        <v>235</v>
      </c>
      <c r="F152" s="156" t="s">
        <v>235</v>
      </c>
      <c r="G152" s="133"/>
      <c r="H152" s="161"/>
      <c r="I152" s="90"/>
      <c r="L152" s="99">
        <f t="shared" ref="L152:M152" si="151">COUNTIF(A152:A1364,A152)</f>
        <v>1</v>
      </c>
      <c r="M152" s="99">
        <f t="shared" si="151"/>
        <v>1</v>
      </c>
    </row>
    <row r="153" ht="15.75" customHeight="1">
      <c r="A153" s="129">
        <v>1.0620066E7</v>
      </c>
      <c r="B153" s="153" t="s">
        <v>1292</v>
      </c>
      <c r="C153" s="59"/>
      <c r="D153" s="133"/>
      <c r="E153" s="156" t="s">
        <v>247</v>
      </c>
      <c r="F153" s="160" t="s">
        <v>235</v>
      </c>
      <c r="G153" s="133"/>
      <c r="H153" s="161"/>
      <c r="I153" s="90"/>
      <c r="L153" s="99">
        <f t="shared" ref="L153:M153" si="152">COUNTIF(A153:A1365,A153)</f>
        <v>1</v>
      </c>
      <c r="M153" s="99">
        <f t="shared" si="152"/>
        <v>1</v>
      </c>
    </row>
    <row r="154" ht="15.75" customHeight="1">
      <c r="A154" s="129">
        <v>1.0620067E7</v>
      </c>
      <c r="B154" s="153" t="s">
        <v>1293</v>
      </c>
      <c r="C154" s="59"/>
      <c r="D154" s="133"/>
      <c r="E154" s="160" t="s">
        <v>406</v>
      </c>
      <c r="F154" s="160" t="s">
        <v>406</v>
      </c>
      <c r="G154" s="133"/>
      <c r="H154" s="161"/>
      <c r="I154" s="90"/>
      <c r="L154" s="99">
        <f t="shared" ref="L154:M154" si="153">COUNTIF(A154:A1366,A154)</f>
        <v>1</v>
      </c>
      <c r="M154" s="99">
        <f t="shared" si="153"/>
        <v>1</v>
      </c>
    </row>
    <row r="155" ht="15.75" customHeight="1">
      <c r="A155" s="129">
        <v>1.0620068E7</v>
      </c>
      <c r="B155" s="153" t="s">
        <v>1294</v>
      </c>
      <c r="C155" s="59"/>
      <c r="D155" s="133"/>
      <c r="E155" s="160" t="s">
        <v>406</v>
      </c>
      <c r="F155" s="160" t="s">
        <v>406</v>
      </c>
      <c r="G155" s="133"/>
      <c r="H155" s="161"/>
      <c r="I155" s="90"/>
      <c r="L155" s="99">
        <f t="shared" ref="L155:M155" si="154">COUNTIF(A155:A1367,A155)</f>
        <v>1</v>
      </c>
      <c r="M155" s="99">
        <f t="shared" si="154"/>
        <v>1</v>
      </c>
    </row>
    <row r="156" ht="15.75" customHeight="1">
      <c r="A156" s="129">
        <v>1.0620069E7</v>
      </c>
      <c r="B156" s="153" t="s">
        <v>1295</v>
      </c>
      <c r="C156" s="59"/>
      <c r="D156" s="133"/>
      <c r="E156" s="156" t="s">
        <v>235</v>
      </c>
      <c r="F156" s="156" t="s">
        <v>235</v>
      </c>
      <c r="G156" s="133"/>
      <c r="H156" s="161"/>
      <c r="I156" s="90"/>
      <c r="L156" s="99">
        <f t="shared" ref="L156:M156" si="155">COUNTIF(A156:A1368,A156)</f>
        <v>1</v>
      </c>
      <c r="M156" s="99">
        <f t="shared" si="155"/>
        <v>1</v>
      </c>
    </row>
    <row r="157" ht="15.75" customHeight="1">
      <c r="A157" s="129">
        <v>1.062007E7</v>
      </c>
      <c r="B157" s="153" t="s">
        <v>1296</v>
      </c>
      <c r="C157" s="59"/>
      <c r="D157" s="133"/>
      <c r="E157" s="156" t="s">
        <v>247</v>
      </c>
      <c r="F157" s="160" t="s">
        <v>235</v>
      </c>
      <c r="G157" s="133"/>
      <c r="H157" s="161"/>
      <c r="I157" s="90"/>
      <c r="L157" s="99">
        <f t="shared" ref="L157:M157" si="156">COUNTIF(A157:A1369,A157)</f>
        <v>1</v>
      </c>
      <c r="M157" s="99">
        <f t="shared" si="156"/>
        <v>1</v>
      </c>
    </row>
    <row r="158" ht="15.75" customHeight="1">
      <c r="A158" s="129">
        <v>1.0620071E7</v>
      </c>
      <c r="B158" s="153" t="s">
        <v>1297</v>
      </c>
      <c r="C158" s="59"/>
      <c r="D158" s="133"/>
      <c r="E158" s="160" t="s">
        <v>235</v>
      </c>
      <c r="F158" s="160" t="s">
        <v>235</v>
      </c>
      <c r="G158" s="133"/>
      <c r="H158" s="161"/>
      <c r="I158" s="90"/>
      <c r="L158" s="99">
        <f t="shared" ref="L158:M158" si="157">COUNTIF(A158:A1370,A158)</f>
        <v>1</v>
      </c>
      <c r="M158" s="99">
        <f t="shared" si="157"/>
        <v>1</v>
      </c>
    </row>
    <row r="159" ht="15.75" customHeight="1">
      <c r="A159" s="129">
        <v>1.0620072E7</v>
      </c>
      <c r="B159" s="153" t="s">
        <v>1298</v>
      </c>
      <c r="C159" s="59"/>
      <c r="D159" s="133"/>
      <c r="E159" s="160" t="s">
        <v>235</v>
      </c>
      <c r="F159" s="160" t="s">
        <v>235</v>
      </c>
      <c r="G159" s="133"/>
      <c r="H159" s="161"/>
      <c r="I159" s="90"/>
      <c r="L159" s="99">
        <f t="shared" ref="L159:M159" si="158">COUNTIF(A159:A1371,A159)</f>
        <v>1</v>
      </c>
      <c r="M159" s="99">
        <f t="shared" si="158"/>
        <v>1</v>
      </c>
    </row>
    <row r="160" ht="15.75" customHeight="1">
      <c r="A160" s="129">
        <v>1.0620073E7</v>
      </c>
      <c r="B160" s="153" t="s">
        <v>1299</v>
      </c>
      <c r="C160" s="59"/>
      <c r="D160" s="133"/>
      <c r="E160" s="156" t="s">
        <v>235</v>
      </c>
      <c r="F160" s="156" t="s">
        <v>235</v>
      </c>
      <c r="G160" s="133"/>
      <c r="H160" s="161"/>
      <c r="I160" s="90"/>
      <c r="L160" s="99">
        <f t="shared" ref="L160:M160" si="159">COUNTIF(A160:A1372,A160)</f>
        <v>1</v>
      </c>
      <c r="M160" s="99">
        <f t="shared" si="159"/>
        <v>1</v>
      </c>
    </row>
    <row r="161" ht="15.75" customHeight="1">
      <c r="A161" s="129">
        <v>1.0600001E7</v>
      </c>
      <c r="B161" s="153" t="s">
        <v>1300</v>
      </c>
      <c r="C161" s="130" t="s">
        <v>1301</v>
      </c>
      <c r="D161" s="133"/>
      <c r="E161" s="162" t="s">
        <v>247</v>
      </c>
      <c r="F161" s="162" t="s">
        <v>1302</v>
      </c>
      <c r="G161" s="133"/>
      <c r="H161" s="133"/>
      <c r="I161" s="90"/>
      <c r="L161" s="99">
        <f t="shared" ref="L161:M161" si="160">COUNTIF(A161:A1373,A161)</f>
        <v>1</v>
      </c>
      <c r="M161" s="99">
        <f t="shared" si="160"/>
        <v>1</v>
      </c>
    </row>
    <row r="162" ht="15.75" customHeight="1">
      <c r="A162" s="129">
        <v>1.0600002E7</v>
      </c>
      <c r="B162" s="106" t="s">
        <v>1303</v>
      </c>
      <c r="C162" s="59"/>
      <c r="D162" s="133"/>
      <c r="E162" s="162" t="s">
        <v>247</v>
      </c>
      <c r="F162" s="162" t="s">
        <v>1302</v>
      </c>
      <c r="G162" s="133"/>
      <c r="H162" s="133"/>
      <c r="I162" s="90"/>
      <c r="L162" s="99">
        <f t="shared" ref="L162:M162" si="161">COUNTIF(A162:A1374,A162)</f>
        <v>1</v>
      </c>
      <c r="M162" s="99">
        <f t="shared" si="161"/>
        <v>1</v>
      </c>
    </row>
    <row r="163" ht="15.75" customHeight="1">
      <c r="A163" s="129">
        <v>1.0600003E7</v>
      </c>
      <c r="B163" s="153" t="s">
        <v>1304</v>
      </c>
      <c r="C163" s="59"/>
      <c r="D163" s="133"/>
      <c r="E163" s="162" t="s">
        <v>247</v>
      </c>
      <c r="F163" s="162" t="s">
        <v>1302</v>
      </c>
      <c r="G163" s="133"/>
      <c r="H163" s="133"/>
      <c r="I163" s="90"/>
      <c r="L163" s="99">
        <f t="shared" ref="L163:M163" si="162">COUNTIF(A163:A1375,A163)</f>
        <v>1</v>
      </c>
      <c r="M163" s="99">
        <f t="shared" si="162"/>
        <v>1</v>
      </c>
    </row>
    <row r="164" ht="15.75" customHeight="1">
      <c r="A164" s="129">
        <v>1.0600004E7</v>
      </c>
      <c r="B164" s="106" t="s">
        <v>1305</v>
      </c>
      <c r="C164" s="59"/>
      <c r="D164" s="133"/>
      <c r="E164" s="162" t="s">
        <v>247</v>
      </c>
      <c r="F164" s="162" t="s">
        <v>1302</v>
      </c>
      <c r="G164" s="133"/>
      <c r="H164" s="133"/>
      <c r="I164" s="90"/>
      <c r="L164" s="99">
        <f t="shared" ref="L164:M164" si="163">COUNTIF(A164:A1376,A164)</f>
        <v>1</v>
      </c>
      <c r="M164" s="99">
        <f t="shared" si="163"/>
        <v>1</v>
      </c>
    </row>
    <row r="165" ht="15.75" customHeight="1">
      <c r="A165" s="129">
        <v>1.0600005E7</v>
      </c>
      <c r="B165" s="106" t="s">
        <v>1306</v>
      </c>
      <c r="C165" s="59"/>
      <c r="D165" s="133"/>
      <c r="E165" s="162" t="s">
        <v>247</v>
      </c>
      <c r="F165" s="162" t="s">
        <v>1302</v>
      </c>
      <c r="G165" s="133"/>
      <c r="H165" s="133"/>
      <c r="I165" s="90"/>
      <c r="L165" s="99">
        <f t="shared" ref="L165:M165" si="164">COUNTIF(A165:A1377,A165)</f>
        <v>1</v>
      </c>
      <c r="M165" s="99">
        <f t="shared" si="164"/>
        <v>1</v>
      </c>
    </row>
    <row r="166" ht="15.75" customHeight="1">
      <c r="A166" s="129">
        <v>1.0600006E7</v>
      </c>
      <c r="B166" s="106" t="s">
        <v>1307</v>
      </c>
      <c r="C166" s="59"/>
      <c r="D166" s="133"/>
      <c r="E166" s="162" t="s">
        <v>247</v>
      </c>
      <c r="F166" s="162" t="s">
        <v>1302</v>
      </c>
      <c r="G166" s="133"/>
      <c r="H166" s="133"/>
      <c r="I166" s="90"/>
      <c r="L166" s="99">
        <f t="shared" ref="L166:M166" si="165">COUNTIF(A166:A1378,A166)</f>
        <v>1</v>
      </c>
      <c r="M166" s="99">
        <f t="shared" si="165"/>
        <v>1</v>
      </c>
    </row>
    <row r="167" ht="15.75" customHeight="1">
      <c r="A167" s="129">
        <v>1.0600007E7</v>
      </c>
      <c r="B167" s="106" t="s">
        <v>1308</v>
      </c>
      <c r="C167" s="59"/>
      <c r="D167" s="133"/>
      <c r="E167" s="162" t="s">
        <v>247</v>
      </c>
      <c r="F167" s="162" t="s">
        <v>1302</v>
      </c>
      <c r="G167" s="133"/>
      <c r="H167" s="133"/>
      <c r="I167" s="90"/>
      <c r="L167" s="99">
        <f t="shared" ref="L167:M167" si="166">COUNTIF(A167:A1379,A167)</f>
        <v>1</v>
      </c>
      <c r="M167" s="99">
        <f t="shared" si="166"/>
        <v>1</v>
      </c>
    </row>
    <row r="168" ht="15.75" customHeight="1">
      <c r="A168" s="129">
        <v>1.0600008E7</v>
      </c>
      <c r="B168" s="106" t="s">
        <v>1309</v>
      </c>
      <c r="C168" s="59"/>
      <c r="D168" s="133"/>
      <c r="E168" s="162" t="s">
        <v>247</v>
      </c>
      <c r="F168" s="162" t="s">
        <v>1302</v>
      </c>
      <c r="G168" s="133"/>
      <c r="H168" s="133"/>
      <c r="I168" s="90"/>
      <c r="L168" s="99">
        <f t="shared" ref="L168:M168" si="167">COUNTIF(A168:A1380,A168)</f>
        <v>1</v>
      </c>
      <c r="M168" s="99">
        <f t="shared" si="167"/>
        <v>1</v>
      </c>
    </row>
    <row r="169" ht="15.75" customHeight="1">
      <c r="A169" s="129">
        <v>1.0600009E7</v>
      </c>
      <c r="B169" s="106" t="s">
        <v>1310</v>
      </c>
      <c r="C169" s="59"/>
      <c r="D169" s="133"/>
      <c r="E169" s="162" t="s">
        <v>247</v>
      </c>
      <c r="F169" s="162" t="s">
        <v>1302</v>
      </c>
      <c r="G169" s="133"/>
      <c r="H169" s="133"/>
      <c r="I169" s="90"/>
      <c r="L169" s="99">
        <f t="shared" ref="L169:M169" si="168">COUNTIF(A169:A1381,A169)</f>
        <v>1</v>
      </c>
      <c r="M169" s="99">
        <f t="shared" si="168"/>
        <v>1</v>
      </c>
    </row>
    <row r="170" ht="15.75" customHeight="1">
      <c r="A170" s="129">
        <v>1.060001E7</v>
      </c>
      <c r="B170" s="106" t="s">
        <v>1311</v>
      </c>
      <c r="C170" s="59"/>
      <c r="D170" s="133"/>
      <c r="E170" s="162" t="s">
        <v>247</v>
      </c>
      <c r="F170" s="162" t="s">
        <v>1302</v>
      </c>
      <c r="G170" s="133"/>
      <c r="H170" s="133"/>
      <c r="I170" s="90"/>
      <c r="L170" s="99">
        <f t="shared" ref="L170:M170" si="169">COUNTIF(A170:A1382,A170)</f>
        <v>1</v>
      </c>
      <c r="M170" s="99">
        <f t="shared" si="169"/>
        <v>1</v>
      </c>
    </row>
    <row r="171" ht="15.75" customHeight="1">
      <c r="A171" s="129">
        <v>1.0600011E7</v>
      </c>
      <c r="B171" s="153" t="s">
        <v>1312</v>
      </c>
      <c r="C171" s="59"/>
      <c r="D171" s="133"/>
      <c r="E171" s="162" t="s">
        <v>247</v>
      </c>
      <c r="F171" s="162" t="s">
        <v>1302</v>
      </c>
      <c r="G171" s="133"/>
      <c r="H171" s="133"/>
      <c r="I171" s="90"/>
      <c r="K171" s="84"/>
      <c r="L171" s="99">
        <f t="shared" ref="L171:M171" si="170">COUNTIF(A171:A1383,A171)</f>
        <v>1</v>
      </c>
      <c r="M171" s="99">
        <f t="shared" si="170"/>
        <v>1</v>
      </c>
    </row>
    <row r="172" ht="15.75" customHeight="1">
      <c r="A172" s="129">
        <v>1.0600012E7</v>
      </c>
      <c r="B172" s="153" t="s">
        <v>1313</v>
      </c>
      <c r="C172" s="59"/>
      <c r="D172" s="133"/>
      <c r="E172" s="162" t="s">
        <v>247</v>
      </c>
      <c r="F172" s="162" t="s">
        <v>1302</v>
      </c>
      <c r="G172" s="133"/>
      <c r="H172" s="133"/>
      <c r="I172" s="90"/>
      <c r="K172" s="84"/>
      <c r="L172" s="99">
        <f t="shared" ref="L172:M172" si="171">COUNTIF(A172:A1384,A172)</f>
        <v>1</v>
      </c>
      <c r="M172" s="99">
        <f t="shared" si="171"/>
        <v>1</v>
      </c>
    </row>
    <row r="173" ht="15.75" customHeight="1">
      <c r="A173" s="129">
        <v>1.0600013E7</v>
      </c>
      <c r="B173" s="153" t="s">
        <v>1314</v>
      </c>
      <c r="C173" s="59"/>
      <c r="D173" s="133"/>
      <c r="E173" s="162" t="s">
        <v>247</v>
      </c>
      <c r="F173" s="162" t="s">
        <v>1302</v>
      </c>
      <c r="G173" s="133"/>
      <c r="H173" s="133"/>
      <c r="I173" s="90"/>
      <c r="K173" s="84"/>
      <c r="L173" s="99">
        <f t="shared" ref="L173:M173" si="172">COUNTIF(A173:A1385,A173)</f>
        <v>1</v>
      </c>
      <c r="M173" s="99">
        <f t="shared" si="172"/>
        <v>1</v>
      </c>
    </row>
    <row r="174" ht="15.75" customHeight="1">
      <c r="A174" s="129">
        <v>1.0600014E7</v>
      </c>
      <c r="B174" s="153" t="s">
        <v>1315</v>
      </c>
      <c r="C174" s="59"/>
      <c r="D174" s="133"/>
      <c r="E174" s="162" t="s">
        <v>247</v>
      </c>
      <c r="F174" s="162" t="s">
        <v>1302</v>
      </c>
      <c r="G174" s="133"/>
      <c r="H174" s="133"/>
      <c r="I174" s="90"/>
      <c r="K174" s="84"/>
      <c r="L174" s="99">
        <f t="shared" ref="L174:M174" si="173">COUNTIF(A174:A1386,A174)</f>
        <v>1</v>
      </c>
      <c r="M174" s="99">
        <f t="shared" si="173"/>
        <v>1</v>
      </c>
    </row>
    <row r="175" ht="15.75" customHeight="1">
      <c r="A175" s="129">
        <v>1.0600015E7</v>
      </c>
      <c r="B175" s="153" t="s">
        <v>1316</v>
      </c>
      <c r="C175" s="59"/>
      <c r="D175" s="133"/>
      <c r="E175" s="162" t="s">
        <v>247</v>
      </c>
      <c r="F175" s="162" t="s">
        <v>1302</v>
      </c>
      <c r="G175" s="133"/>
      <c r="H175" s="133"/>
      <c r="I175" s="90"/>
      <c r="K175" s="84"/>
      <c r="L175" s="99">
        <f t="shared" ref="L175:M175" si="174">COUNTIF(A175:A1387,A175)</f>
        <v>1</v>
      </c>
      <c r="M175" s="99">
        <f t="shared" si="174"/>
        <v>1</v>
      </c>
    </row>
    <row r="176" ht="15.75" customHeight="1">
      <c r="A176" s="129">
        <v>1.0600016E7</v>
      </c>
      <c r="B176" s="153" t="s">
        <v>1317</v>
      </c>
      <c r="C176" s="59"/>
      <c r="D176" s="133"/>
      <c r="E176" s="162" t="s">
        <v>247</v>
      </c>
      <c r="F176" s="162" t="s">
        <v>1302</v>
      </c>
      <c r="G176" s="133"/>
      <c r="H176" s="133"/>
      <c r="I176" s="90"/>
      <c r="K176" s="84"/>
      <c r="L176" s="99">
        <f t="shared" ref="L176:M176" si="175">COUNTIF(A176:A1388,A176)</f>
        <v>1</v>
      </c>
      <c r="M176" s="99">
        <f t="shared" si="175"/>
        <v>1</v>
      </c>
    </row>
    <row r="177" ht="15.75" customHeight="1">
      <c r="A177" s="129">
        <v>1.0600017E7</v>
      </c>
      <c r="B177" s="106" t="s">
        <v>1318</v>
      </c>
      <c r="C177" s="59"/>
      <c r="D177" s="133"/>
      <c r="E177" s="163" t="s">
        <v>1319</v>
      </c>
      <c r="F177" s="163" t="s">
        <v>1319</v>
      </c>
      <c r="G177" s="133"/>
      <c r="H177" s="133"/>
      <c r="I177" s="90"/>
      <c r="K177" s="84"/>
      <c r="L177" s="99">
        <f t="shared" ref="L177:M177" si="176">COUNTIF(A177:A1389,A177)</f>
        <v>1</v>
      </c>
      <c r="M177" s="99">
        <f t="shared" si="176"/>
        <v>1</v>
      </c>
    </row>
    <row r="178" ht="15.75" customHeight="1">
      <c r="A178" s="129">
        <v>1.0600018E7</v>
      </c>
      <c r="B178" s="153" t="s">
        <v>1320</v>
      </c>
      <c r="C178" s="59"/>
      <c r="D178" s="133"/>
      <c r="E178" s="162" t="s">
        <v>247</v>
      </c>
      <c r="F178" s="162" t="s">
        <v>1302</v>
      </c>
      <c r="G178" s="133"/>
      <c r="H178" s="161"/>
      <c r="I178" s="90"/>
      <c r="K178" s="84"/>
      <c r="L178" s="99">
        <f t="shared" ref="L178:M178" si="177">COUNTIF(A178:A1390,A178)</f>
        <v>1</v>
      </c>
      <c r="M178" s="99">
        <f t="shared" si="177"/>
        <v>1</v>
      </c>
    </row>
    <row r="179" ht="15.75" customHeight="1">
      <c r="A179" s="129">
        <v>1.0600019E7</v>
      </c>
      <c r="B179" s="153" t="s">
        <v>1321</v>
      </c>
      <c r="C179" s="59"/>
      <c r="D179" s="133"/>
      <c r="E179" s="162" t="s">
        <v>247</v>
      </c>
      <c r="F179" s="162" t="s">
        <v>1302</v>
      </c>
      <c r="G179" s="133"/>
      <c r="H179" s="133"/>
      <c r="I179" s="90"/>
      <c r="K179" s="84"/>
      <c r="L179" s="99">
        <f t="shared" ref="L179:M179" si="178">COUNTIF(A179:A1391,A179)</f>
        <v>1</v>
      </c>
      <c r="M179" s="99">
        <f t="shared" si="178"/>
        <v>1</v>
      </c>
    </row>
    <row r="180" ht="15.75" customHeight="1">
      <c r="A180" s="129">
        <v>1.060002E7</v>
      </c>
      <c r="B180" s="106" t="s">
        <v>1322</v>
      </c>
      <c r="C180" s="59"/>
      <c r="D180" s="133"/>
      <c r="E180" s="164"/>
      <c r="F180" s="164"/>
      <c r="G180" s="133"/>
      <c r="H180" s="161"/>
      <c r="I180" s="90"/>
      <c r="K180" s="84"/>
      <c r="L180" s="99">
        <f t="shared" ref="L180:M180" si="179">COUNTIF(A180:A1392,A180)</f>
        <v>1</v>
      </c>
      <c r="M180" s="99">
        <f t="shared" si="179"/>
        <v>1</v>
      </c>
    </row>
    <row r="181" ht="15.75" customHeight="1">
      <c r="A181" s="129">
        <v>1.0600021E7</v>
      </c>
      <c r="B181" s="153" t="s">
        <v>1323</v>
      </c>
      <c r="C181" s="59"/>
      <c r="D181" s="133"/>
      <c r="E181" s="162" t="s">
        <v>247</v>
      </c>
      <c r="F181" s="162" t="s">
        <v>1302</v>
      </c>
      <c r="G181" s="133"/>
      <c r="H181" s="161"/>
      <c r="I181" s="90"/>
      <c r="K181" s="84"/>
      <c r="L181" s="99">
        <f t="shared" ref="L181:M181" si="180">COUNTIF(A181:A1393,A181)</f>
        <v>1</v>
      </c>
      <c r="M181" s="99">
        <f t="shared" si="180"/>
        <v>1</v>
      </c>
    </row>
    <row r="182" ht="15.75" customHeight="1">
      <c r="A182" s="129">
        <v>1.0600022E7</v>
      </c>
      <c r="B182" s="153" t="s">
        <v>1324</v>
      </c>
      <c r="C182" s="59"/>
      <c r="D182" s="133"/>
      <c r="E182" s="162" t="s">
        <v>247</v>
      </c>
      <c r="F182" s="162" t="s">
        <v>1302</v>
      </c>
      <c r="G182" s="133"/>
      <c r="H182" s="133"/>
      <c r="I182" s="90"/>
      <c r="K182" s="84"/>
      <c r="L182" s="99">
        <f t="shared" ref="L182:M182" si="181">COUNTIF(A182:A1394,A182)</f>
        <v>1</v>
      </c>
      <c r="M182" s="99">
        <f t="shared" si="181"/>
        <v>1</v>
      </c>
    </row>
    <row r="183" ht="15.75" customHeight="1">
      <c r="A183" s="129">
        <v>1.0600023E7</v>
      </c>
      <c r="B183" s="106" t="s">
        <v>1325</v>
      </c>
      <c r="C183" s="59"/>
      <c r="D183" s="133"/>
      <c r="E183" s="163" t="s">
        <v>1319</v>
      </c>
      <c r="F183" s="163" t="s">
        <v>1319</v>
      </c>
      <c r="G183" s="133"/>
      <c r="H183" s="133"/>
      <c r="I183" s="90"/>
      <c r="K183" s="84"/>
      <c r="L183" s="99">
        <f t="shared" ref="L183:M183" si="182">COUNTIF(A183:A1395,A183)</f>
        <v>1</v>
      </c>
      <c r="M183" s="99">
        <f t="shared" si="182"/>
        <v>1</v>
      </c>
    </row>
    <row r="184" ht="15.75" customHeight="1">
      <c r="A184" s="129">
        <v>1.0600024E7</v>
      </c>
      <c r="B184" s="153" t="s">
        <v>1326</v>
      </c>
      <c r="C184" s="59"/>
      <c r="D184" s="133"/>
      <c r="E184" s="162" t="s">
        <v>247</v>
      </c>
      <c r="F184" s="162" t="s">
        <v>1302</v>
      </c>
      <c r="G184" s="133"/>
      <c r="H184" s="133"/>
      <c r="I184" s="90"/>
      <c r="K184" s="84"/>
      <c r="L184" s="99">
        <f t="shared" ref="L184:M184" si="183">COUNTIF(A184:A1396,A184)</f>
        <v>1</v>
      </c>
      <c r="M184" s="99">
        <f t="shared" si="183"/>
        <v>1</v>
      </c>
    </row>
    <row r="185" ht="15.75" customHeight="1">
      <c r="A185" s="129">
        <v>1.0600025E7</v>
      </c>
      <c r="B185" s="153" t="s">
        <v>1327</v>
      </c>
      <c r="C185" s="59"/>
      <c r="D185" s="133"/>
      <c r="E185" s="162" t="s">
        <v>247</v>
      </c>
      <c r="F185" s="162" t="s">
        <v>1302</v>
      </c>
      <c r="G185" s="133"/>
      <c r="H185" s="133"/>
      <c r="I185" s="90"/>
      <c r="K185" s="84"/>
      <c r="L185" s="99">
        <f t="shared" ref="L185:M185" si="184">COUNTIF(A185:A1397,A185)</f>
        <v>1</v>
      </c>
      <c r="M185" s="99">
        <f t="shared" si="184"/>
        <v>1</v>
      </c>
    </row>
    <row r="186" ht="15.75" customHeight="1">
      <c r="A186" s="129">
        <v>1.0600026E7</v>
      </c>
      <c r="B186" s="106" t="s">
        <v>1328</v>
      </c>
      <c r="C186" s="59"/>
      <c r="D186" s="133"/>
      <c r="E186" s="164"/>
      <c r="F186" s="164"/>
      <c r="G186" s="133"/>
      <c r="H186" s="161"/>
      <c r="I186" s="90"/>
      <c r="K186" s="84"/>
      <c r="L186" s="99">
        <f t="shared" ref="L186:M186" si="185">COUNTIF(A186:A1398,A186)</f>
        <v>1</v>
      </c>
      <c r="M186" s="99">
        <f t="shared" si="185"/>
        <v>1</v>
      </c>
    </row>
    <row r="187" ht="15.75" customHeight="1">
      <c r="A187" s="129">
        <v>1.0600027E7</v>
      </c>
      <c r="B187" s="153" t="s">
        <v>1329</v>
      </c>
      <c r="C187" s="59"/>
      <c r="D187" s="133"/>
      <c r="E187" s="162" t="s">
        <v>247</v>
      </c>
      <c r="F187" s="162" t="s">
        <v>1302</v>
      </c>
      <c r="G187" s="133"/>
      <c r="H187" s="161"/>
      <c r="I187" s="90"/>
      <c r="K187" s="84"/>
      <c r="L187" s="99">
        <f t="shared" ref="L187:M187" si="186">COUNTIF(A187:A1399,A187)</f>
        <v>1</v>
      </c>
      <c r="M187" s="99">
        <f t="shared" si="186"/>
        <v>1</v>
      </c>
    </row>
    <row r="188" ht="15.75" customHeight="1">
      <c r="A188" s="129">
        <v>1.0600028E7</v>
      </c>
      <c r="B188" s="153" t="s">
        <v>1330</v>
      </c>
      <c r="C188" s="59"/>
      <c r="D188" s="133"/>
      <c r="E188" s="162" t="s">
        <v>247</v>
      </c>
      <c r="F188" s="162" t="s">
        <v>1302</v>
      </c>
      <c r="G188" s="133"/>
      <c r="H188" s="133"/>
      <c r="I188" s="90"/>
      <c r="K188" s="84"/>
      <c r="L188" s="99">
        <f t="shared" ref="L188:M188" si="187">COUNTIF(A188:A1400,A188)</f>
        <v>1</v>
      </c>
      <c r="M188" s="99">
        <f t="shared" si="187"/>
        <v>1</v>
      </c>
    </row>
    <row r="189" ht="15.75" customHeight="1">
      <c r="A189" s="129">
        <v>1.0600029E7</v>
      </c>
      <c r="B189" s="106" t="s">
        <v>1331</v>
      </c>
      <c r="C189" s="59"/>
      <c r="D189" s="133"/>
      <c r="E189" s="162" t="s">
        <v>247</v>
      </c>
      <c r="F189" s="162" t="s">
        <v>247</v>
      </c>
      <c r="G189" s="133"/>
      <c r="H189" s="133"/>
      <c r="I189" s="90"/>
      <c r="K189" s="84"/>
      <c r="L189" s="99">
        <f t="shared" ref="L189:M189" si="188">COUNTIF(A189:A1401,A189)</f>
        <v>1</v>
      </c>
      <c r="M189" s="99">
        <f t="shared" si="188"/>
        <v>1</v>
      </c>
    </row>
    <row r="190" ht="15.75" customHeight="1">
      <c r="A190" s="129">
        <v>1.060003E7</v>
      </c>
      <c r="B190" s="106" t="s">
        <v>1332</v>
      </c>
      <c r="C190" s="59"/>
      <c r="D190" s="133"/>
      <c r="E190" s="162" t="s">
        <v>247</v>
      </c>
      <c r="F190" s="162" t="s">
        <v>247</v>
      </c>
      <c r="G190" s="133"/>
      <c r="H190" s="133"/>
      <c r="I190" s="90"/>
      <c r="K190" s="84"/>
      <c r="L190" s="99">
        <f t="shared" ref="L190:M190" si="189">COUNTIF(A190:A1402,A190)</f>
        <v>1</v>
      </c>
      <c r="M190" s="99">
        <f t="shared" si="189"/>
        <v>1</v>
      </c>
    </row>
    <row r="191" ht="15.75" customHeight="1">
      <c r="A191" s="129">
        <v>1.0600031E7</v>
      </c>
      <c r="B191" s="153" t="s">
        <v>1333</v>
      </c>
      <c r="C191" s="59"/>
      <c r="D191" s="133"/>
      <c r="E191" s="162" t="s">
        <v>247</v>
      </c>
      <c r="F191" s="162" t="s">
        <v>247</v>
      </c>
      <c r="G191" s="133"/>
      <c r="H191" s="150" t="s">
        <v>1334</v>
      </c>
      <c r="I191" s="90"/>
      <c r="K191" s="84"/>
      <c r="L191" s="99">
        <f t="shared" ref="L191:M191" si="190">COUNTIF(A191:A1403,A191)</f>
        <v>1</v>
      </c>
      <c r="M191" s="99">
        <f t="shared" si="190"/>
        <v>1</v>
      </c>
    </row>
    <row r="192" ht="15.75" customHeight="1">
      <c r="A192" s="129">
        <v>1.0600032E7</v>
      </c>
      <c r="B192" s="153" t="s">
        <v>1335</v>
      </c>
      <c r="C192" s="59"/>
      <c r="D192" s="133"/>
      <c r="E192" s="162" t="s">
        <v>1096</v>
      </c>
      <c r="F192" s="162" t="s">
        <v>1096</v>
      </c>
      <c r="G192" s="133"/>
      <c r="H192" s="150" t="s">
        <v>1334</v>
      </c>
      <c r="I192" s="90"/>
      <c r="K192" s="84"/>
      <c r="L192" s="99">
        <f t="shared" ref="L192:L194" si="191">COUNTIF(A192:A1404,A192)</f>
        <v>1</v>
      </c>
      <c r="M192" s="99">
        <f>COUNTIF(B192:B1404,#REF!)</f>
        <v>0</v>
      </c>
    </row>
    <row r="193" ht="15.75" customHeight="1">
      <c r="A193" s="129">
        <v>1.0600033E7</v>
      </c>
      <c r="B193" s="153" t="s">
        <v>1336</v>
      </c>
      <c r="C193" s="59"/>
      <c r="D193" s="133"/>
      <c r="E193" s="162" t="s">
        <v>1096</v>
      </c>
      <c r="F193" s="162" t="s">
        <v>1096</v>
      </c>
      <c r="G193" s="133"/>
      <c r="H193" s="150" t="s">
        <v>1334</v>
      </c>
      <c r="I193" s="90"/>
      <c r="K193" s="84"/>
      <c r="L193" s="99">
        <f t="shared" si="191"/>
        <v>1</v>
      </c>
      <c r="M193" s="99">
        <f>COUNTIF(B195:B1405,#REF!)</f>
        <v>0</v>
      </c>
    </row>
    <row r="194" ht="15.75" customHeight="1">
      <c r="A194" s="129">
        <v>1.0600034E7</v>
      </c>
      <c r="B194" s="153" t="s">
        <v>1337</v>
      </c>
      <c r="C194" s="59"/>
      <c r="D194" s="133"/>
      <c r="E194" s="162" t="s">
        <v>235</v>
      </c>
      <c r="F194" s="162" t="s">
        <v>235</v>
      </c>
      <c r="G194" s="133"/>
      <c r="H194" s="150" t="s">
        <v>1334</v>
      </c>
      <c r="I194" s="90"/>
      <c r="K194" s="84"/>
      <c r="L194" s="99">
        <f t="shared" si="191"/>
        <v>1</v>
      </c>
      <c r="M194" s="99">
        <f>COUNTIF(B195:B1406,#REF!)</f>
        <v>0</v>
      </c>
    </row>
    <row r="195" ht="15.75" customHeight="1">
      <c r="A195" s="129">
        <v>1.0600101E7</v>
      </c>
      <c r="B195" s="153" t="s">
        <v>1338</v>
      </c>
      <c r="C195" s="130" t="s">
        <v>1339</v>
      </c>
      <c r="D195" s="133"/>
      <c r="E195" s="162" t="s">
        <v>247</v>
      </c>
      <c r="F195" s="162" t="s">
        <v>1302</v>
      </c>
      <c r="G195" s="133"/>
      <c r="H195" s="133"/>
      <c r="I195" s="90"/>
      <c r="K195" s="84"/>
      <c r="L195" s="99">
        <f t="shared" ref="L195:M195" si="192">COUNTIF(A195:A1412,A195)</f>
        <v>1</v>
      </c>
      <c r="M195" s="99">
        <f t="shared" si="192"/>
        <v>1</v>
      </c>
    </row>
    <row r="196" ht="15.75" customHeight="1">
      <c r="A196" s="129">
        <v>1.0600102E7</v>
      </c>
      <c r="B196" s="153" t="s">
        <v>1340</v>
      </c>
      <c r="C196" s="59"/>
      <c r="D196" s="133"/>
      <c r="E196" s="162" t="s">
        <v>247</v>
      </c>
      <c r="F196" s="162" t="s">
        <v>1302</v>
      </c>
      <c r="G196" s="133"/>
      <c r="H196" s="133"/>
      <c r="I196" s="90"/>
      <c r="K196" s="84"/>
      <c r="L196" s="99">
        <f t="shared" ref="L196:M196" si="193">COUNTIF(A196:A1413,A196)</f>
        <v>1</v>
      </c>
      <c r="M196" s="99">
        <f t="shared" si="193"/>
        <v>1</v>
      </c>
    </row>
    <row r="197" ht="15.75" customHeight="1">
      <c r="A197" s="129">
        <v>1.0600103E7</v>
      </c>
      <c r="B197" s="153" t="s">
        <v>1341</v>
      </c>
      <c r="C197" s="59"/>
      <c r="D197" s="133"/>
      <c r="E197" s="162" t="s">
        <v>247</v>
      </c>
      <c r="F197" s="162" t="s">
        <v>1302</v>
      </c>
      <c r="G197" s="133"/>
      <c r="H197" s="133"/>
      <c r="I197" s="90"/>
      <c r="K197" s="84"/>
      <c r="L197" s="99">
        <f t="shared" ref="L197:M197" si="194">COUNTIF(A197:A1414,A197)</f>
        <v>1</v>
      </c>
      <c r="M197" s="99">
        <f t="shared" si="194"/>
        <v>1</v>
      </c>
    </row>
    <row r="198" ht="15.75" customHeight="1">
      <c r="A198" s="129">
        <v>1.0600104E7</v>
      </c>
      <c r="B198" s="153" t="s">
        <v>1342</v>
      </c>
      <c r="C198" s="59"/>
      <c r="D198" s="133"/>
      <c r="E198" s="162" t="s">
        <v>247</v>
      </c>
      <c r="F198" s="162" t="s">
        <v>1302</v>
      </c>
      <c r="G198" s="133"/>
      <c r="H198" s="133"/>
      <c r="I198" s="90"/>
      <c r="K198" s="84"/>
      <c r="L198" s="99">
        <f t="shared" ref="L198:M198" si="195">COUNTIF(A198:A1415,A198)</f>
        <v>1</v>
      </c>
      <c r="M198" s="99">
        <f t="shared" si="195"/>
        <v>1</v>
      </c>
    </row>
    <row r="199" ht="15.75" customHeight="1">
      <c r="A199" s="129">
        <v>1.0600105E7</v>
      </c>
      <c r="B199" s="153" t="s">
        <v>1343</v>
      </c>
      <c r="C199" s="59"/>
      <c r="D199" s="133"/>
      <c r="E199" s="162" t="s">
        <v>247</v>
      </c>
      <c r="F199" s="162" t="s">
        <v>1302</v>
      </c>
      <c r="G199" s="133"/>
      <c r="H199" s="133"/>
      <c r="I199" s="90"/>
      <c r="K199" s="84"/>
      <c r="L199" s="99">
        <f t="shared" ref="L199:M199" si="196">COUNTIF(A199:A1416,A199)</f>
        <v>1</v>
      </c>
      <c r="M199" s="99">
        <f t="shared" si="196"/>
        <v>1</v>
      </c>
    </row>
    <row r="200" ht="15.75" customHeight="1">
      <c r="A200" s="129">
        <v>1.0600106E7</v>
      </c>
      <c r="B200" s="153" t="s">
        <v>1344</v>
      </c>
      <c r="C200" s="59"/>
      <c r="D200" s="133"/>
      <c r="E200" s="162" t="s">
        <v>247</v>
      </c>
      <c r="F200" s="162" t="s">
        <v>1302</v>
      </c>
      <c r="G200" s="133"/>
      <c r="H200" s="133"/>
      <c r="I200" s="90"/>
      <c r="K200" s="84"/>
      <c r="L200" s="99">
        <f t="shared" ref="L200:M200" si="197">COUNTIF(A200:A1417,A200)</f>
        <v>1</v>
      </c>
      <c r="M200" s="99">
        <f t="shared" si="197"/>
        <v>1</v>
      </c>
    </row>
    <row r="201" ht="15.75" customHeight="1">
      <c r="A201" s="129">
        <v>1.0600107E7</v>
      </c>
      <c r="B201" s="153" t="s">
        <v>1345</v>
      </c>
      <c r="C201" s="59"/>
      <c r="D201" s="133"/>
      <c r="E201" s="162" t="s">
        <v>247</v>
      </c>
      <c r="F201" s="162" t="s">
        <v>1302</v>
      </c>
      <c r="G201" s="133"/>
      <c r="H201" s="133"/>
      <c r="I201" s="90"/>
      <c r="K201" s="84"/>
      <c r="L201" s="99">
        <f t="shared" ref="L201:M201" si="198">COUNTIF(A201:A1418,A201)</f>
        <v>1</v>
      </c>
      <c r="M201" s="99">
        <f t="shared" si="198"/>
        <v>1</v>
      </c>
    </row>
    <row r="202" ht="15.75" customHeight="1">
      <c r="A202" s="129">
        <v>1.0600108E7</v>
      </c>
      <c r="B202" s="153" t="s">
        <v>1346</v>
      </c>
      <c r="C202" s="59"/>
      <c r="D202" s="133"/>
      <c r="E202" s="162" t="s">
        <v>247</v>
      </c>
      <c r="F202" s="162" t="s">
        <v>1302</v>
      </c>
      <c r="G202" s="133"/>
      <c r="H202" s="133"/>
      <c r="I202" s="90"/>
      <c r="K202" s="84"/>
      <c r="L202" s="99">
        <f t="shared" ref="L202:M202" si="199">COUNTIF(A202:A1419,A202)</f>
        <v>1</v>
      </c>
      <c r="M202" s="99">
        <f t="shared" si="199"/>
        <v>1</v>
      </c>
    </row>
    <row r="203" ht="15.75" customHeight="1">
      <c r="A203" s="129">
        <v>1.0600109E7</v>
      </c>
      <c r="B203" s="153" t="s">
        <v>1347</v>
      </c>
      <c r="C203" s="59"/>
      <c r="D203" s="133"/>
      <c r="E203" s="162" t="s">
        <v>247</v>
      </c>
      <c r="F203" s="162" t="s">
        <v>1302</v>
      </c>
      <c r="G203" s="133"/>
      <c r="H203" s="133"/>
      <c r="I203" s="90"/>
      <c r="K203" s="84"/>
      <c r="L203" s="99">
        <f t="shared" ref="L203:M203" si="200">COUNTIF(A203:A1420,A203)</f>
        <v>1</v>
      </c>
      <c r="M203" s="99">
        <f t="shared" si="200"/>
        <v>1</v>
      </c>
    </row>
    <row r="204" ht="15.75" customHeight="1">
      <c r="A204" s="129">
        <v>1.060011E7</v>
      </c>
      <c r="B204" s="153" t="s">
        <v>1348</v>
      </c>
      <c r="C204" s="59"/>
      <c r="D204" s="133"/>
      <c r="E204" s="162" t="s">
        <v>247</v>
      </c>
      <c r="F204" s="162" t="s">
        <v>1302</v>
      </c>
      <c r="G204" s="133"/>
      <c r="H204" s="133"/>
      <c r="I204" s="90"/>
      <c r="K204" s="84"/>
      <c r="L204" s="99">
        <f t="shared" ref="L204:M204" si="201">COUNTIF(A204:A1421,A204)</f>
        <v>1</v>
      </c>
      <c r="M204" s="99">
        <f t="shared" si="201"/>
        <v>1</v>
      </c>
    </row>
    <row r="205" ht="15.75" customHeight="1">
      <c r="A205" s="129">
        <v>1.0600111E7</v>
      </c>
      <c r="B205" s="153" t="s">
        <v>1349</v>
      </c>
      <c r="C205" s="59"/>
      <c r="D205" s="133"/>
      <c r="E205" s="162" t="s">
        <v>247</v>
      </c>
      <c r="F205" s="162" t="s">
        <v>1302</v>
      </c>
      <c r="G205" s="133"/>
      <c r="H205" s="133"/>
      <c r="I205" s="90"/>
      <c r="K205" s="84"/>
      <c r="L205" s="99">
        <f t="shared" ref="L205:M205" si="202">COUNTIF(A205:A1422,A205)</f>
        <v>1</v>
      </c>
      <c r="M205" s="99">
        <f t="shared" si="202"/>
        <v>1</v>
      </c>
    </row>
    <row r="206" ht="15.75" customHeight="1">
      <c r="A206" s="129">
        <v>1.0600112E7</v>
      </c>
      <c r="B206" s="153" t="s">
        <v>1350</v>
      </c>
      <c r="C206" s="59"/>
      <c r="D206" s="133"/>
      <c r="E206" s="162" t="s">
        <v>247</v>
      </c>
      <c r="F206" s="162" t="s">
        <v>1302</v>
      </c>
      <c r="G206" s="133"/>
      <c r="H206" s="133"/>
      <c r="I206" s="90"/>
      <c r="K206" s="84"/>
      <c r="L206" s="99">
        <f t="shared" ref="L206:M206" si="203">COUNTIF(A206:A1423,A206)</f>
        <v>1</v>
      </c>
      <c r="M206" s="99">
        <f t="shared" si="203"/>
        <v>1</v>
      </c>
    </row>
    <row r="207" ht="15.75" customHeight="1">
      <c r="A207" s="129">
        <v>1.0600113E7</v>
      </c>
      <c r="B207" s="153" t="s">
        <v>1351</v>
      </c>
      <c r="C207" s="59"/>
      <c r="D207" s="133"/>
      <c r="E207" s="162" t="s">
        <v>247</v>
      </c>
      <c r="F207" s="162" t="s">
        <v>1302</v>
      </c>
      <c r="G207" s="133"/>
      <c r="H207" s="133"/>
      <c r="I207" s="90"/>
      <c r="K207" s="84"/>
      <c r="L207" s="99">
        <f t="shared" ref="L207:M207" si="204">COUNTIF(A207:A1424,A207)</f>
        <v>1</v>
      </c>
      <c r="M207" s="99">
        <f t="shared" si="204"/>
        <v>1</v>
      </c>
    </row>
    <row r="208" ht="15.75" customHeight="1">
      <c r="A208" s="129">
        <v>1.0600114E7</v>
      </c>
      <c r="B208" s="153" t="s">
        <v>1352</v>
      </c>
      <c r="C208" s="59"/>
      <c r="D208" s="133"/>
      <c r="E208" s="162" t="s">
        <v>247</v>
      </c>
      <c r="F208" s="162" t="s">
        <v>1302</v>
      </c>
      <c r="G208" s="133"/>
      <c r="H208" s="133"/>
      <c r="I208" s="90"/>
      <c r="K208" s="84"/>
      <c r="L208" s="99">
        <f t="shared" ref="L208:M208" si="205">COUNTIF(A208:A1425,A208)</f>
        <v>1</v>
      </c>
      <c r="M208" s="99">
        <f t="shared" si="205"/>
        <v>1</v>
      </c>
    </row>
    <row r="209" ht="15.75" customHeight="1">
      <c r="A209" s="129">
        <v>1.0600115E7</v>
      </c>
      <c r="B209" s="153" t="s">
        <v>1353</v>
      </c>
      <c r="C209" s="59"/>
      <c r="D209" s="133"/>
      <c r="E209" s="162" t="s">
        <v>247</v>
      </c>
      <c r="F209" s="162" t="s">
        <v>1302</v>
      </c>
      <c r="G209" s="133"/>
      <c r="H209" s="133"/>
      <c r="I209" s="90"/>
      <c r="K209" s="84"/>
      <c r="L209" s="99">
        <f t="shared" ref="L209:M209" si="206">COUNTIF(A209:A1426,A209)</f>
        <v>1</v>
      </c>
      <c r="M209" s="99">
        <f t="shared" si="206"/>
        <v>1</v>
      </c>
    </row>
    <row r="210" ht="15.75" customHeight="1">
      <c r="A210" s="129">
        <v>1.0600116E7</v>
      </c>
      <c r="B210" s="153" t="s">
        <v>1354</v>
      </c>
      <c r="C210" s="59"/>
      <c r="D210" s="133"/>
      <c r="E210" s="162" t="s">
        <v>247</v>
      </c>
      <c r="F210" s="162" t="s">
        <v>1302</v>
      </c>
      <c r="G210" s="133"/>
      <c r="H210" s="133"/>
      <c r="I210" s="90"/>
      <c r="K210" s="84"/>
      <c r="L210" s="99">
        <f t="shared" ref="L210:M210" si="207">COUNTIF(A210:A1427,A210)</f>
        <v>1</v>
      </c>
      <c r="M210" s="99">
        <f t="shared" si="207"/>
        <v>1</v>
      </c>
    </row>
    <row r="211" ht="15.75" customHeight="1">
      <c r="A211" s="129">
        <v>1.0600117E7</v>
      </c>
      <c r="B211" s="153" t="s">
        <v>1355</v>
      </c>
      <c r="C211" s="59"/>
      <c r="D211" s="133"/>
      <c r="E211" s="163" t="s">
        <v>1319</v>
      </c>
      <c r="F211" s="163" t="s">
        <v>1319</v>
      </c>
      <c r="G211" s="133"/>
      <c r="H211" s="133"/>
      <c r="I211" s="90"/>
      <c r="K211" s="84"/>
      <c r="L211" s="99">
        <f t="shared" ref="L211:M211" si="208">COUNTIF(A211:A1428,A211)</f>
        <v>1</v>
      </c>
      <c r="M211" s="99">
        <f t="shared" si="208"/>
        <v>1</v>
      </c>
    </row>
    <row r="212" ht="15.75" customHeight="1">
      <c r="A212" s="129">
        <v>1.0600118E7</v>
      </c>
      <c r="B212" s="153" t="s">
        <v>1356</v>
      </c>
      <c r="C212" s="59"/>
      <c r="D212" s="133"/>
      <c r="E212" s="162" t="s">
        <v>247</v>
      </c>
      <c r="F212" s="162" t="s">
        <v>1302</v>
      </c>
      <c r="G212" s="133"/>
      <c r="H212" s="161"/>
      <c r="I212" s="90"/>
      <c r="K212" s="84"/>
      <c r="L212" s="99">
        <f t="shared" ref="L212:M212" si="209">COUNTIF(A212:A1429,A212)</f>
        <v>1</v>
      </c>
      <c r="M212" s="99">
        <f t="shared" si="209"/>
        <v>1</v>
      </c>
    </row>
    <row r="213" ht="15.75" customHeight="1">
      <c r="A213" s="129">
        <v>1.0600119E7</v>
      </c>
      <c r="B213" s="153" t="s">
        <v>1357</v>
      </c>
      <c r="C213" s="59"/>
      <c r="D213" s="133"/>
      <c r="E213" s="162" t="s">
        <v>247</v>
      </c>
      <c r="F213" s="162" t="s">
        <v>1302</v>
      </c>
      <c r="G213" s="133"/>
      <c r="H213" s="133"/>
      <c r="I213" s="90"/>
      <c r="K213" s="84"/>
      <c r="L213" s="99">
        <f t="shared" ref="L213:M213" si="210">COUNTIF(A213:A1430,A213)</f>
        <v>1</v>
      </c>
      <c r="M213" s="99">
        <f t="shared" si="210"/>
        <v>1</v>
      </c>
    </row>
    <row r="214" ht="15.75" customHeight="1">
      <c r="A214" s="129">
        <v>1.060012E7</v>
      </c>
      <c r="B214" s="153" t="s">
        <v>1358</v>
      </c>
      <c r="C214" s="59"/>
      <c r="D214" s="133"/>
      <c r="E214" s="164"/>
      <c r="F214" s="164"/>
      <c r="G214" s="133"/>
      <c r="H214" s="161"/>
      <c r="I214" s="90"/>
      <c r="K214" s="84"/>
      <c r="L214" s="99">
        <f t="shared" ref="L214:M214" si="211">COUNTIF(A214:A1431,A214)</f>
        <v>1</v>
      </c>
      <c r="M214" s="99">
        <f t="shared" si="211"/>
        <v>1</v>
      </c>
    </row>
    <row r="215" ht="15.75" customHeight="1">
      <c r="A215" s="129">
        <v>1.0600121E7</v>
      </c>
      <c r="B215" s="153" t="s">
        <v>1359</v>
      </c>
      <c r="C215" s="59"/>
      <c r="D215" s="133"/>
      <c r="E215" s="162" t="s">
        <v>247</v>
      </c>
      <c r="F215" s="162" t="s">
        <v>1302</v>
      </c>
      <c r="G215" s="133"/>
      <c r="H215" s="161"/>
      <c r="I215" s="90"/>
      <c r="K215" s="84"/>
      <c r="L215" s="99">
        <f t="shared" ref="L215:M215" si="212">COUNTIF(A215:A1432,A215)</f>
        <v>1</v>
      </c>
      <c r="M215" s="99">
        <f t="shared" si="212"/>
        <v>1</v>
      </c>
    </row>
    <row r="216" ht="15.75" customHeight="1">
      <c r="A216" s="129">
        <v>1.0600122E7</v>
      </c>
      <c r="B216" s="153" t="s">
        <v>1360</v>
      </c>
      <c r="C216" s="59"/>
      <c r="D216" s="133"/>
      <c r="E216" s="162" t="s">
        <v>247</v>
      </c>
      <c r="F216" s="162" t="s">
        <v>1302</v>
      </c>
      <c r="G216" s="133"/>
      <c r="H216" s="133"/>
      <c r="I216" s="90"/>
      <c r="K216" s="84"/>
      <c r="L216" s="99">
        <f t="shared" ref="L216:M216" si="213">COUNTIF(A216:A1433,A216)</f>
        <v>1</v>
      </c>
      <c r="M216" s="99">
        <f t="shared" si="213"/>
        <v>1</v>
      </c>
    </row>
    <row r="217" ht="15.75" customHeight="1">
      <c r="A217" s="129">
        <v>1.0600123E7</v>
      </c>
      <c r="B217" s="153" t="s">
        <v>1361</v>
      </c>
      <c r="C217" s="59"/>
      <c r="D217" s="133"/>
      <c r="E217" s="163" t="s">
        <v>1319</v>
      </c>
      <c r="F217" s="163" t="s">
        <v>1319</v>
      </c>
      <c r="G217" s="133"/>
      <c r="H217" s="133"/>
      <c r="I217" s="90"/>
      <c r="K217" s="84"/>
      <c r="L217" s="99">
        <f t="shared" ref="L217:M217" si="214">COUNTIF(A217:A1434,A217)</f>
        <v>1</v>
      </c>
      <c r="M217" s="99">
        <f t="shared" si="214"/>
        <v>1</v>
      </c>
    </row>
    <row r="218" ht="15.75" customHeight="1">
      <c r="A218" s="129">
        <v>1.0600124E7</v>
      </c>
      <c r="B218" s="153" t="s">
        <v>1362</v>
      </c>
      <c r="C218" s="59"/>
      <c r="D218" s="133"/>
      <c r="E218" s="162" t="s">
        <v>247</v>
      </c>
      <c r="F218" s="162" t="s">
        <v>1302</v>
      </c>
      <c r="G218" s="133"/>
      <c r="H218" s="133"/>
      <c r="I218" s="90"/>
      <c r="K218" s="84"/>
      <c r="L218" s="99">
        <f t="shared" ref="L218:M218" si="215">COUNTIF(A218:A1435,A218)</f>
        <v>1</v>
      </c>
      <c r="M218" s="99">
        <f t="shared" si="215"/>
        <v>1</v>
      </c>
    </row>
    <row r="219" ht="15.75" customHeight="1">
      <c r="A219" s="129">
        <v>1.0600125E7</v>
      </c>
      <c r="B219" s="153" t="s">
        <v>1363</v>
      </c>
      <c r="C219" s="59"/>
      <c r="D219" s="133"/>
      <c r="E219" s="162" t="s">
        <v>247</v>
      </c>
      <c r="F219" s="162" t="s">
        <v>1302</v>
      </c>
      <c r="G219" s="133"/>
      <c r="H219" s="133"/>
      <c r="I219" s="90"/>
      <c r="K219" s="84"/>
      <c r="L219" s="99">
        <f t="shared" ref="L219:M219" si="216">COUNTIF(A219:A1436,A219)</f>
        <v>1</v>
      </c>
      <c r="M219" s="99">
        <f t="shared" si="216"/>
        <v>1</v>
      </c>
    </row>
    <row r="220" ht="15.75" customHeight="1">
      <c r="A220" s="129">
        <v>1.0600126E7</v>
      </c>
      <c r="B220" s="153" t="s">
        <v>1364</v>
      </c>
      <c r="C220" s="59"/>
      <c r="D220" s="133"/>
      <c r="E220" s="164"/>
      <c r="F220" s="164"/>
      <c r="G220" s="133"/>
      <c r="H220" s="161"/>
      <c r="I220" s="90"/>
      <c r="K220" s="84"/>
      <c r="L220" s="99">
        <f t="shared" ref="L220:M220" si="217">COUNTIF(A220:A1437,A220)</f>
        <v>1</v>
      </c>
      <c r="M220" s="99">
        <f t="shared" si="217"/>
        <v>1</v>
      </c>
    </row>
    <row r="221" ht="15.75" customHeight="1">
      <c r="A221" s="129">
        <v>1.0600127E7</v>
      </c>
      <c r="B221" s="153" t="s">
        <v>1365</v>
      </c>
      <c r="C221" s="59"/>
      <c r="D221" s="133"/>
      <c r="E221" s="162" t="s">
        <v>247</v>
      </c>
      <c r="F221" s="162" t="s">
        <v>1302</v>
      </c>
      <c r="G221" s="133"/>
      <c r="H221" s="161"/>
      <c r="I221" s="90"/>
      <c r="K221" s="84"/>
      <c r="L221" s="99">
        <f t="shared" ref="L221:M221" si="218">COUNTIF(A221:A1438,A221)</f>
        <v>1</v>
      </c>
      <c r="M221" s="99">
        <f t="shared" si="218"/>
        <v>1</v>
      </c>
    </row>
    <row r="222" ht="15.75" customHeight="1">
      <c r="A222" s="129">
        <v>1.0600128E7</v>
      </c>
      <c r="B222" s="153" t="s">
        <v>1366</v>
      </c>
      <c r="C222" s="59"/>
      <c r="D222" s="133"/>
      <c r="E222" s="162" t="s">
        <v>247</v>
      </c>
      <c r="F222" s="162" t="s">
        <v>1302</v>
      </c>
      <c r="G222" s="133"/>
      <c r="H222" s="133"/>
      <c r="I222" s="90"/>
      <c r="K222" s="84"/>
      <c r="L222" s="99">
        <f t="shared" ref="L222:M222" si="219">COUNTIF(A222:A1439,A222)</f>
        <v>1</v>
      </c>
      <c r="M222" s="99">
        <f t="shared" si="219"/>
        <v>1</v>
      </c>
    </row>
    <row r="223" ht="15.75" customHeight="1">
      <c r="A223" s="129">
        <v>1.0600129E7</v>
      </c>
      <c r="B223" s="153" t="s">
        <v>1367</v>
      </c>
      <c r="C223" s="59"/>
      <c r="D223" s="133"/>
      <c r="E223" s="162" t="s">
        <v>247</v>
      </c>
      <c r="F223" s="162" t="s">
        <v>247</v>
      </c>
      <c r="G223" s="133"/>
      <c r="H223" s="133"/>
      <c r="I223" s="90"/>
      <c r="K223" s="84"/>
      <c r="L223" s="99">
        <f t="shared" ref="L223:M223" si="220">COUNTIF(A223:A1440,A223)</f>
        <v>1</v>
      </c>
      <c r="M223" s="99">
        <f t="shared" si="220"/>
        <v>1</v>
      </c>
    </row>
    <row r="224" ht="15.75" customHeight="1">
      <c r="A224" s="129">
        <v>1.060013E7</v>
      </c>
      <c r="B224" s="153" t="s">
        <v>1368</v>
      </c>
      <c r="C224" s="59"/>
      <c r="D224" s="133"/>
      <c r="E224" s="162" t="s">
        <v>247</v>
      </c>
      <c r="F224" s="162" t="s">
        <v>247</v>
      </c>
      <c r="G224" s="133"/>
      <c r="H224" s="133"/>
      <c r="I224" s="90"/>
      <c r="K224" s="84"/>
      <c r="L224" s="99">
        <f t="shared" ref="L224:M224" si="221">COUNTIF(A224:A1441,A224)</f>
        <v>1</v>
      </c>
      <c r="M224" s="99">
        <f t="shared" si="221"/>
        <v>1</v>
      </c>
    </row>
    <row r="225" ht="15.75" customHeight="1">
      <c r="A225" s="129">
        <v>1.0600131E7</v>
      </c>
      <c r="B225" s="153" t="s">
        <v>1369</v>
      </c>
      <c r="C225" s="59"/>
      <c r="D225" s="133"/>
      <c r="E225" s="162" t="s">
        <v>247</v>
      </c>
      <c r="F225" s="162" t="s">
        <v>247</v>
      </c>
      <c r="G225" s="133"/>
      <c r="H225" s="133"/>
      <c r="I225" s="90"/>
      <c r="K225" s="84"/>
      <c r="L225" s="99">
        <f t="shared" ref="L225:M225" si="222">COUNTIF(A225:A1442,A225)</f>
        <v>1</v>
      </c>
      <c r="M225" s="99">
        <f t="shared" si="222"/>
        <v>1</v>
      </c>
    </row>
    <row r="226" ht="15.75" customHeight="1">
      <c r="A226" s="129">
        <v>1.0600132E7</v>
      </c>
      <c r="B226" s="153" t="s">
        <v>1370</v>
      </c>
      <c r="C226" s="59"/>
      <c r="D226" s="133"/>
      <c r="E226" s="162" t="s">
        <v>1096</v>
      </c>
      <c r="F226" s="162" t="s">
        <v>1096</v>
      </c>
      <c r="G226" s="133"/>
      <c r="H226" s="150" t="s">
        <v>1334</v>
      </c>
      <c r="I226" s="90"/>
      <c r="K226" s="84"/>
      <c r="L226" s="99">
        <f t="shared" ref="L226:M226" si="223">COUNTIF(A226:A1443,A226)</f>
        <v>1</v>
      </c>
      <c r="M226" s="99">
        <f t="shared" si="223"/>
        <v>1</v>
      </c>
    </row>
    <row r="227" ht="15.75" customHeight="1">
      <c r="A227" s="129">
        <v>1.0600133E7</v>
      </c>
      <c r="B227" s="153" t="s">
        <v>1371</v>
      </c>
      <c r="C227" s="59"/>
      <c r="D227" s="133"/>
      <c r="E227" s="162" t="s">
        <v>1096</v>
      </c>
      <c r="F227" s="162" t="s">
        <v>1096</v>
      </c>
      <c r="G227" s="133"/>
      <c r="H227" s="150" t="s">
        <v>1334</v>
      </c>
      <c r="I227" s="90"/>
      <c r="K227" s="84"/>
      <c r="L227" s="99">
        <f t="shared" ref="L227:M227" si="224">COUNTIF(A227:A1444,A227)</f>
        <v>1</v>
      </c>
      <c r="M227" s="99">
        <f t="shared" si="224"/>
        <v>1</v>
      </c>
    </row>
    <row r="228" ht="15.75" customHeight="1">
      <c r="A228" s="129">
        <v>1.0600134E7</v>
      </c>
      <c r="B228" s="153" t="s">
        <v>1372</v>
      </c>
      <c r="C228" s="59"/>
      <c r="D228" s="133"/>
      <c r="E228" s="162" t="s">
        <v>235</v>
      </c>
      <c r="F228" s="162" t="s">
        <v>235</v>
      </c>
      <c r="G228" s="133"/>
      <c r="H228" s="150" t="s">
        <v>1334</v>
      </c>
      <c r="I228" s="90"/>
      <c r="K228" s="84"/>
      <c r="L228" s="99">
        <f t="shared" ref="L228:M228" si="225">COUNTIF(A228:A1445,A228)</f>
        <v>1</v>
      </c>
      <c r="M228" s="99">
        <f t="shared" si="225"/>
        <v>1</v>
      </c>
    </row>
    <row r="229" ht="15.75" customHeight="1">
      <c r="A229" s="129">
        <v>1.0600201E7</v>
      </c>
      <c r="B229" s="153" t="s">
        <v>1373</v>
      </c>
      <c r="C229" s="130" t="s">
        <v>1374</v>
      </c>
      <c r="D229" s="133"/>
      <c r="E229" s="162" t="s">
        <v>247</v>
      </c>
      <c r="F229" s="162" t="s">
        <v>1302</v>
      </c>
      <c r="G229" s="133"/>
      <c r="H229" s="133"/>
      <c r="I229" s="90"/>
      <c r="K229" s="84"/>
      <c r="L229" s="99">
        <f t="shared" ref="L229:M229" si="226">COUNTIF(A229:A1451,A229)</f>
        <v>1</v>
      </c>
      <c r="M229" s="99">
        <f t="shared" si="226"/>
        <v>1</v>
      </c>
    </row>
    <row r="230" ht="15.75" customHeight="1">
      <c r="A230" s="129">
        <v>1.0600202E7</v>
      </c>
      <c r="B230" s="153" t="s">
        <v>1375</v>
      </c>
      <c r="C230" s="59"/>
      <c r="D230" s="133"/>
      <c r="E230" s="162" t="s">
        <v>247</v>
      </c>
      <c r="F230" s="162" t="s">
        <v>1302</v>
      </c>
      <c r="G230" s="133"/>
      <c r="H230" s="133"/>
      <c r="I230" s="90"/>
      <c r="K230" s="84"/>
      <c r="L230" s="99">
        <f t="shared" ref="L230:M230" si="227">COUNTIF(A230:A1452,A230)</f>
        <v>1</v>
      </c>
      <c r="M230" s="99">
        <f t="shared" si="227"/>
        <v>1</v>
      </c>
    </row>
    <row r="231" ht="15.75" customHeight="1">
      <c r="A231" s="129">
        <v>1.0600203E7</v>
      </c>
      <c r="B231" s="153" t="s">
        <v>1376</v>
      </c>
      <c r="C231" s="59"/>
      <c r="D231" s="133"/>
      <c r="E231" s="162" t="s">
        <v>247</v>
      </c>
      <c r="F231" s="162" t="s">
        <v>1302</v>
      </c>
      <c r="G231" s="133"/>
      <c r="H231" s="133"/>
      <c r="I231" s="90"/>
      <c r="K231" s="84"/>
      <c r="L231" s="99">
        <f t="shared" ref="L231:M231" si="228">COUNTIF(A231:A1453,A231)</f>
        <v>1</v>
      </c>
      <c r="M231" s="99">
        <f t="shared" si="228"/>
        <v>1</v>
      </c>
    </row>
    <row r="232" ht="15.75" customHeight="1">
      <c r="A232" s="129">
        <v>1.0600204E7</v>
      </c>
      <c r="B232" s="153" t="s">
        <v>1377</v>
      </c>
      <c r="C232" s="59"/>
      <c r="D232" s="133"/>
      <c r="E232" s="162" t="s">
        <v>247</v>
      </c>
      <c r="F232" s="162" t="s">
        <v>1302</v>
      </c>
      <c r="G232" s="133"/>
      <c r="H232" s="133"/>
      <c r="I232" s="90"/>
      <c r="K232" s="84"/>
      <c r="L232" s="99">
        <f t="shared" ref="L232:M232" si="229">COUNTIF(A232:A1454,A232)</f>
        <v>1</v>
      </c>
      <c r="M232" s="99">
        <f t="shared" si="229"/>
        <v>1</v>
      </c>
    </row>
    <row r="233" ht="15.75" customHeight="1">
      <c r="A233" s="129">
        <v>1.0600205E7</v>
      </c>
      <c r="B233" s="153" t="s">
        <v>1378</v>
      </c>
      <c r="C233" s="59"/>
      <c r="D233" s="133"/>
      <c r="E233" s="162" t="s">
        <v>247</v>
      </c>
      <c r="F233" s="162" t="s">
        <v>1302</v>
      </c>
      <c r="G233" s="133"/>
      <c r="H233" s="133"/>
      <c r="I233" s="90"/>
      <c r="K233" s="84"/>
      <c r="L233" s="99">
        <f t="shared" ref="L233:M233" si="230">COUNTIF(A233:A1455,A233)</f>
        <v>1</v>
      </c>
      <c r="M233" s="99">
        <f t="shared" si="230"/>
        <v>1</v>
      </c>
    </row>
    <row r="234" ht="15.75" customHeight="1">
      <c r="A234" s="129">
        <v>1.0600206E7</v>
      </c>
      <c r="B234" s="153" t="s">
        <v>1379</v>
      </c>
      <c r="C234" s="59"/>
      <c r="D234" s="133"/>
      <c r="E234" s="162" t="s">
        <v>247</v>
      </c>
      <c r="F234" s="162" t="s">
        <v>1302</v>
      </c>
      <c r="G234" s="133"/>
      <c r="H234" s="133"/>
      <c r="I234" s="90"/>
      <c r="K234" s="84"/>
      <c r="L234" s="99">
        <f t="shared" ref="L234:M234" si="231">COUNTIF(A234:A1456,A234)</f>
        <v>1</v>
      </c>
      <c r="M234" s="99">
        <f t="shared" si="231"/>
        <v>1</v>
      </c>
    </row>
    <row r="235" ht="15.75" customHeight="1">
      <c r="A235" s="129">
        <v>1.0600207E7</v>
      </c>
      <c r="B235" s="153" t="s">
        <v>1380</v>
      </c>
      <c r="C235" s="59"/>
      <c r="D235" s="133"/>
      <c r="E235" s="162" t="s">
        <v>247</v>
      </c>
      <c r="F235" s="162" t="s">
        <v>1302</v>
      </c>
      <c r="G235" s="133"/>
      <c r="H235" s="133"/>
      <c r="I235" s="90"/>
      <c r="K235" s="84"/>
      <c r="L235" s="99">
        <f t="shared" ref="L235:M235" si="232">COUNTIF(A235:A1457,A235)</f>
        <v>1</v>
      </c>
      <c r="M235" s="99">
        <f t="shared" si="232"/>
        <v>1</v>
      </c>
    </row>
    <row r="236" ht="15.75" customHeight="1">
      <c r="A236" s="129">
        <v>1.0600208E7</v>
      </c>
      <c r="B236" s="153" t="s">
        <v>1381</v>
      </c>
      <c r="C236" s="59"/>
      <c r="D236" s="133"/>
      <c r="E236" s="162" t="s">
        <v>247</v>
      </c>
      <c r="F236" s="162" t="s">
        <v>1302</v>
      </c>
      <c r="G236" s="133"/>
      <c r="H236" s="133"/>
      <c r="I236" s="90"/>
      <c r="K236" s="84"/>
      <c r="L236" s="99">
        <f t="shared" ref="L236:M236" si="233">COUNTIF(A236:A1458,A236)</f>
        <v>1</v>
      </c>
      <c r="M236" s="99">
        <f t="shared" si="233"/>
        <v>1</v>
      </c>
    </row>
    <row r="237" ht="15.75" customHeight="1">
      <c r="A237" s="129">
        <v>1.0600209E7</v>
      </c>
      <c r="B237" s="153" t="s">
        <v>1382</v>
      </c>
      <c r="C237" s="59"/>
      <c r="D237" s="133"/>
      <c r="E237" s="162" t="s">
        <v>247</v>
      </c>
      <c r="F237" s="162" t="s">
        <v>1302</v>
      </c>
      <c r="G237" s="133"/>
      <c r="H237" s="133"/>
      <c r="I237" s="90"/>
      <c r="K237" s="84"/>
      <c r="L237" s="99">
        <f t="shared" ref="L237:M237" si="234">COUNTIF(A237:A1459,A237)</f>
        <v>1</v>
      </c>
      <c r="M237" s="99">
        <f t="shared" si="234"/>
        <v>1</v>
      </c>
    </row>
    <row r="238" ht="15.75" customHeight="1">
      <c r="A238" s="129">
        <v>1.060021E7</v>
      </c>
      <c r="B238" s="153" t="s">
        <v>1383</v>
      </c>
      <c r="C238" s="59"/>
      <c r="D238" s="133"/>
      <c r="E238" s="162" t="s">
        <v>247</v>
      </c>
      <c r="F238" s="162" t="s">
        <v>1302</v>
      </c>
      <c r="G238" s="133"/>
      <c r="H238" s="133"/>
      <c r="I238" s="90"/>
      <c r="K238" s="84"/>
      <c r="L238" s="99">
        <f t="shared" ref="L238:M238" si="235">COUNTIF(A238:A1460,A238)</f>
        <v>1</v>
      </c>
      <c r="M238" s="99">
        <f t="shared" si="235"/>
        <v>1</v>
      </c>
    </row>
    <row r="239" ht="15.75" customHeight="1">
      <c r="A239" s="129">
        <v>1.0600211E7</v>
      </c>
      <c r="B239" s="153" t="s">
        <v>1384</v>
      </c>
      <c r="C239" s="59"/>
      <c r="D239" s="133"/>
      <c r="E239" s="162" t="s">
        <v>247</v>
      </c>
      <c r="F239" s="162" t="s">
        <v>1302</v>
      </c>
      <c r="G239" s="133"/>
      <c r="H239" s="133"/>
      <c r="I239" s="90"/>
      <c r="K239" s="84"/>
      <c r="L239" s="99">
        <f t="shared" ref="L239:M239" si="236">COUNTIF(A239:A1461,A239)</f>
        <v>1</v>
      </c>
      <c r="M239" s="99">
        <f t="shared" si="236"/>
        <v>1</v>
      </c>
    </row>
    <row r="240" ht="15.75" customHeight="1">
      <c r="A240" s="129">
        <v>1.0600212E7</v>
      </c>
      <c r="B240" s="153" t="s">
        <v>1385</v>
      </c>
      <c r="C240" s="59"/>
      <c r="D240" s="133"/>
      <c r="E240" s="162" t="s">
        <v>247</v>
      </c>
      <c r="F240" s="162" t="s">
        <v>1302</v>
      </c>
      <c r="G240" s="133"/>
      <c r="H240" s="133"/>
      <c r="I240" s="90"/>
      <c r="K240" s="84"/>
      <c r="L240" s="99">
        <f t="shared" ref="L240:M240" si="237">COUNTIF(A240:A1462,A240)</f>
        <v>1</v>
      </c>
      <c r="M240" s="99">
        <f t="shared" si="237"/>
        <v>1</v>
      </c>
    </row>
    <row r="241" ht="15.75" customHeight="1">
      <c r="A241" s="129">
        <v>1.0600213E7</v>
      </c>
      <c r="B241" s="153" t="s">
        <v>1386</v>
      </c>
      <c r="C241" s="59"/>
      <c r="D241" s="133"/>
      <c r="E241" s="162" t="s">
        <v>247</v>
      </c>
      <c r="F241" s="162" t="s">
        <v>1302</v>
      </c>
      <c r="G241" s="133"/>
      <c r="H241" s="133"/>
      <c r="I241" s="90"/>
      <c r="K241" s="84"/>
      <c r="L241" s="99">
        <f t="shared" ref="L241:M241" si="238">COUNTIF(A241:A1463,A241)</f>
        <v>1</v>
      </c>
      <c r="M241" s="99">
        <f t="shared" si="238"/>
        <v>1</v>
      </c>
    </row>
    <row r="242" ht="15.75" customHeight="1">
      <c r="A242" s="129">
        <v>1.0600214E7</v>
      </c>
      <c r="B242" s="153" t="s">
        <v>1387</v>
      </c>
      <c r="C242" s="59"/>
      <c r="D242" s="133"/>
      <c r="E242" s="162" t="s">
        <v>247</v>
      </c>
      <c r="F242" s="162" t="s">
        <v>1302</v>
      </c>
      <c r="G242" s="133"/>
      <c r="H242" s="133"/>
      <c r="I242" s="90"/>
      <c r="K242" s="84"/>
      <c r="L242" s="99">
        <f t="shared" ref="L242:M242" si="239">COUNTIF(A242:A1464,A242)</f>
        <v>1</v>
      </c>
      <c r="M242" s="99">
        <f t="shared" si="239"/>
        <v>1</v>
      </c>
    </row>
    <row r="243" ht="15.75" customHeight="1">
      <c r="A243" s="129">
        <v>1.0600215E7</v>
      </c>
      <c r="B243" s="153" t="s">
        <v>1388</v>
      </c>
      <c r="C243" s="59"/>
      <c r="D243" s="133"/>
      <c r="E243" s="162" t="s">
        <v>247</v>
      </c>
      <c r="F243" s="162" t="s">
        <v>1302</v>
      </c>
      <c r="G243" s="133"/>
      <c r="H243" s="133"/>
      <c r="I243" s="90"/>
      <c r="K243" s="84"/>
      <c r="L243" s="99">
        <f t="shared" ref="L243:M243" si="240">COUNTIF(A243:A1465,A243)</f>
        <v>1</v>
      </c>
      <c r="M243" s="99">
        <f t="shared" si="240"/>
        <v>1</v>
      </c>
    </row>
    <row r="244" ht="15.75" customHeight="1">
      <c r="A244" s="129">
        <v>1.0600216E7</v>
      </c>
      <c r="B244" s="153" t="s">
        <v>1389</v>
      </c>
      <c r="C244" s="59"/>
      <c r="D244" s="133"/>
      <c r="E244" s="162" t="s">
        <v>247</v>
      </c>
      <c r="F244" s="162" t="s">
        <v>1302</v>
      </c>
      <c r="G244" s="133"/>
      <c r="H244" s="133"/>
      <c r="I244" s="90"/>
      <c r="K244" s="84"/>
      <c r="L244" s="99">
        <f t="shared" ref="L244:M244" si="241">COUNTIF(A244:A1466,A244)</f>
        <v>1</v>
      </c>
      <c r="M244" s="99">
        <f t="shared" si="241"/>
        <v>1</v>
      </c>
    </row>
    <row r="245" ht="15.75" customHeight="1">
      <c r="A245" s="129">
        <v>1.0600217E7</v>
      </c>
      <c r="B245" s="153" t="s">
        <v>1390</v>
      </c>
      <c r="C245" s="59"/>
      <c r="D245" s="133"/>
      <c r="E245" s="163" t="s">
        <v>1319</v>
      </c>
      <c r="F245" s="163" t="s">
        <v>1319</v>
      </c>
      <c r="G245" s="133"/>
      <c r="H245" s="133"/>
      <c r="I245" s="90"/>
      <c r="K245" s="84"/>
      <c r="L245" s="99">
        <f t="shared" ref="L245:M245" si="242">COUNTIF(A245:A1467,A245)</f>
        <v>1</v>
      </c>
      <c r="M245" s="99">
        <f t="shared" si="242"/>
        <v>1</v>
      </c>
    </row>
    <row r="246" ht="15.75" customHeight="1">
      <c r="A246" s="129">
        <v>1.0600218E7</v>
      </c>
      <c r="B246" s="153" t="s">
        <v>1391</v>
      </c>
      <c r="C246" s="59"/>
      <c r="D246" s="133"/>
      <c r="E246" s="162" t="s">
        <v>247</v>
      </c>
      <c r="F246" s="162" t="s">
        <v>1302</v>
      </c>
      <c r="G246" s="133"/>
      <c r="H246" s="161"/>
      <c r="I246" s="90"/>
      <c r="K246" s="84"/>
      <c r="L246" s="99">
        <f t="shared" ref="L246:M246" si="243">COUNTIF(A246:A1468,A246)</f>
        <v>1</v>
      </c>
      <c r="M246" s="99">
        <f t="shared" si="243"/>
        <v>1</v>
      </c>
    </row>
    <row r="247" ht="15.75" customHeight="1">
      <c r="A247" s="129">
        <v>1.0600219E7</v>
      </c>
      <c r="B247" s="153" t="s">
        <v>1392</v>
      </c>
      <c r="C247" s="59"/>
      <c r="D247" s="133"/>
      <c r="E247" s="162" t="s">
        <v>247</v>
      </c>
      <c r="F247" s="162" t="s">
        <v>1302</v>
      </c>
      <c r="G247" s="133"/>
      <c r="H247" s="133"/>
      <c r="I247" s="90"/>
      <c r="K247" s="84"/>
      <c r="L247" s="99">
        <f t="shared" ref="L247:M247" si="244">COUNTIF(A247:A1469,A247)</f>
        <v>1</v>
      </c>
      <c r="M247" s="99">
        <f t="shared" si="244"/>
        <v>1</v>
      </c>
    </row>
    <row r="248" ht="15.75" customHeight="1">
      <c r="A248" s="129">
        <v>1.060022E7</v>
      </c>
      <c r="B248" s="153" t="s">
        <v>1393</v>
      </c>
      <c r="C248" s="59"/>
      <c r="D248" s="133"/>
      <c r="E248" s="164"/>
      <c r="F248" s="164"/>
      <c r="G248" s="133"/>
      <c r="H248" s="161"/>
      <c r="I248" s="90"/>
      <c r="K248" s="84"/>
      <c r="L248" s="99">
        <f t="shared" ref="L248:M248" si="245">COUNTIF(A248:A1470,A248)</f>
        <v>1</v>
      </c>
      <c r="M248" s="99">
        <f t="shared" si="245"/>
        <v>1</v>
      </c>
    </row>
    <row r="249" ht="15.75" customHeight="1">
      <c r="A249" s="129">
        <v>1.0600221E7</v>
      </c>
      <c r="B249" s="153" t="s">
        <v>1394</v>
      </c>
      <c r="C249" s="59"/>
      <c r="D249" s="133"/>
      <c r="E249" s="162" t="s">
        <v>247</v>
      </c>
      <c r="F249" s="162" t="s">
        <v>1302</v>
      </c>
      <c r="G249" s="133"/>
      <c r="H249" s="161"/>
      <c r="I249" s="90"/>
      <c r="K249" s="84"/>
      <c r="L249" s="99">
        <f t="shared" ref="L249:M249" si="246">COUNTIF(A249:A1471,A249)</f>
        <v>1</v>
      </c>
      <c r="M249" s="99">
        <f t="shared" si="246"/>
        <v>1</v>
      </c>
    </row>
    <row r="250" ht="15.75" customHeight="1">
      <c r="A250" s="129">
        <v>1.0600222E7</v>
      </c>
      <c r="B250" s="153" t="s">
        <v>1395</v>
      </c>
      <c r="C250" s="59"/>
      <c r="D250" s="133"/>
      <c r="E250" s="162" t="s">
        <v>247</v>
      </c>
      <c r="F250" s="162" t="s">
        <v>1302</v>
      </c>
      <c r="G250" s="133"/>
      <c r="H250" s="133"/>
      <c r="I250" s="90"/>
      <c r="K250" s="84"/>
      <c r="L250" s="99">
        <f t="shared" ref="L250:M250" si="247">COUNTIF(A250:A1472,A250)</f>
        <v>1</v>
      </c>
      <c r="M250" s="99">
        <f t="shared" si="247"/>
        <v>1</v>
      </c>
    </row>
    <row r="251" ht="15.75" customHeight="1">
      <c r="A251" s="129">
        <v>1.0600223E7</v>
      </c>
      <c r="B251" s="153" t="s">
        <v>1396</v>
      </c>
      <c r="C251" s="59"/>
      <c r="D251" s="133"/>
      <c r="E251" s="163" t="s">
        <v>1319</v>
      </c>
      <c r="F251" s="163" t="s">
        <v>1319</v>
      </c>
      <c r="G251" s="133"/>
      <c r="H251" s="133"/>
      <c r="I251" s="90"/>
      <c r="K251" s="84"/>
      <c r="L251" s="99">
        <f t="shared" ref="L251:M251" si="248">COUNTIF(A251:A1473,A251)</f>
        <v>1</v>
      </c>
      <c r="M251" s="99">
        <f t="shared" si="248"/>
        <v>1</v>
      </c>
    </row>
    <row r="252" ht="15.75" customHeight="1">
      <c r="A252" s="129">
        <v>1.0600224E7</v>
      </c>
      <c r="B252" s="153" t="s">
        <v>1397</v>
      </c>
      <c r="C252" s="59"/>
      <c r="D252" s="133"/>
      <c r="E252" s="162" t="s">
        <v>247</v>
      </c>
      <c r="F252" s="162" t="s">
        <v>1302</v>
      </c>
      <c r="G252" s="133"/>
      <c r="H252" s="133"/>
      <c r="I252" s="90"/>
      <c r="K252" s="84"/>
      <c r="L252" s="99">
        <f t="shared" ref="L252:M252" si="249">COUNTIF(A252:A1474,A252)</f>
        <v>1</v>
      </c>
      <c r="M252" s="99">
        <f t="shared" si="249"/>
        <v>1</v>
      </c>
    </row>
    <row r="253" ht="15.75" customHeight="1">
      <c r="A253" s="129">
        <v>1.0600225E7</v>
      </c>
      <c r="B253" s="153" t="s">
        <v>1398</v>
      </c>
      <c r="C253" s="59"/>
      <c r="D253" s="133"/>
      <c r="E253" s="162" t="s">
        <v>247</v>
      </c>
      <c r="F253" s="162" t="s">
        <v>1302</v>
      </c>
      <c r="G253" s="133"/>
      <c r="H253" s="133"/>
      <c r="I253" s="90"/>
      <c r="K253" s="84"/>
      <c r="L253" s="99">
        <f t="shared" ref="L253:M253" si="250">COUNTIF(A253:A1475,A253)</f>
        <v>1</v>
      </c>
      <c r="M253" s="99">
        <f t="shared" si="250"/>
        <v>1</v>
      </c>
    </row>
    <row r="254" ht="15.75" customHeight="1">
      <c r="A254" s="129">
        <v>1.0600226E7</v>
      </c>
      <c r="B254" s="153" t="s">
        <v>1399</v>
      </c>
      <c r="C254" s="59"/>
      <c r="D254" s="133"/>
      <c r="E254" s="164"/>
      <c r="F254" s="164"/>
      <c r="G254" s="133"/>
      <c r="H254" s="161"/>
      <c r="I254" s="90"/>
      <c r="K254" s="84"/>
      <c r="L254" s="99">
        <f t="shared" ref="L254:M254" si="251">COUNTIF(A254:A1476,A254)</f>
        <v>1</v>
      </c>
      <c r="M254" s="99">
        <f t="shared" si="251"/>
        <v>1</v>
      </c>
    </row>
    <row r="255" ht="15.75" customHeight="1">
      <c r="A255" s="129">
        <v>1.0600227E7</v>
      </c>
      <c r="B255" s="153" t="s">
        <v>1400</v>
      </c>
      <c r="C255" s="59"/>
      <c r="D255" s="133"/>
      <c r="E255" s="162" t="s">
        <v>247</v>
      </c>
      <c r="F255" s="162" t="s">
        <v>1302</v>
      </c>
      <c r="G255" s="133"/>
      <c r="H255" s="161"/>
      <c r="I255" s="90"/>
      <c r="K255" s="84"/>
      <c r="L255" s="99">
        <f t="shared" ref="L255:M255" si="252">COUNTIF(A255:A1477,A255)</f>
        <v>1</v>
      </c>
      <c r="M255" s="99">
        <f t="shared" si="252"/>
        <v>1</v>
      </c>
    </row>
    <row r="256" ht="15.75" customHeight="1">
      <c r="A256" s="129">
        <v>1.0600228E7</v>
      </c>
      <c r="B256" s="153" t="s">
        <v>1401</v>
      </c>
      <c r="C256" s="59"/>
      <c r="D256" s="133"/>
      <c r="E256" s="162" t="s">
        <v>247</v>
      </c>
      <c r="F256" s="162" t="s">
        <v>1302</v>
      </c>
      <c r="G256" s="133"/>
      <c r="H256" s="133"/>
      <c r="I256" s="90"/>
      <c r="K256" s="84"/>
      <c r="L256" s="99">
        <f t="shared" ref="L256:M256" si="253">COUNTIF(A256:A1478,A256)</f>
        <v>1</v>
      </c>
      <c r="M256" s="99">
        <f t="shared" si="253"/>
        <v>1</v>
      </c>
    </row>
    <row r="257" ht="15.75" customHeight="1">
      <c r="A257" s="129">
        <v>1.0600229E7</v>
      </c>
      <c r="B257" s="153" t="s">
        <v>1402</v>
      </c>
      <c r="C257" s="59"/>
      <c r="D257" s="133"/>
      <c r="E257" s="162" t="s">
        <v>247</v>
      </c>
      <c r="F257" s="162" t="s">
        <v>247</v>
      </c>
      <c r="G257" s="133"/>
      <c r="H257" s="133"/>
      <c r="I257" s="90"/>
      <c r="K257" s="84"/>
      <c r="L257" s="99">
        <f t="shared" ref="L257:M257" si="254">COUNTIF(A257:A1479,A257)</f>
        <v>1</v>
      </c>
      <c r="M257" s="99">
        <f t="shared" si="254"/>
        <v>1</v>
      </c>
    </row>
    <row r="258" ht="15.75" customHeight="1">
      <c r="A258" s="129">
        <v>1.060023E7</v>
      </c>
      <c r="B258" s="153" t="s">
        <v>1403</v>
      </c>
      <c r="C258" s="59"/>
      <c r="D258" s="133"/>
      <c r="E258" s="162" t="s">
        <v>247</v>
      </c>
      <c r="F258" s="162" t="s">
        <v>247</v>
      </c>
      <c r="G258" s="133"/>
      <c r="H258" s="133"/>
      <c r="I258" s="90"/>
      <c r="K258" s="84"/>
      <c r="L258" s="99">
        <f t="shared" ref="L258:M258" si="255">COUNTIF(A258:A1480,A258)</f>
        <v>1</v>
      </c>
      <c r="M258" s="99">
        <f t="shared" si="255"/>
        <v>1</v>
      </c>
    </row>
    <row r="259" ht="15.75" customHeight="1">
      <c r="A259" s="129">
        <v>1.0600231E7</v>
      </c>
      <c r="B259" s="153" t="s">
        <v>1404</v>
      </c>
      <c r="C259" s="59"/>
      <c r="D259" s="133"/>
      <c r="E259" s="162" t="s">
        <v>247</v>
      </c>
      <c r="F259" s="162" t="s">
        <v>247</v>
      </c>
      <c r="G259" s="133"/>
      <c r="H259" s="150" t="s">
        <v>1334</v>
      </c>
      <c r="I259" s="90"/>
      <c r="K259" s="84"/>
      <c r="L259" s="99">
        <f t="shared" ref="L259:M259" si="256">COUNTIF(A259:A1481,A259)</f>
        <v>1</v>
      </c>
      <c r="M259" s="99">
        <f t="shared" si="256"/>
        <v>1</v>
      </c>
    </row>
    <row r="260" ht="15.75" customHeight="1">
      <c r="A260" s="129">
        <v>1.0600232E7</v>
      </c>
      <c r="B260" s="153" t="s">
        <v>1405</v>
      </c>
      <c r="C260" s="59"/>
      <c r="D260" s="133"/>
      <c r="E260" s="162"/>
      <c r="F260" s="162"/>
      <c r="G260" s="133"/>
      <c r="H260" s="150" t="s">
        <v>1334</v>
      </c>
      <c r="I260" s="90"/>
      <c r="K260" s="84"/>
      <c r="L260" s="99">
        <f t="shared" ref="L260:M260" si="257">COUNTIF(A260:A1482,A260)</f>
        <v>1</v>
      </c>
      <c r="M260" s="99">
        <f t="shared" si="257"/>
        <v>1</v>
      </c>
    </row>
    <row r="261" ht="15.75" customHeight="1">
      <c r="A261" s="129">
        <v>1.0600233E7</v>
      </c>
      <c r="B261" s="153" t="s">
        <v>1406</v>
      </c>
      <c r="C261" s="59"/>
      <c r="D261" s="133"/>
      <c r="E261" s="162"/>
      <c r="F261" s="162"/>
      <c r="G261" s="133"/>
      <c r="H261" s="150" t="s">
        <v>1334</v>
      </c>
      <c r="I261" s="90"/>
      <c r="K261" s="84"/>
      <c r="L261" s="99">
        <f t="shared" ref="L261:M261" si="258">COUNTIF(A261:A1483,A261)</f>
        <v>1</v>
      </c>
      <c r="M261" s="99">
        <f t="shared" si="258"/>
        <v>1</v>
      </c>
    </row>
    <row r="262" ht="15.75" customHeight="1">
      <c r="A262" s="129">
        <v>1.0600234E7</v>
      </c>
      <c r="B262" s="153" t="s">
        <v>1407</v>
      </c>
      <c r="C262" s="73"/>
      <c r="D262" s="133"/>
      <c r="E262" s="162" t="s">
        <v>235</v>
      </c>
      <c r="F262" s="162" t="s">
        <v>235</v>
      </c>
      <c r="G262" s="133"/>
      <c r="H262" s="150" t="s">
        <v>1334</v>
      </c>
      <c r="I262" s="90"/>
      <c r="K262" s="84"/>
      <c r="L262" s="99">
        <f t="shared" ref="L262:M262" si="259">COUNTIF(A262:A1484,A262)</f>
        <v>1</v>
      </c>
      <c r="M262" s="99">
        <f t="shared" si="259"/>
        <v>1</v>
      </c>
    </row>
    <row r="263" ht="15.75" customHeight="1">
      <c r="A263" s="129"/>
      <c r="B263" s="106"/>
      <c r="C263" s="165"/>
      <c r="D263" s="133"/>
      <c r="E263" s="162"/>
      <c r="F263" s="162"/>
      <c r="G263" s="133"/>
      <c r="H263" s="150"/>
      <c r="I263" s="90"/>
      <c r="K263" s="84"/>
      <c r="L263" s="99">
        <f t="shared" ref="L263:M263" si="260">COUNTIF(A263:A1490,A263)</f>
        <v>0</v>
      </c>
      <c r="M263" s="99">
        <f t="shared" si="260"/>
        <v>0</v>
      </c>
    </row>
    <row r="264" ht="15.75" customHeight="1">
      <c r="A264" s="129">
        <v>1.0602E7</v>
      </c>
      <c r="B264" s="166" t="s">
        <v>1408</v>
      </c>
      <c r="C264" s="165" t="s">
        <v>1409</v>
      </c>
      <c r="D264" s="133"/>
      <c r="E264" s="162" t="s">
        <v>1096</v>
      </c>
      <c r="F264" s="162" t="s">
        <v>1096</v>
      </c>
      <c r="G264" s="133"/>
      <c r="H264" s="150" t="s">
        <v>1410</v>
      </c>
      <c r="I264" s="90"/>
      <c r="K264" s="84"/>
      <c r="L264" s="99">
        <f t="shared" ref="L264:M264" si="261">COUNTIF(A264:A1491,A264)</f>
        <v>1</v>
      </c>
      <c r="M264" s="99">
        <f t="shared" si="261"/>
        <v>1</v>
      </c>
    </row>
    <row r="265" ht="15.75" customHeight="1">
      <c r="A265" s="129">
        <v>1.0602001E7</v>
      </c>
      <c r="B265" s="166" t="s">
        <v>1411</v>
      </c>
      <c r="C265" s="59"/>
      <c r="D265" s="133"/>
      <c r="E265" s="162"/>
      <c r="F265" s="162"/>
      <c r="G265" s="133"/>
      <c r="H265" s="150"/>
      <c r="I265" s="90"/>
      <c r="K265" s="84"/>
      <c r="L265" s="99">
        <f t="shared" ref="L265:M265" si="262">COUNTIF(A265:A1492,A265)</f>
        <v>1</v>
      </c>
      <c r="M265" s="99">
        <f t="shared" si="262"/>
        <v>1</v>
      </c>
    </row>
    <row r="266" ht="15.75" customHeight="1">
      <c r="A266" s="129">
        <v>1.0602002E7</v>
      </c>
      <c r="B266" s="166" t="s">
        <v>1412</v>
      </c>
      <c r="C266" s="59"/>
      <c r="D266" s="133"/>
      <c r="E266" s="162"/>
      <c r="F266" s="162"/>
      <c r="G266" s="133"/>
      <c r="H266" s="150"/>
      <c r="I266" s="90"/>
      <c r="K266" s="84"/>
      <c r="L266" s="99">
        <f t="shared" ref="L266:M266" si="263">COUNTIF(A266:A1493,A266)</f>
        <v>1</v>
      </c>
      <c r="M266" s="99">
        <f t="shared" si="263"/>
        <v>1</v>
      </c>
    </row>
    <row r="267" ht="15.75" customHeight="1">
      <c r="A267" s="129">
        <v>1.0602003E7</v>
      </c>
      <c r="B267" s="166" t="s">
        <v>1413</v>
      </c>
      <c r="C267" s="59"/>
      <c r="D267" s="133"/>
      <c r="E267" s="162"/>
      <c r="F267" s="162"/>
      <c r="G267" s="133"/>
      <c r="H267" s="150"/>
      <c r="I267" s="90"/>
      <c r="K267" s="84"/>
      <c r="L267" s="99">
        <f t="shared" ref="L267:M267" si="264">COUNTIF(A267:A1494,A267)</f>
        <v>1</v>
      </c>
      <c r="M267" s="99">
        <f t="shared" si="264"/>
        <v>1</v>
      </c>
    </row>
    <row r="268" ht="15.75" customHeight="1">
      <c r="A268" s="129">
        <v>1.0602004E7</v>
      </c>
      <c r="B268" s="166" t="s">
        <v>1414</v>
      </c>
      <c r="C268" s="59"/>
      <c r="D268" s="133"/>
      <c r="E268" s="162"/>
      <c r="F268" s="162"/>
      <c r="G268" s="133"/>
      <c r="H268" s="150"/>
      <c r="I268" s="90"/>
      <c r="K268" s="84"/>
      <c r="L268" s="99">
        <f t="shared" ref="L268:M268" si="265">COUNTIF(A268:A1495,A268)</f>
        <v>1</v>
      </c>
      <c r="M268" s="99">
        <f t="shared" si="265"/>
        <v>1</v>
      </c>
    </row>
    <row r="269" ht="15.75" customHeight="1">
      <c r="A269" s="129">
        <v>1.0602005E7</v>
      </c>
      <c r="B269" s="166" t="s">
        <v>1415</v>
      </c>
      <c r="C269" s="59"/>
      <c r="D269" s="133"/>
      <c r="E269" s="162"/>
      <c r="F269" s="162"/>
      <c r="G269" s="133"/>
      <c r="H269" s="150"/>
      <c r="I269" s="90"/>
      <c r="K269" s="84"/>
      <c r="L269" s="99">
        <f t="shared" ref="L269:M269" si="266">COUNTIF(A269:A1496,A269)</f>
        <v>1</v>
      </c>
      <c r="M269" s="99">
        <f t="shared" si="266"/>
        <v>1</v>
      </c>
    </row>
    <row r="270" ht="15.75" customHeight="1">
      <c r="A270" s="129">
        <v>1.0602006E7</v>
      </c>
      <c r="B270" s="166" t="s">
        <v>1416</v>
      </c>
      <c r="C270" s="59"/>
      <c r="D270" s="133"/>
      <c r="E270" s="162"/>
      <c r="F270" s="162"/>
      <c r="G270" s="133"/>
      <c r="H270" s="150"/>
      <c r="I270" s="90"/>
      <c r="K270" s="84"/>
      <c r="L270" s="99">
        <f t="shared" ref="L270:M270" si="267">COUNTIF(A270:A1497,A270)</f>
        <v>1</v>
      </c>
      <c r="M270" s="99">
        <f t="shared" si="267"/>
        <v>1</v>
      </c>
    </row>
    <row r="271" ht="15.75" customHeight="1">
      <c r="A271" s="129">
        <v>1.0602007E7</v>
      </c>
      <c r="B271" s="166" t="s">
        <v>1417</v>
      </c>
      <c r="C271" s="59"/>
      <c r="D271" s="133"/>
      <c r="E271" s="162"/>
      <c r="F271" s="162"/>
      <c r="G271" s="133"/>
      <c r="H271" s="150"/>
      <c r="I271" s="90"/>
      <c r="K271" s="84"/>
      <c r="L271" s="99">
        <f t="shared" ref="L271:M271" si="268">COUNTIF(A271:A1498,A271)</f>
        <v>1</v>
      </c>
      <c r="M271" s="99">
        <f t="shared" si="268"/>
        <v>1</v>
      </c>
    </row>
    <row r="272" ht="15.75" customHeight="1">
      <c r="A272" s="129">
        <v>1.0602008E7</v>
      </c>
      <c r="B272" s="166" t="s">
        <v>1418</v>
      </c>
      <c r="C272" s="59"/>
      <c r="D272" s="133"/>
      <c r="E272" s="162"/>
      <c r="F272" s="162"/>
      <c r="G272" s="133"/>
      <c r="H272" s="150"/>
      <c r="I272" s="90"/>
      <c r="K272" s="84"/>
      <c r="L272" s="99">
        <f t="shared" ref="L272:M272" si="269">COUNTIF(A272:A1499,A272)</f>
        <v>1</v>
      </c>
      <c r="M272" s="99">
        <f t="shared" si="269"/>
        <v>1</v>
      </c>
    </row>
    <row r="273" ht="15.75" customHeight="1">
      <c r="A273" s="129">
        <v>1.0602009E7</v>
      </c>
      <c r="B273" s="166" t="s">
        <v>1419</v>
      </c>
      <c r="C273" s="59"/>
      <c r="D273" s="133"/>
      <c r="E273" s="162"/>
      <c r="F273" s="162"/>
      <c r="G273" s="133"/>
      <c r="H273" s="150"/>
      <c r="I273" s="90"/>
      <c r="K273" s="84"/>
      <c r="L273" s="99">
        <f t="shared" ref="L273:M273" si="270">COUNTIF(A273:A1500,A273)</f>
        <v>1</v>
      </c>
      <c r="M273" s="99">
        <f t="shared" si="270"/>
        <v>1</v>
      </c>
    </row>
    <row r="274" ht="15.75" customHeight="1">
      <c r="A274" s="129">
        <v>1.060201E7</v>
      </c>
      <c r="B274" s="166" t="s">
        <v>1420</v>
      </c>
      <c r="C274" s="59"/>
      <c r="D274" s="133"/>
      <c r="E274" s="162"/>
      <c r="F274" s="162"/>
      <c r="G274" s="133"/>
      <c r="H274" s="150"/>
      <c r="I274" s="90"/>
      <c r="K274" s="84"/>
      <c r="L274" s="99">
        <f t="shared" ref="L274:M274" si="271">COUNTIF(A274:A1510,A274)</f>
        <v>1</v>
      </c>
      <c r="M274" s="99">
        <f t="shared" si="271"/>
        <v>1</v>
      </c>
    </row>
    <row r="275" ht="15.75" customHeight="1">
      <c r="A275" s="129">
        <v>1.0602011E7</v>
      </c>
      <c r="B275" s="166" t="s">
        <v>1421</v>
      </c>
      <c r="C275" s="59"/>
      <c r="D275" s="133"/>
      <c r="E275" s="162"/>
      <c r="F275" s="162"/>
      <c r="G275" s="133"/>
      <c r="H275" s="150"/>
      <c r="I275" s="90"/>
      <c r="K275" s="84"/>
      <c r="L275" s="99">
        <f t="shared" ref="L275:M275" si="272">COUNTIF(A275:A1511,A275)</f>
        <v>1</v>
      </c>
      <c r="M275" s="99">
        <f t="shared" si="272"/>
        <v>1</v>
      </c>
    </row>
    <row r="276" ht="15.75" customHeight="1">
      <c r="A276" s="129">
        <v>1.06021E7</v>
      </c>
      <c r="B276" s="167" t="s">
        <v>1422</v>
      </c>
      <c r="C276" s="59"/>
      <c r="D276" s="133"/>
      <c r="E276" s="162"/>
      <c r="F276" s="162"/>
      <c r="G276" s="133"/>
      <c r="H276" s="150"/>
      <c r="I276" s="90"/>
      <c r="K276" s="84"/>
      <c r="L276" s="99">
        <f t="shared" ref="L276:M276" si="273">COUNTIF(A276:A1512,A276)</f>
        <v>1</v>
      </c>
      <c r="M276" s="99">
        <f t="shared" si="273"/>
        <v>1</v>
      </c>
    </row>
    <row r="277" ht="15.75" customHeight="1">
      <c r="A277" s="129">
        <v>1.0602101E7</v>
      </c>
      <c r="B277" s="167" t="s">
        <v>1423</v>
      </c>
      <c r="C277" s="59"/>
      <c r="D277" s="133"/>
      <c r="E277" s="162"/>
      <c r="F277" s="162"/>
      <c r="G277" s="133"/>
      <c r="H277" s="150"/>
      <c r="I277" s="90"/>
      <c r="K277" s="84"/>
      <c r="L277" s="99">
        <f t="shared" ref="L277:M277" si="274">COUNTIF(A277:A1513,A277)</f>
        <v>1</v>
      </c>
      <c r="M277" s="99">
        <f t="shared" si="274"/>
        <v>1</v>
      </c>
    </row>
    <row r="278" ht="15.75" customHeight="1">
      <c r="A278" s="129">
        <v>1.0602102E7</v>
      </c>
      <c r="B278" s="167" t="s">
        <v>1424</v>
      </c>
      <c r="C278" s="59"/>
      <c r="D278" s="133"/>
      <c r="E278" s="162"/>
      <c r="F278" s="162"/>
      <c r="G278" s="133"/>
      <c r="H278" s="150"/>
      <c r="I278" s="90"/>
      <c r="K278" s="84"/>
      <c r="L278" s="99">
        <f t="shared" ref="L278:M278" si="275">COUNTIF(A278:A1514,A278)</f>
        <v>1</v>
      </c>
      <c r="M278" s="99">
        <f t="shared" si="275"/>
        <v>1</v>
      </c>
    </row>
    <row r="279" ht="15.75" customHeight="1">
      <c r="A279" s="129">
        <v>1.0602103E7</v>
      </c>
      <c r="B279" s="167" t="s">
        <v>1425</v>
      </c>
      <c r="C279" s="59"/>
      <c r="D279" s="133"/>
      <c r="E279" s="162"/>
      <c r="F279" s="162"/>
      <c r="G279" s="133"/>
      <c r="H279" s="150"/>
      <c r="I279" s="90"/>
      <c r="K279" s="84"/>
      <c r="L279" s="99">
        <f t="shared" ref="L279:M279" si="276">COUNTIF(A279:A1515,A279)</f>
        <v>1</v>
      </c>
      <c r="M279" s="99">
        <f t="shared" si="276"/>
        <v>1</v>
      </c>
    </row>
    <row r="280" ht="15.75" customHeight="1">
      <c r="A280" s="129">
        <v>1.0602104E7</v>
      </c>
      <c r="B280" s="167" t="s">
        <v>1426</v>
      </c>
      <c r="C280" s="59"/>
      <c r="D280" s="133"/>
      <c r="E280" s="162"/>
      <c r="F280" s="162"/>
      <c r="G280" s="133"/>
      <c r="H280" s="150"/>
      <c r="I280" s="90"/>
      <c r="K280" s="84"/>
      <c r="L280" s="99">
        <f t="shared" ref="L280:M280" si="277">COUNTIF(A280:A1516,A280)</f>
        <v>1</v>
      </c>
      <c r="M280" s="99">
        <f t="shared" si="277"/>
        <v>1</v>
      </c>
    </row>
    <row r="281" ht="15.75" customHeight="1">
      <c r="A281" s="129">
        <v>1.0602105E7</v>
      </c>
      <c r="B281" s="167" t="s">
        <v>1427</v>
      </c>
      <c r="C281" s="59"/>
      <c r="D281" s="133"/>
      <c r="E281" s="162"/>
      <c r="F281" s="162"/>
      <c r="G281" s="133"/>
      <c r="H281" s="150"/>
      <c r="I281" s="90"/>
      <c r="K281" s="84"/>
      <c r="L281" s="99">
        <f t="shared" ref="L281:M281" si="278">COUNTIF(A281:A1517,A281)</f>
        <v>1</v>
      </c>
      <c r="M281" s="99">
        <f t="shared" si="278"/>
        <v>1</v>
      </c>
    </row>
    <row r="282" ht="15.75" customHeight="1">
      <c r="A282" s="129">
        <v>1.0602106E7</v>
      </c>
      <c r="B282" s="167" t="s">
        <v>1428</v>
      </c>
      <c r="C282" s="59"/>
      <c r="D282" s="133"/>
      <c r="E282" s="162"/>
      <c r="F282" s="162"/>
      <c r="G282" s="133"/>
      <c r="H282" s="150"/>
      <c r="I282" s="90"/>
      <c r="K282" s="84"/>
      <c r="L282" s="99">
        <f t="shared" ref="L282:M282" si="279">COUNTIF(A282:A1518,A282)</f>
        <v>1</v>
      </c>
      <c r="M282" s="99">
        <f t="shared" si="279"/>
        <v>1</v>
      </c>
    </row>
    <row r="283" ht="15.75" customHeight="1">
      <c r="A283" s="129">
        <v>1.0602107E7</v>
      </c>
      <c r="B283" s="167" t="s">
        <v>1429</v>
      </c>
      <c r="C283" s="59"/>
      <c r="D283" s="133"/>
      <c r="E283" s="162"/>
      <c r="F283" s="162"/>
      <c r="G283" s="133"/>
      <c r="H283" s="150"/>
      <c r="I283" s="90"/>
      <c r="K283" s="84"/>
      <c r="L283" s="99">
        <f t="shared" ref="L283:M283" si="280">COUNTIF(A283:A1519,A283)</f>
        <v>1</v>
      </c>
      <c r="M283" s="99">
        <f t="shared" si="280"/>
        <v>1</v>
      </c>
    </row>
    <row r="284" ht="15.75" customHeight="1">
      <c r="A284" s="129">
        <v>1.0602108E7</v>
      </c>
      <c r="B284" s="167" t="s">
        <v>1430</v>
      </c>
      <c r="C284" s="59"/>
      <c r="D284" s="133"/>
      <c r="E284" s="162"/>
      <c r="F284" s="162"/>
      <c r="G284" s="133"/>
      <c r="H284" s="150"/>
      <c r="I284" s="90"/>
      <c r="K284" s="84"/>
      <c r="L284" s="99">
        <f t="shared" ref="L284:M284" si="281">COUNTIF(A284:A1520,A284)</f>
        <v>1</v>
      </c>
      <c r="M284" s="99">
        <f t="shared" si="281"/>
        <v>1</v>
      </c>
    </row>
    <row r="285" ht="15.75" customHeight="1">
      <c r="A285" s="129">
        <v>1.0602109E7</v>
      </c>
      <c r="B285" s="167" t="s">
        <v>1431</v>
      </c>
      <c r="C285" s="59"/>
      <c r="D285" s="133"/>
      <c r="E285" s="162"/>
      <c r="F285" s="162"/>
      <c r="G285" s="133"/>
      <c r="H285" s="150"/>
      <c r="I285" s="90"/>
      <c r="K285" s="84"/>
      <c r="L285" s="99">
        <f t="shared" ref="L285:M285" si="282">COUNTIF(A285:A1521,A285)</f>
        <v>1</v>
      </c>
      <c r="M285" s="99">
        <f t="shared" si="282"/>
        <v>1</v>
      </c>
    </row>
    <row r="286" ht="15.75" customHeight="1">
      <c r="A286" s="129">
        <v>1.060211E7</v>
      </c>
      <c r="B286" s="167" t="s">
        <v>1432</v>
      </c>
      <c r="C286" s="59"/>
      <c r="D286" s="133"/>
      <c r="E286" s="162"/>
      <c r="F286" s="162"/>
      <c r="G286" s="133"/>
      <c r="H286" s="150"/>
      <c r="I286" s="90"/>
      <c r="K286" s="84"/>
      <c r="L286" s="99">
        <f t="shared" ref="L286:M286" si="283">COUNTIF(A286:A1522,A286)</f>
        <v>1</v>
      </c>
      <c r="M286" s="99">
        <f t="shared" si="283"/>
        <v>1</v>
      </c>
    </row>
    <row r="287" ht="15.75" customHeight="1">
      <c r="A287" s="129">
        <v>1.0602111E7</v>
      </c>
      <c r="B287" s="167" t="s">
        <v>1433</v>
      </c>
      <c r="C287" s="59"/>
      <c r="D287" s="133"/>
      <c r="E287" s="162"/>
      <c r="F287" s="162"/>
      <c r="G287" s="133"/>
      <c r="H287" s="150"/>
      <c r="I287" s="90"/>
      <c r="K287" s="84"/>
      <c r="L287" s="99">
        <f t="shared" ref="L287:M287" si="284">COUNTIF(A287:A1523,A287)</f>
        <v>1</v>
      </c>
      <c r="M287" s="99">
        <f t="shared" si="284"/>
        <v>1</v>
      </c>
    </row>
    <row r="288" ht="15.75" customHeight="1">
      <c r="A288" s="129">
        <v>1.06022E7</v>
      </c>
      <c r="B288" s="168" t="s">
        <v>1434</v>
      </c>
      <c r="C288" s="59"/>
      <c r="D288" s="133"/>
      <c r="E288" s="162"/>
      <c r="F288" s="162"/>
      <c r="G288" s="133"/>
      <c r="H288" s="150"/>
      <c r="I288" s="90"/>
      <c r="K288" s="84"/>
      <c r="L288" s="99">
        <f t="shared" ref="L288:M288" si="285">COUNTIF(A288:A1524,A288)</f>
        <v>1</v>
      </c>
      <c r="M288" s="99">
        <f t="shared" si="285"/>
        <v>1</v>
      </c>
    </row>
    <row r="289" ht="15.75" customHeight="1">
      <c r="A289" s="129">
        <v>1.0602201E7</v>
      </c>
      <c r="B289" s="168" t="s">
        <v>1435</v>
      </c>
      <c r="C289" s="59"/>
      <c r="D289" s="133"/>
      <c r="E289" s="162"/>
      <c r="F289" s="162"/>
      <c r="G289" s="133"/>
      <c r="H289" s="150" t="s">
        <v>1410</v>
      </c>
      <c r="I289" s="90"/>
      <c r="K289" s="84"/>
      <c r="L289" s="99">
        <f t="shared" ref="L289:M289" si="286">COUNTIF(A289:A1525,A289)</f>
        <v>1</v>
      </c>
      <c r="M289" s="99">
        <f t="shared" si="286"/>
        <v>1</v>
      </c>
    </row>
    <row r="290" ht="15.75" customHeight="1">
      <c r="A290" s="129">
        <v>1.0602202E7</v>
      </c>
      <c r="B290" s="168" t="s">
        <v>1436</v>
      </c>
      <c r="C290" s="59"/>
      <c r="D290" s="133"/>
      <c r="E290" s="162" t="s">
        <v>247</v>
      </c>
      <c r="F290" s="162" t="s">
        <v>247</v>
      </c>
      <c r="G290" s="133"/>
      <c r="H290" s="150" t="s">
        <v>1410</v>
      </c>
      <c r="I290" s="90"/>
      <c r="K290" s="84"/>
      <c r="L290" s="99">
        <f t="shared" ref="L290:M290" si="287">COUNTIF(A290:A1526,A290)</f>
        <v>1</v>
      </c>
      <c r="M290" s="99">
        <f t="shared" si="287"/>
        <v>1</v>
      </c>
    </row>
    <row r="291" ht="15.75" customHeight="1">
      <c r="A291" s="129">
        <v>1.0602203E7</v>
      </c>
      <c r="B291" s="168" t="s">
        <v>1437</v>
      </c>
      <c r="C291" s="59"/>
      <c r="D291" s="133"/>
      <c r="E291" s="162"/>
      <c r="F291" s="162"/>
      <c r="G291" s="133"/>
      <c r="H291" s="150" t="s">
        <v>1410</v>
      </c>
      <c r="I291" s="90"/>
      <c r="K291" s="84"/>
      <c r="L291" s="99">
        <f t="shared" ref="L291:M291" si="288">COUNTIF(A291:A1527,A291)</f>
        <v>1</v>
      </c>
      <c r="M291" s="99">
        <f t="shared" si="288"/>
        <v>1</v>
      </c>
    </row>
    <row r="292" ht="15.75" customHeight="1">
      <c r="A292" s="129">
        <v>1.0602204E7</v>
      </c>
      <c r="B292" s="168" t="s">
        <v>1438</v>
      </c>
      <c r="C292" s="59"/>
      <c r="D292" s="133"/>
      <c r="E292" s="162"/>
      <c r="F292" s="162"/>
      <c r="G292" s="133"/>
      <c r="H292" s="150" t="s">
        <v>1410</v>
      </c>
      <c r="I292" s="90"/>
      <c r="K292" s="84"/>
      <c r="L292" s="99">
        <f t="shared" ref="L292:M292" si="289">COUNTIF(A292:A1528,A292)</f>
        <v>1</v>
      </c>
      <c r="M292" s="99">
        <f t="shared" si="289"/>
        <v>1</v>
      </c>
    </row>
    <row r="293" ht="15.75" customHeight="1">
      <c r="A293" s="129">
        <v>1.0602205E7</v>
      </c>
      <c r="B293" s="168" t="s">
        <v>1439</v>
      </c>
      <c r="C293" s="59"/>
      <c r="D293" s="133"/>
      <c r="E293" s="162"/>
      <c r="F293" s="162"/>
      <c r="G293" s="133"/>
      <c r="H293" s="150"/>
      <c r="I293" s="90"/>
      <c r="K293" s="84"/>
      <c r="L293" s="99">
        <f t="shared" ref="L293:M293" si="290">COUNTIF(A293:A1529,A293)</f>
        <v>1</v>
      </c>
      <c r="M293" s="99">
        <f t="shared" si="290"/>
        <v>1</v>
      </c>
    </row>
    <row r="294" ht="15.75" customHeight="1">
      <c r="A294" s="129">
        <v>1.0602206E7</v>
      </c>
      <c r="B294" s="168" t="s">
        <v>1440</v>
      </c>
      <c r="C294" s="59"/>
      <c r="D294" s="133"/>
      <c r="E294" s="162"/>
      <c r="F294" s="162"/>
      <c r="G294" s="133"/>
      <c r="H294" s="150"/>
      <c r="I294" s="90"/>
      <c r="K294" s="84"/>
      <c r="L294" s="99">
        <f t="shared" ref="L294:M294" si="291">COUNTIF(A294:A1530,A294)</f>
        <v>1</v>
      </c>
      <c r="M294" s="99">
        <f t="shared" si="291"/>
        <v>1</v>
      </c>
    </row>
    <row r="295" ht="15.75" customHeight="1">
      <c r="A295" s="129">
        <v>1.0602207E7</v>
      </c>
      <c r="B295" s="168" t="s">
        <v>1441</v>
      </c>
      <c r="C295" s="59"/>
      <c r="D295" s="133"/>
      <c r="E295" s="162"/>
      <c r="F295" s="162"/>
      <c r="G295" s="133"/>
      <c r="H295" s="150"/>
      <c r="I295" s="90"/>
      <c r="K295" s="84"/>
      <c r="L295" s="99">
        <f t="shared" ref="L295:M295" si="292">COUNTIF(A295:A1531,A295)</f>
        <v>1</v>
      </c>
      <c r="M295" s="99">
        <f t="shared" si="292"/>
        <v>1</v>
      </c>
    </row>
    <row r="296" ht="15.75" customHeight="1">
      <c r="A296" s="129">
        <v>1.0602208E7</v>
      </c>
      <c r="B296" s="168" t="s">
        <v>1442</v>
      </c>
      <c r="C296" s="59"/>
      <c r="D296" s="133"/>
      <c r="E296" s="162"/>
      <c r="F296" s="162"/>
      <c r="G296" s="133"/>
      <c r="H296" s="150" t="s">
        <v>1410</v>
      </c>
      <c r="I296" s="90"/>
      <c r="K296" s="84"/>
      <c r="L296" s="99">
        <f t="shared" ref="L296:M296" si="293">COUNTIF(A296:A1532,A296)</f>
        <v>1</v>
      </c>
      <c r="M296" s="99">
        <f t="shared" si="293"/>
        <v>1</v>
      </c>
    </row>
    <row r="297" ht="15.75" customHeight="1">
      <c r="A297" s="129">
        <v>1.0602209E7</v>
      </c>
      <c r="B297" s="168" t="s">
        <v>1443</v>
      </c>
      <c r="C297" s="59"/>
      <c r="D297" s="133"/>
      <c r="E297" s="162" t="s">
        <v>235</v>
      </c>
      <c r="F297" s="162" t="s">
        <v>235</v>
      </c>
      <c r="G297" s="133"/>
      <c r="H297" s="150" t="s">
        <v>1410</v>
      </c>
      <c r="I297" s="90"/>
      <c r="K297" s="84"/>
      <c r="L297" s="99">
        <f t="shared" ref="L297:M297" si="294">COUNTIF(A297:A1533,A297)</f>
        <v>1</v>
      </c>
      <c r="M297" s="99">
        <f t="shared" si="294"/>
        <v>1</v>
      </c>
    </row>
    <row r="298" ht="15.75" customHeight="1">
      <c r="A298" s="129">
        <v>1.060221E7</v>
      </c>
      <c r="B298" s="168" t="s">
        <v>1444</v>
      </c>
      <c r="C298" s="59"/>
      <c r="D298" s="133"/>
      <c r="E298" s="162" t="s">
        <v>235</v>
      </c>
      <c r="F298" s="162" t="s">
        <v>235</v>
      </c>
      <c r="G298" s="133"/>
      <c r="H298" s="150" t="s">
        <v>1410</v>
      </c>
      <c r="I298" s="90"/>
      <c r="K298" s="84"/>
      <c r="L298" s="99">
        <f t="shared" ref="L298:M298" si="295">COUNTIF(A298:A1534,A298)</f>
        <v>1</v>
      </c>
      <c r="M298" s="99">
        <f t="shared" si="295"/>
        <v>1</v>
      </c>
    </row>
    <row r="299" ht="15.75" customHeight="1">
      <c r="A299" s="129">
        <v>1.0602211E7</v>
      </c>
      <c r="B299" s="168" t="s">
        <v>1445</v>
      </c>
      <c r="C299" s="59"/>
      <c r="D299" s="133"/>
      <c r="E299" s="162"/>
      <c r="F299" s="162"/>
      <c r="G299" s="133"/>
      <c r="H299" s="150" t="s">
        <v>1410</v>
      </c>
      <c r="I299" s="90"/>
      <c r="K299" s="84"/>
      <c r="L299" s="99">
        <f t="shared" ref="L299:M299" si="296">COUNTIF(A299:A1535,A299)</f>
        <v>1</v>
      </c>
      <c r="M299" s="99">
        <f t="shared" si="296"/>
        <v>1</v>
      </c>
    </row>
    <row r="300" ht="15.75" customHeight="1">
      <c r="A300" s="129"/>
      <c r="B300" s="106"/>
      <c r="C300" s="165"/>
      <c r="D300" s="133"/>
      <c r="E300" s="162"/>
      <c r="F300" s="162"/>
      <c r="G300" s="133"/>
      <c r="H300" s="150"/>
      <c r="I300" s="90"/>
      <c r="K300" s="84"/>
      <c r="L300" s="99">
        <f t="shared" ref="L300:M300" si="297">COUNTIF(A300:A1536,A300)</f>
        <v>0</v>
      </c>
      <c r="M300" s="99">
        <f t="shared" si="297"/>
        <v>0</v>
      </c>
    </row>
    <row r="301" ht="15.75" customHeight="1">
      <c r="A301" s="129">
        <v>1.0602301E7</v>
      </c>
      <c r="B301" s="153" t="s">
        <v>1446</v>
      </c>
      <c r="C301" s="130" t="s">
        <v>1447</v>
      </c>
      <c r="D301" s="133"/>
      <c r="E301" s="162" t="s">
        <v>247</v>
      </c>
      <c r="F301" s="162" t="s">
        <v>1448</v>
      </c>
      <c r="G301" s="133"/>
      <c r="H301" s="161"/>
      <c r="I301" s="90"/>
      <c r="K301" s="84"/>
      <c r="L301" s="99">
        <f t="shared" ref="L301:M301" si="298">COUNTIF(A301:A1537,A301)</f>
        <v>1</v>
      </c>
      <c r="M301" s="99">
        <f t="shared" si="298"/>
        <v>1</v>
      </c>
    </row>
    <row r="302" ht="15.75" customHeight="1">
      <c r="A302" s="129">
        <v>1.0602302E7</v>
      </c>
      <c r="B302" s="153" t="s">
        <v>1449</v>
      </c>
      <c r="C302" s="59"/>
      <c r="D302" s="133"/>
      <c r="E302" s="162" t="s">
        <v>247</v>
      </c>
      <c r="F302" s="162" t="s">
        <v>1448</v>
      </c>
      <c r="G302" s="133"/>
      <c r="H302" s="161"/>
      <c r="I302" s="90"/>
      <c r="K302" s="84"/>
      <c r="L302" s="99">
        <f t="shared" ref="L302:M302" si="299">COUNTIF(A302:A1538,A302)</f>
        <v>1</v>
      </c>
      <c r="M302" s="99">
        <f t="shared" si="299"/>
        <v>1</v>
      </c>
    </row>
    <row r="303" ht="15.75" customHeight="1">
      <c r="A303" s="129">
        <v>1.0602303E7</v>
      </c>
      <c r="B303" s="153" t="s">
        <v>1450</v>
      </c>
      <c r="C303" s="59"/>
      <c r="D303" s="133"/>
      <c r="E303" s="162" t="s">
        <v>247</v>
      </c>
      <c r="F303" s="162" t="s">
        <v>1448</v>
      </c>
      <c r="G303" s="133"/>
      <c r="H303" s="161"/>
      <c r="I303" s="99"/>
      <c r="K303" s="84"/>
      <c r="L303" s="99">
        <f t="shared" ref="L303:M303" si="300">COUNTIF(A303:A1539,A303)</f>
        <v>1</v>
      </c>
      <c r="M303" s="99">
        <f t="shared" si="300"/>
        <v>1</v>
      </c>
    </row>
    <row r="304" ht="15.75" customHeight="1">
      <c r="A304" s="129">
        <v>1.0602304E7</v>
      </c>
      <c r="B304" s="153" t="s">
        <v>1451</v>
      </c>
      <c r="C304" s="59"/>
      <c r="D304" s="133"/>
      <c r="E304" s="162" t="s">
        <v>247</v>
      </c>
      <c r="F304" s="162" t="s">
        <v>1448</v>
      </c>
      <c r="G304" s="133"/>
      <c r="H304" s="161"/>
      <c r="I304" s="99"/>
      <c r="K304" s="84"/>
      <c r="L304" s="99">
        <f t="shared" ref="L304:M304" si="301">COUNTIF(A304:A1540,A304)</f>
        <v>1</v>
      </c>
      <c r="M304" s="99">
        <f t="shared" si="301"/>
        <v>1</v>
      </c>
    </row>
    <row r="305" ht="15.75" customHeight="1">
      <c r="A305" s="129">
        <v>1.0602305E7</v>
      </c>
      <c r="B305" s="106" t="s">
        <v>1452</v>
      </c>
      <c r="C305" s="59"/>
      <c r="D305" s="133"/>
      <c r="E305" s="169"/>
      <c r="F305" s="169"/>
      <c r="G305" s="134"/>
      <c r="H305" s="133"/>
      <c r="I305" s="99"/>
      <c r="K305" s="84"/>
      <c r="L305" s="99">
        <f t="shared" ref="L305:M305" si="302">COUNTIF(A305:A1541,A305)</f>
        <v>1</v>
      </c>
      <c r="M305" s="99">
        <f t="shared" si="302"/>
        <v>1</v>
      </c>
    </row>
    <row r="306" ht="15.75" customHeight="1">
      <c r="A306" s="129">
        <v>1.0602306E7</v>
      </c>
      <c r="B306" s="106" t="s">
        <v>1453</v>
      </c>
      <c r="C306" s="59"/>
      <c r="D306" s="133"/>
      <c r="E306" s="169"/>
      <c r="F306" s="169"/>
      <c r="G306" s="134"/>
      <c r="H306" s="133"/>
      <c r="I306" s="99"/>
      <c r="K306" s="84"/>
      <c r="L306" s="99">
        <f t="shared" ref="L306:M306" si="303">COUNTIF(A306:A1542,A306)</f>
        <v>1</v>
      </c>
      <c r="M306" s="99">
        <f t="shared" si="303"/>
        <v>1</v>
      </c>
    </row>
    <row r="307" ht="15.75" customHeight="1">
      <c r="A307" s="129">
        <v>1.0602307E7</v>
      </c>
      <c r="B307" s="106" t="s">
        <v>1454</v>
      </c>
      <c r="C307" s="59"/>
      <c r="D307" s="133"/>
      <c r="E307" s="169"/>
      <c r="F307" s="169"/>
      <c r="G307" s="134"/>
      <c r="H307" s="106"/>
      <c r="I307" s="99"/>
      <c r="K307" s="84"/>
      <c r="L307" s="99">
        <f t="shared" ref="L307:M307" si="304">COUNTIF(A307:A1543,A307)</f>
        <v>1</v>
      </c>
      <c r="M307" s="99">
        <f t="shared" si="304"/>
        <v>1</v>
      </c>
    </row>
    <row r="308" ht="15.75" customHeight="1">
      <c r="A308" s="129">
        <v>1.0602308E7</v>
      </c>
      <c r="B308" s="106" t="s">
        <v>1455</v>
      </c>
      <c r="C308" s="59"/>
      <c r="D308" s="133"/>
      <c r="E308" s="169"/>
      <c r="F308" s="169"/>
      <c r="G308" s="134"/>
      <c r="I308" s="99"/>
      <c r="K308" s="84"/>
      <c r="L308" s="99">
        <f t="shared" ref="L308:M308" si="305">COUNTIF(A308:A1544,A308)</f>
        <v>1</v>
      </c>
      <c r="M308" s="99">
        <f t="shared" si="305"/>
        <v>1</v>
      </c>
    </row>
    <row r="309" ht="15.75" customHeight="1">
      <c r="A309" s="129">
        <v>1.0602309E7</v>
      </c>
      <c r="B309" s="106" t="s">
        <v>1456</v>
      </c>
      <c r="C309" s="59"/>
      <c r="D309" s="133"/>
      <c r="E309" s="169"/>
      <c r="F309" s="169"/>
      <c r="G309" s="134"/>
      <c r="H309" s="133"/>
      <c r="I309" s="99"/>
      <c r="K309" s="84"/>
      <c r="L309" s="99">
        <f t="shared" ref="L309:M309" si="306">COUNTIF(A309:A1545,A309)</f>
        <v>1</v>
      </c>
      <c r="M309" s="99">
        <f t="shared" si="306"/>
        <v>1</v>
      </c>
    </row>
    <row r="310" ht="15.75" customHeight="1">
      <c r="A310" s="129">
        <v>1.060231E7</v>
      </c>
      <c r="B310" s="106" t="s">
        <v>1457</v>
      </c>
      <c r="C310" s="59"/>
      <c r="D310" s="133"/>
      <c r="E310" s="169"/>
      <c r="F310" s="169"/>
      <c r="G310" s="134"/>
      <c r="H310" s="133"/>
      <c r="I310" s="99"/>
      <c r="K310" s="84"/>
      <c r="L310" s="99">
        <f t="shared" ref="L310:M310" si="307">COUNTIF(A310:A1546,A310)</f>
        <v>1</v>
      </c>
      <c r="M310" s="99">
        <f t="shared" si="307"/>
        <v>1</v>
      </c>
      <c r="N310" s="84"/>
      <c r="O310" s="84"/>
      <c r="P310" s="84"/>
      <c r="Q310" s="84"/>
      <c r="R310" s="84"/>
    </row>
    <row r="311" ht="15.75" customHeight="1">
      <c r="A311" s="129">
        <v>1.0602311E7</v>
      </c>
      <c r="B311" s="106" t="s">
        <v>1458</v>
      </c>
      <c r="C311" s="59"/>
      <c r="D311" s="133"/>
      <c r="E311" s="169"/>
      <c r="F311" s="169"/>
      <c r="G311" s="134"/>
      <c r="I311" s="99"/>
      <c r="K311" s="84"/>
      <c r="L311" s="99">
        <f t="shared" ref="L311:M311" si="308">COUNTIF(A311:A1547,A311)</f>
        <v>1</v>
      </c>
      <c r="M311" s="99">
        <f t="shared" si="308"/>
        <v>1</v>
      </c>
      <c r="N311" s="84"/>
      <c r="O311" s="84"/>
      <c r="P311" s="84"/>
      <c r="Q311" s="84"/>
      <c r="R311" s="84"/>
    </row>
    <row r="312" ht="15.75" customHeight="1">
      <c r="A312" s="129">
        <v>1.0602312E7</v>
      </c>
      <c r="B312" s="106" t="s">
        <v>1459</v>
      </c>
      <c r="C312" s="59"/>
      <c r="D312" s="147"/>
      <c r="E312" s="169"/>
      <c r="F312" s="169"/>
      <c r="G312" s="134"/>
      <c r="I312" s="99"/>
      <c r="K312" s="84"/>
      <c r="L312" s="99">
        <f t="shared" ref="L312:M312" si="309">COUNTIF(A312:A1548,A312)</f>
        <v>1</v>
      </c>
      <c r="M312" s="99">
        <f t="shared" si="309"/>
        <v>1</v>
      </c>
      <c r="N312" s="84"/>
      <c r="O312" s="84"/>
      <c r="P312" s="84"/>
      <c r="Q312" s="84"/>
      <c r="R312" s="84"/>
    </row>
    <row r="313" ht="15.75" customHeight="1">
      <c r="A313" s="129">
        <v>1.0602313E7</v>
      </c>
      <c r="B313" s="106" t="s">
        <v>1460</v>
      </c>
      <c r="C313" s="59"/>
      <c r="D313" s="133"/>
      <c r="E313" s="170" t="s">
        <v>235</v>
      </c>
      <c r="F313" s="170" t="s">
        <v>235</v>
      </c>
      <c r="G313" s="134"/>
      <c r="H313" s="133"/>
      <c r="I313" s="99"/>
      <c r="K313" s="84"/>
      <c r="L313" s="99">
        <f t="shared" ref="L313:M313" si="310">COUNTIF(A313:A1549,A313)</f>
        <v>1</v>
      </c>
      <c r="M313" s="99">
        <f t="shared" si="310"/>
        <v>1</v>
      </c>
      <c r="N313" s="84"/>
      <c r="O313" s="84"/>
      <c r="P313" s="84"/>
      <c r="Q313" s="84"/>
      <c r="R313" s="84"/>
    </row>
    <row r="314" ht="15.75" customHeight="1">
      <c r="A314" s="129">
        <v>1.0602314E7</v>
      </c>
      <c r="B314" s="106" t="s">
        <v>1461</v>
      </c>
      <c r="C314" s="59"/>
      <c r="D314" s="133"/>
      <c r="E314" s="170" t="s">
        <v>235</v>
      </c>
      <c r="F314" s="170" t="s">
        <v>235</v>
      </c>
      <c r="G314" s="134"/>
      <c r="H314" s="133"/>
      <c r="I314" s="99"/>
      <c r="K314" s="84"/>
      <c r="L314" s="99">
        <f t="shared" ref="L314:M314" si="311">COUNTIF(A314:A1550,A314)</f>
        <v>1</v>
      </c>
      <c r="M314" s="99">
        <f t="shared" si="311"/>
        <v>1</v>
      </c>
      <c r="N314" s="84"/>
      <c r="O314" s="84"/>
      <c r="P314" s="84"/>
      <c r="Q314" s="84"/>
      <c r="R314" s="84"/>
    </row>
    <row r="315" ht="15.75" customHeight="1">
      <c r="A315" s="129">
        <v>1.0602315E7</v>
      </c>
      <c r="B315" s="106" t="s">
        <v>1462</v>
      </c>
      <c r="C315" s="59"/>
      <c r="D315" s="133"/>
      <c r="E315" s="170" t="s">
        <v>235</v>
      </c>
      <c r="F315" s="170" t="s">
        <v>235</v>
      </c>
      <c r="G315" s="134"/>
      <c r="H315" s="133"/>
      <c r="I315" s="99"/>
      <c r="K315" s="84"/>
      <c r="L315" s="99">
        <f t="shared" ref="L315:M315" si="312">COUNTIF(A315:A1551,A315)</f>
        <v>1</v>
      </c>
      <c r="M315" s="99">
        <f t="shared" si="312"/>
        <v>1</v>
      </c>
      <c r="N315" s="84"/>
      <c r="O315" s="84"/>
      <c r="P315" s="84"/>
      <c r="Q315" s="84"/>
      <c r="R315" s="84"/>
    </row>
    <row r="316" ht="15.75" customHeight="1">
      <c r="A316" s="129">
        <v>1.0602316E7</v>
      </c>
      <c r="B316" s="106" t="s">
        <v>1463</v>
      </c>
      <c r="C316" s="59"/>
      <c r="D316" s="133"/>
      <c r="G316" s="134"/>
      <c r="H316" s="133"/>
      <c r="I316" s="99"/>
      <c r="K316" s="84"/>
      <c r="L316" s="99">
        <f t="shared" ref="L316:M316" si="313">COUNTIF(A316:A1552,A316)</f>
        <v>1</v>
      </c>
      <c r="M316" s="99">
        <f t="shared" si="313"/>
        <v>1</v>
      </c>
      <c r="N316" s="84"/>
      <c r="O316" s="84"/>
      <c r="P316" s="84"/>
      <c r="Q316" s="84"/>
      <c r="R316" s="84"/>
    </row>
    <row r="317" ht="15.75" customHeight="1">
      <c r="A317" s="129">
        <v>1.0602317E7</v>
      </c>
      <c r="B317" s="106" t="s">
        <v>1464</v>
      </c>
      <c r="C317" s="59"/>
      <c r="D317" s="133"/>
      <c r="E317" s="169"/>
      <c r="F317" s="169"/>
      <c r="G317" s="134"/>
      <c r="H317" s="133"/>
      <c r="I317" s="99"/>
      <c r="K317" s="84"/>
      <c r="L317" s="99">
        <f t="shared" ref="L317:M317" si="314">COUNTIF(A317:A1553,A317)</f>
        <v>1</v>
      </c>
      <c r="M317" s="99">
        <f t="shared" si="314"/>
        <v>1</v>
      </c>
      <c r="N317" s="84"/>
      <c r="O317" s="84"/>
      <c r="P317" s="84"/>
      <c r="Q317" s="84"/>
      <c r="R317" s="84"/>
    </row>
    <row r="318" ht="15.75" customHeight="1">
      <c r="A318" s="129">
        <v>1.0602318E7</v>
      </c>
      <c r="B318" s="106" t="s">
        <v>1465</v>
      </c>
      <c r="C318" s="59"/>
      <c r="D318" s="133"/>
      <c r="E318" s="169"/>
      <c r="F318" s="169"/>
      <c r="G318" s="134"/>
      <c r="H318" s="133"/>
      <c r="I318" s="99"/>
      <c r="K318" s="84"/>
      <c r="L318" s="99">
        <f t="shared" ref="L318:M318" si="315">COUNTIF(A318:A1554,A318)</f>
        <v>1</v>
      </c>
      <c r="M318" s="99">
        <f t="shared" si="315"/>
        <v>1</v>
      </c>
      <c r="N318" s="84"/>
      <c r="O318" s="84"/>
      <c r="P318" s="84"/>
      <c r="Q318" s="84"/>
      <c r="R318" s="84"/>
    </row>
    <row r="319" ht="15.75" customHeight="1">
      <c r="A319" s="129">
        <v>1.0602319E7</v>
      </c>
      <c r="B319" s="106" t="s">
        <v>1466</v>
      </c>
      <c r="C319" s="59"/>
      <c r="D319" s="133"/>
      <c r="E319" s="169"/>
      <c r="F319" s="169"/>
      <c r="G319" s="134"/>
      <c r="H319" s="133"/>
      <c r="I319" s="99"/>
      <c r="K319" s="84"/>
      <c r="L319" s="99">
        <f t="shared" ref="L319:M319" si="316">COUNTIF(A319:A1555,A319)</f>
        <v>1</v>
      </c>
      <c r="M319" s="99">
        <f t="shared" si="316"/>
        <v>1</v>
      </c>
      <c r="N319" s="84"/>
      <c r="O319" s="84"/>
      <c r="P319" s="84"/>
      <c r="Q319" s="84"/>
      <c r="R319" s="84"/>
    </row>
    <row r="320" ht="15.75" customHeight="1">
      <c r="A320" s="129">
        <v>1.060232E7</v>
      </c>
      <c r="B320" s="106" t="s">
        <v>1467</v>
      </c>
      <c r="C320" s="59"/>
      <c r="D320" s="133"/>
      <c r="E320" s="170" t="s">
        <v>235</v>
      </c>
      <c r="F320" s="170" t="s">
        <v>235</v>
      </c>
      <c r="G320" s="134"/>
      <c r="H320" s="133"/>
      <c r="I320" s="99"/>
      <c r="K320" s="84"/>
      <c r="L320" s="99">
        <f t="shared" ref="L320:M320" si="317">COUNTIF(A320:A1556,A320)</f>
        <v>1</v>
      </c>
      <c r="M320" s="99">
        <f t="shared" si="317"/>
        <v>1</v>
      </c>
      <c r="N320" s="84"/>
      <c r="O320" s="84"/>
      <c r="P320" s="84"/>
      <c r="Q320" s="84"/>
      <c r="R320" s="84"/>
    </row>
    <row r="321" ht="15.75" customHeight="1">
      <c r="A321" s="129">
        <v>1.0602321E7</v>
      </c>
      <c r="B321" s="153" t="s">
        <v>1468</v>
      </c>
      <c r="C321" s="59"/>
      <c r="D321" s="133"/>
      <c r="E321" s="169"/>
      <c r="F321" s="169"/>
      <c r="G321" s="134"/>
      <c r="H321" s="133"/>
      <c r="I321" s="99"/>
      <c r="K321" s="84"/>
      <c r="L321" s="99">
        <f t="shared" ref="L321:M321" si="318">COUNTIF(A321:A1557,A321)</f>
        <v>1</v>
      </c>
      <c r="M321" s="99">
        <f t="shared" si="318"/>
        <v>1</v>
      </c>
      <c r="N321" s="84"/>
      <c r="O321" s="84"/>
      <c r="P321" s="84"/>
      <c r="Q321" s="84"/>
      <c r="R321" s="84"/>
    </row>
    <row r="322" ht="15.75" customHeight="1">
      <c r="A322" s="129">
        <v>1.0602322E7</v>
      </c>
      <c r="B322" s="106" t="s">
        <v>1469</v>
      </c>
      <c r="C322" s="59"/>
      <c r="D322" s="133"/>
      <c r="E322" s="169"/>
      <c r="F322" s="169"/>
      <c r="G322" s="134"/>
      <c r="H322" s="133"/>
      <c r="I322" s="99"/>
      <c r="K322" s="84"/>
      <c r="L322" s="99">
        <f t="shared" ref="L322:M322" si="319">COUNTIF(A322:A1558,A322)</f>
        <v>1</v>
      </c>
      <c r="M322" s="99">
        <f t="shared" si="319"/>
        <v>1</v>
      </c>
      <c r="N322" s="84"/>
      <c r="O322" s="84"/>
      <c r="P322" s="84"/>
      <c r="Q322" s="84"/>
      <c r="R322" s="84"/>
    </row>
    <row r="323" ht="15.75" customHeight="1">
      <c r="A323" s="129">
        <v>1.0602323E7</v>
      </c>
      <c r="B323" s="153" t="s">
        <v>1470</v>
      </c>
      <c r="C323" s="59"/>
      <c r="D323" s="133"/>
      <c r="E323" s="169"/>
      <c r="F323" s="169"/>
      <c r="G323" s="153" t="s">
        <v>1471</v>
      </c>
      <c r="H323" s="133"/>
      <c r="I323" s="99"/>
      <c r="K323" s="84"/>
      <c r="L323" s="99">
        <f t="shared" ref="L323:M323" si="320">COUNTIF(A323:A1559,A323)</f>
        <v>1</v>
      </c>
      <c r="M323" s="99">
        <f t="shared" si="320"/>
        <v>1</v>
      </c>
      <c r="N323" s="84"/>
      <c r="O323" s="84"/>
      <c r="P323" s="84"/>
      <c r="Q323" s="84"/>
      <c r="R323" s="84"/>
    </row>
    <row r="324" ht="15.75" customHeight="1">
      <c r="A324" s="129">
        <v>1.0602324E7</v>
      </c>
      <c r="B324" s="153" t="s">
        <v>1472</v>
      </c>
      <c r="C324" s="59"/>
      <c r="D324" s="133"/>
      <c r="E324" s="169"/>
      <c r="F324" s="169"/>
      <c r="G324" s="153" t="s">
        <v>1471</v>
      </c>
      <c r="H324" s="133"/>
      <c r="I324" s="99"/>
      <c r="K324" s="84"/>
      <c r="L324" s="99">
        <f t="shared" ref="L324:M324" si="321">COUNTIF(A324:A1560,A324)</f>
        <v>1</v>
      </c>
      <c r="M324" s="99">
        <f t="shared" si="321"/>
        <v>1</v>
      </c>
      <c r="N324" s="84"/>
      <c r="O324" s="84"/>
      <c r="P324" s="84"/>
      <c r="Q324" s="84"/>
      <c r="R324" s="84"/>
    </row>
    <row r="325" ht="15.75" customHeight="1">
      <c r="A325" s="129">
        <v>1.0602325E7</v>
      </c>
      <c r="B325" s="153" t="s">
        <v>1473</v>
      </c>
      <c r="C325" s="59"/>
      <c r="D325" s="133"/>
      <c r="E325" s="169"/>
      <c r="F325" s="169"/>
      <c r="G325" s="153" t="s">
        <v>1471</v>
      </c>
      <c r="H325" s="133"/>
      <c r="I325" s="99"/>
      <c r="K325" s="84"/>
      <c r="L325" s="99">
        <f t="shared" ref="L325:M325" si="322">COUNTIF(A325:A1561,A325)</f>
        <v>1</v>
      </c>
      <c r="M325" s="99">
        <f t="shared" si="322"/>
        <v>1</v>
      </c>
      <c r="N325" s="84"/>
      <c r="O325" s="84"/>
      <c r="P325" s="84"/>
      <c r="Q325" s="84"/>
      <c r="R325" s="84"/>
    </row>
    <row r="326" ht="15.75" customHeight="1">
      <c r="A326" s="129">
        <v>1.0602326E7</v>
      </c>
      <c r="B326" s="153" t="s">
        <v>1474</v>
      </c>
      <c r="C326" s="59"/>
      <c r="D326" s="133"/>
      <c r="E326" s="169"/>
      <c r="F326" s="169"/>
      <c r="G326" s="153" t="s">
        <v>1471</v>
      </c>
      <c r="H326" s="133"/>
      <c r="I326" s="99"/>
      <c r="K326" s="84"/>
      <c r="L326" s="99">
        <f t="shared" ref="L326:M326" si="323">COUNTIF(A326:A1562,A326)</f>
        <v>1</v>
      </c>
      <c r="M326" s="99">
        <f t="shared" si="323"/>
        <v>1</v>
      </c>
      <c r="N326" s="84"/>
      <c r="O326" s="84"/>
      <c r="P326" s="84"/>
      <c r="Q326" s="84"/>
      <c r="R326" s="84"/>
    </row>
    <row r="327" ht="15.75" customHeight="1">
      <c r="A327" s="129">
        <v>1.0602327E7</v>
      </c>
      <c r="B327" s="106" t="s">
        <v>1475</v>
      </c>
      <c r="C327" s="59"/>
      <c r="D327" s="133"/>
      <c r="E327" s="169"/>
      <c r="F327" s="169"/>
      <c r="G327" s="134"/>
      <c r="H327" s="133"/>
      <c r="I327" s="99"/>
      <c r="K327" s="84"/>
      <c r="L327" s="99">
        <f t="shared" ref="L327:M327" si="324">COUNTIF(A327:A1563,A327)</f>
        <v>1</v>
      </c>
      <c r="M327" s="99">
        <f t="shared" si="324"/>
        <v>1</v>
      </c>
      <c r="N327" s="84"/>
      <c r="O327" s="84"/>
      <c r="P327" s="84"/>
      <c r="Q327" s="84"/>
      <c r="R327" s="84"/>
    </row>
    <row r="328" ht="15.75" customHeight="1">
      <c r="A328" s="129">
        <v>1.0602328E7</v>
      </c>
      <c r="B328" s="106" t="s">
        <v>1476</v>
      </c>
      <c r="C328" s="59"/>
      <c r="D328" s="133"/>
      <c r="E328" s="169"/>
      <c r="F328" s="169"/>
      <c r="G328" s="134"/>
      <c r="H328" s="133"/>
      <c r="I328" s="99"/>
      <c r="K328" s="84"/>
      <c r="L328" s="99">
        <f t="shared" ref="L328:M328" si="325">COUNTIF(A328:A1564,A328)</f>
        <v>1</v>
      </c>
      <c r="M328" s="99">
        <f t="shared" si="325"/>
        <v>1</v>
      </c>
      <c r="N328" s="84"/>
      <c r="O328" s="84"/>
      <c r="P328" s="84"/>
      <c r="Q328" s="84"/>
      <c r="R328" s="84"/>
    </row>
    <row r="329" ht="15.75" customHeight="1">
      <c r="A329" s="129">
        <v>1.0602329E7</v>
      </c>
      <c r="B329" s="106" t="s">
        <v>1477</v>
      </c>
      <c r="C329" s="73"/>
      <c r="D329" s="133"/>
      <c r="E329" s="171" t="s">
        <v>235</v>
      </c>
      <c r="F329" s="171" t="s">
        <v>235</v>
      </c>
      <c r="G329" s="134"/>
      <c r="H329" s="133"/>
      <c r="I329" s="99"/>
      <c r="K329" s="84"/>
      <c r="L329" s="99">
        <f t="shared" ref="L329:M329" si="326">COUNTIF(A329:A1565,A329)</f>
        <v>1</v>
      </c>
      <c r="M329" s="99">
        <f t="shared" si="326"/>
        <v>1</v>
      </c>
      <c r="N329" s="84"/>
      <c r="O329" s="84"/>
      <c r="P329" s="84"/>
      <c r="Q329" s="84"/>
      <c r="R329" s="84"/>
    </row>
    <row r="330" ht="15.75" customHeight="1">
      <c r="A330" s="129">
        <v>1.0602401E7</v>
      </c>
      <c r="B330" s="106" t="s">
        <v>1478</v>
      </c>
      <c r="C330" s="130" t="s">
        <v>1479</v>
      </c>
      <c r="D330" s="133"/>
      <c r="E330" s="162" t="s">
        <v>247</v>
      </c>
      <c r="F330" s="162" t="s">
        <v>1448</v>
      </c>
      <c r="G330" s="133"/>
      <c r="H330" s="133"/>
      <c r="I330" s="99"/>
      <c r="K330" s="84"/>
      <c r="L330" s="99">
        <f t="shared" ref="L330:M330" si="327">COUNTIF(A330:A1566,A330)</f>
        <v>1</v>
      </c>
      <c r="M330" s="99">
        <f t="shared" si="327"/>
        <v>1</v>
      </c>
      <c r="N330" s="84"/>
      <c r="O330" s="84"/>
      <c r="P330" s="84"/>
      <c r="Q330" s="84"/>
      <c r="R330" s="84"/>
    </row>
    <row r="331" ht="15.75" customHeight="1">
      <c r="A331" s="129">
        <v>1.0602402E7</v>
      </c>
      <c r="B331" s="106" t="s">
        <v>1480</v>
      </c>
      <c r="C331" s="59"/>
      <c r="D331" s="133"/>
      <c r="E331" s="162" t="s">
        <v>247</v>
      </c>
      <c r="F331" s="162" t="s">
        <v>1448</v>
      </c>
      <c r="G331" s="133"/>
      <c r="H331" s="133"/>
      <c r="I331" s="99"/>
      <c r="K331" s="84"/>
      <c r="L331" s="99">
        <f t="shared" ref="L331:M331" si="328">COUNTIF(A331:A1567,A331)</f>
        <v>1</v>
      </c>
      <c r="M331" s="99">
        <f t="shared" si="328"/>
        <v>1</v>
      </c>
      <c r="N331" s="84"/>
      <c r="O331" s="84"/>
      <c r="P331" s="84"/>
      <c r="Q331" s="84"/>
      <c r="R331" s="84"/>
    </row>
    <row r="332" ht="15.75" customHeight="1">
      <c r="A332" s="129">
        <v>1.0602403E7</v>
      </c>
      <c r="B332" s="106" t="s">
        <v>1481</v>
      </c>
      <c r="C332" s="59"/>
      <c r="D332" s="133"/>
      <c r="E332" s="162" t="s">
        <v>247</v>
      </c>
      <c r="F332" s="162" t="s">
        <v>1448</v>
      </c>
      <c r="G332" s="133"/>
      <c r="H332" s="133"/>
      <c r="I332" s="99"/>
      <c r="K332" s="84"/>
      <c r="L332" s="99">
        <f t="shared" ref="L332:M332" si="329">COUNTIF(A332:A1568,A332)</f>
        <v>1</v>
      </c>
      <c r="M332" s="99">
        <f t="shared" si="329"/>
        <v>1</v>
      </c>
      <c r="N332" s="84"/>
      <c r="O332" s="84"/>
      <c r="P332" s="84"/>
      <c r="Q332" s="84"/>
      <c r="R332" s="84"/>
    </row>
    <row r="333" ht="15.75" customHeight="1">
      <c r="A333" s="129">
        <v>1.0602404E7</v>
      </c>
      <c r="B333" s="106" t="s">
        <v>1482</v>
      </c>
      <c r="C333" s="59"/>
      <c r="D333" s="133"/>
      <c r="E333" s="162" t="s">
        <v>247</v>
      </c>
      <c r="F333" s="162" t="s">
        <v>1448</v>
      </c>
      <c r="G333" s="133"/>
      <c r="H333" s="133"/>
      <c r="I333" s="99"/>
      <c r="K333" s="84"/>
      <c r="L333" s="99">
        <f t="shared" ref="L333:M333" si="330">COUNTIF(A333:A1569,A333)</f>
        <v>1</v>
      </c>
      <c r="M333" s="99">
        <f t="shared" si="330"/>
        <v>1</v>
      </c>
      <c r="N333" s="84"/>
      <c r="O333" s="84"/>
      <c r="P333" s="84"/>
      <c r="Q333" s="84"/>
      <c r="R333" s="84"/>
    </row>
    <row r="334" ht="15.75" customHeight="1">
      <c r="A334" s="129">
        <v>1.0602405E7</v>
      </c>
      <c r="B334" s="106" t="s">
        <v>1483</v>
      </c>
      <c r="C334" s="59"/>
      <c r="D334" s="133"/>
      <c r="E334" s="169"/>
      <c r="F334" s="169"/>
      <c r="G334" s="134"/>
      <c r="H334" s="133"/>
      <c r="I334" s="99"/>
      <c r="K334" s="84"/>
      <c r="L334" s="99">
        <f t="shared" ref="L334:M334" si="331">COUNTIF(A334:A1570,A334)</f>
        <v>1</v>
      </c>
      <c r="M334" s="99">
        <f t="shared" si="331"/>
        <v>1</v>
      </c>
      <c r="N334" s="84"/>
      <c r="O334" s="84"/>
      <c r="P334" s="84"/>
      <c r="Q334" s="84"/>
      <c r="R334" s="84"/>
    </row>
    <row r="335" ht="15.75" customHeight="1">
      <c r="A335" s="129">
        <v>1.0602406E7</v>
      </c>
      <c r="B335" s="106" t="s">
        <v>1484</v>
      </c>
      <c r="C335" s="59"/>
      <c r="D335" s="133"/>
      <c r="E335" s="169"/>
      <c r="F335" s="169"/>
      <c r="G335" s="134"/>
      <c r="H335" s="133"/>
      <c r="I335" s="99"/>
      <c r="K335" s="84"/>
      <c r="L335" s="99">
        <f t="shared" ref="L335:M335" si="332">COUNTIF(A335:A1571,A335)</f>
        <v>1</v>
      </c>
      <c r="M335" s="99">
        <f t="shared" si="332"/>
        <v>1</v>
      </c>
      <c r="N335" s="84"/>
      <c r="O335" s="84"/>
      <c r="P335" s="84"/>
      <c r="Q335" s="84"/>
      <c r="R335" s="84"/>
    </row>
    <row r="336" ht="15.75" customHeight="1">
      <c r="A336" s="129">
        <v>1.0602407E7</v>
      </c>
      <c r="B336" s="106" t="s">
        <v>1485</v>
      </c>
      <c r="C336" s="59"/>
      <c r="D336" s="133"/>
      <c r="E336" s="169"/>
      <c r="F336" s="169"/>
      <c r="G336" s="134"/>
      <c r="H336" s="133"/>
      <c r="I336" s="99"/>
      <c r="K336" s="84"/>
      <c r="L336" s="99">
        <f t="shared" ref="L336:M336" si="333">COUNTIF(A336:A1572,A336)</f>
        <v>1</v>
      </c>
      <c r="M336" s="99">
        <f t="shared" si="333"/>
        <v>1</v>
      </c>
      <c r="N336" s="84"/>
      <c r="O336" s="84"/>
      <c r="P336" s="84"/>
      <c r="Q336" s="84"/>
      <c r="R336" s="84"/>
    </row>
    <row r="337" ht="15.75" customHeight="1">
      <c r="A337" s="129">
        <v>1.0602408E7</v>
      </c>
      <c r="B337" s="106" t="s">
        <v>1486</v>
      </c>
      <c r="C337" s="59"/>
      <c r="D337" s="133"/>
      <c r="E337" s="169"/>
      <c r="F337" s="169"/>
      <c r="G337" s="134"/>
      <c r="H337" s="133"/>
      <c r="I337" s="99"/>
      <c r="K337" s="84"/>
      <c r="L337" s="99">
        <f t="shared" ref="L337:M337" si="334">COUNTIF(A337:A1573,A337)</f>
        <v>1</v>
      </c>
      <c r="M337" s="99">
        <f t="shared" si="334"/>
        <v>1</v>
      </c>
      <c r="N337" s="84"/>
      <c r="O337" s="84"/>
      <c r="P337" s="84"/>
      <c r="Q337" s="84"/>
      <c r="R337" s="84"/>
    </row>
    <row r="338" ht="15.75" customHeight="1">
      <c r="A338" s="129">
        <v>1.0602409E7</v>
      </c>
      <c r="B338" s="106" t="s">
        <v>1487</v>
      </c>
      <c r="C338" s="59"/>
      <c r="D338" s="133"/>
      <c r="E338" s="169"/>
      <c r="F338" s="169"/>
      <c r="G338" s="134"/>
      <c r="H338" s="133"/>
      <c r="I338" s="99"/>
      <c r="K338" s="84"/>
      <c r="L338" s="99">
        <f t="shared" ref="L338:M338" si="335">COUNTIF(A338:A1574,A338)</f>
        <v>1</v>
      </c>
      <c r="M338" s="99">
        <f t="shared" si="335"/>
        <v>1</v>
      </c>
      <c r="N338" s="84"/>
      <c r="O338" s="84"/>
      <c r="P338" s="84"/>
      <c r="Q338" s="84"/>
      <c r="R338" s="84"/>
    </row>
    <row r="339" ht="15.75" customHeight="1">
      <c r="A339" s="129">
        <v>1.060241E7</v>
      </c>
      <c r="B339" s="106" t="s">
        <v>1488</v>
      </c>
      <c r="C339" s="59"/>
      <c r="D339" s="133"/>
      <c r="E339" s="169"/>
      <c r="F339" s="169"/>
      <c r="G339" s="134"/>
      <c r="H339" s="133"/>
      <c r="I339" s="99"/>
      <c r="K339" s="84"/>
      <c r="L339" s="99">
        <f t="shared" ref="L339:M339" si="336">COUNTIF(A339:A1575,A339)</f>
        <v>1</v>
      </c>
      <c r="M339" s="99">
        <f t="shared" si="336"/>
        <v>1</v>
      </c>
      <c r="N339" s="84"/>
      <c r="O339" s="84"/>
      <c r="P339" s="84"/>
      <c r="Q339" s="84"/>
      <c r="R339" s="84"/>
    </row>
    <row r="340" ht="15.75" customHeight="1">
      <c r="A340" s="129">
        <v>1.0602411E7</v>
      </c>
      <c r="B340" s="106" t="s">
        <v>1489</v>
      </c>
      <c r="C340" s="59"/>
      <c r="D340" s="133"/>
      <c r="E340" s="169"/>
      <c r="F340" s="169"/>
      <c r="G340" s="134"/>
      <c r="H340" s="133"/>
      <c r="I340" s="99"/>
      <c r="K340" s="84"/>
      <c r="L340" s="99">
        <f t="shared" ref="L340:M340" si="337">COUNTIF(A340:A1576,A340)</f>
        <v>1</v>
      </c>
      <c r="M340" s="99">
        <f t="shared" si="337"/>
        <v>1</v>
      </c>
      <c r="N340" s="84"/>
      <c r="O340" s="84"/>
      <c r="P340" s="84"/>
      <c r="Q340" s="84"/>
      <c r="R340" s="84"/>
    </row>
    <row r="341" ht="15.75" customHeight="1">
      <c r="A341" s="129">
        <v>1.0602412E7</v>
      </c>
      <c r="B341" s="106" t="s">
        <v>1490</v>
      </c>
      <c r="C341" s="59"/>
      <c r="D341" s="147"/>
      <c r="E341" s="169"/>
      <c r="F341" s="169"/>
      <c r="G341" s="134"/>
      <c r="H341" s="133"/>
      <c r="I341" s="99"/>
      <c r="K341" s="84"/>
      <c r="L341" s="99">
        <f t="shared" ref="L341:M341" si="338">COUNTIF(A341:A1577,A341)</f>
        <v>1</v>
      </c>
      <c r="M341" s="99">
        <f t="shared" si="338"/>
        <v>1</v>
      </c>
      <c r="N341" s="84"/>
      <c r="O341" s="84"/>
      <c r="P341" s="84"/>
      <c r="Q341" s="84"/>
      <c r="R341" s="84"/>
    </row>
    <row r="342" ht="15.75" customHeight="1">
      <c r="A342" s="129">
        <v>1.0602413E7</v>
      </c>
      <c r="B342" s="106" t="s">
        <v>1491</v>
      </c>
      <c r="C342" s="59"/>
      <c r="D342" s="133"/>
      <c r="E342" s="170" t="s">
        <v>235</v>
      </c>
      <c r="F342" s="170" t="s">
        <v>235</v>
      </c>
      <c r="G342" s="134"/>
      <c r="H342" s="133"/>
      <c r="I342" s="99"/>
      <c r="K342" s="84"/>
      <c r="L342" s="99">
        <f t="shared" ref="L342:M342" si="339">COUNTIF(A342:A1578,A342)</f>
        <v>1</v>
      </c>
      <c r="M342" s="99">
        <f t="shared" si="339"/>
        <v>1</v>
      </c>
      <c r="N342" s="84"/>
      <c r="O342" s="84"/>
      <c r="P342" s="84"/>
      <c r="Q342" s="84"/>
      <c r="R342" s="84"/>
    </row>
    <row r="343" ht="15.75" customHeight="1">
      <c r="A343" s="129">
        <v>1.0602414E7</v>
      </c>
      <c r="B343" s="106" t="s">
        <v>1492</v>
      </c>
      <c r="C343" s="59"/>
      <c r="D343" s="133"/>
      <c r="E343" s="170" t="s">
        <v>235</v>
      </c>
      <c r="F343" s="170" t="s">
        <v>235</v>
      </c>
      <c r="G343" s="134"/>
      <c r="H343" s="133"/>
      <c r="I343" s="99"/>
      <c r="K343" s="84"/>
      <c r="L343" s="99">
        <f t="shared" ref="L343:M343" si="340">COUNTIF(A343:A1579,A343)</f>
        <v>1</v>
      </c>
      <c r="M343" s="99">
        <f t="shared" si="340"/>
        <v>1</v>
      </c>
      <c r="N343" s="84"/>
      <c r="O343" s="84"/>
      <c r="P343" s="84"/>
      <c r="Q343" s="84"/>
      <c r="R343" s="84"/>
    </row>
    <row r="344" ht="15.75" customHeight="1">
      <c r="A344" s="129">
        <v>1.0602415E7</v>
      </c>
      <c r="B344" s="106" t="s">
        <v>1493</v>
      </c>
      <c r="C344" s="59"/>
      <c r="D344" s="133"/>
      <c r="E344" s="170" t="s">
        <v>235</v>
      </c>
      <c r="F344" s="170" t="s">
        <v>235</v>
      </c>
      <c r="G344" s="134"/>
      <c r="H344" s="133"/>
      <c r="I344" s="99"/>
      <c r="K344" s="84"/>
      <c r="L344" s="99">
        <f t="shared" ref="L344:M344" si="341">COUNTIF(A344:A1580,A344)</f>
        <v>1</v>
      </c>
      <c r="M344" s="99">
        <f t="shared" si="341"/>
        <v>1</v>
      </c>
      <c r="N344" s="84"/>
      <c r="O344" s="84"/>
      <c r="P344" s="84"/>
      <c r="Q344" s="84"/>
      <c r="R344" s="84"/>
    </row>
    <row r="345" ht="15.75" customHeight="1">
      <c r="A345" s="129">
        <v>1.0602416E7</v>
      </c>
      <c r="B345" s="106" t="s">
        <v>1494</v>
      </c>
      <c r="C345" s="59"/>
      <c r="D345" s="133"/>
      <c r="G345" s="134"/>
      <c r="H345" s="133"/>
      <c r="I345" s="99"/>
      <c r="K345" s="84"/>
      <c r="L345" s="99">
        <f t="shared" ref="L345:M345" si="342">COUNTIF(A345:A1581,A345)</f>
        <v>1</v>
      </c>
      <c r="M345" s="99">
        <f t="shared" si="342"/>
        <v>1</v>
      </c>
      <c r="N345" s="84"/>
      <c r="O345" s="84"/>
      <c r="P345" s="84"/>
      <c r="Q345" s="84"/>
      <c r="R345" s="84"/>
    </row>
    <row r="346" ht="15.75" customHeight="1">
      <c r="A346" s="129">
        <v>1.0602417E7</v>
      </c>
      <c r="B346" s="106" t="s">
        <v>1495</v>
      </c>
      <c r="C346" s="59"/>
      <c r="D346" s="133"/>
      <c r="E346" s="169"/>
      <c r="F346" s="169"/>
      <c r="G346" s="134"/>
      <c r="H346" s="133"/>
      <c r="I346" s="99"/>
      <c r="K346" s="84"/>
      <c r="L346" s="99">
        <f t="shared" ref="L346:M346" si="343">COUNTIF(A346:A1582,A346)</f>
        <v>1</v>
      </c>
      <c r="M346" s="99">
        <f t="shared" si="343"/>
        <v>1</v>
      </c>
      <c r="N346" s="84"/>
      <c r="O346" s="84"/>
      <c r="P346" s="84"/>
      <c r="Q346" s="84"/>
      <c r="R346" s="84"/>
    </row>
    <row r="347" ht="15.75" customHeight="1">
      <c r="A347" s="129">
        <v>1.0602418E7</v>
      </c>
      <c r="B347" s="106" t="s">
        <v>1496</v>
      </c>
      <c r="C347" s="59"/>
      <c r="D347" s="133"/>
      <c r="E347" s="169"/>
      <c r="F347" s="169"/>
      <c r="G347" s="134"/>
      <c r="H347" s="133"/>
      <c r="I347" s="99"/>
      <c r="K347" s="84"/>
      <c r="L347" s="99">
        <f t="shared" ref="L347:M347" si="344">COUNTIF(A347:A1583,A347)</f>
        <v>1</v>
      </c>
      <c r="M347" s="99">
        <f t="shared" si="344"/>
        <v>1</v>
      </c>
      <c r="N347" s="84"/>
      <c r="O347" s="84"/>
      <c r="P347" s="84"/>
      <c r="Q347" s="84"/>
      <c r="R347" s="84"/>
    </row>
    <row r="348" ht="15.75" customHeight="1">
      <c r="A348" s="129">
        <v>1.0602419E7</v>
      </c>
      <c r="B348" s="106" t="s">
        <v>1497</v>
      </c>
      <c r="C348" s="59"/>
      <c r="D348" s="133"/>
      <c r="E348" s="169"/>
      <c r="F348" s="169"/>
      <c r="G348" s="134"/>
      <c r="H348" s="133"/>
      <c r="I348" s="99"/>
      <c r="K348" s="84"/>
      <c r="L348" s="99">
        <f t="shared" ref="L348:M348" si="345">COUNTIF(A348:A1584,A348)</f>
        <v>1</v>
      </c>
      <c r="M348" s="99">
        <f t="shared" si="345"/>
        <v>1</v>
      </c>
      <c r="N348" s="84"/>
      <c r="O348" s="84"/>
      <c r="P348" s="84"/>
      <c r="Q348" s="84"/>
      <c r="R348" s="84"/>
    </row>
    <row r="349" ht="15.75" customHeight="1">
      <c r="A349" s="129">
        <v>1.060242E7</v>
      </c>
      <c r="B349" s="106" t="s">
        <v>1498</v>
      </c>
      <c r="C349" s="59"/>
      <c r="D349" s="133"/>
      <c r="E349" s="170" t="s">
        <v>235</v>
      </c>
      <c r="F349" s="170" t="s">
        <v>235</v>
      </c>
      <c r="G349" s="134"/>
      <c r="H349" s="133"/>
      <c r="I349" s="99"/>
      <c r="K349" s="84"/>
      <c r="L349" s="99">
        <f t="shared" ref="L349:M349" si="346">COUNTIF(A349:A1585,A349)</f>
        <v>1</v>
      </c>
      <c r="M349" s="99">
        <f t="shared" si="346"/>
        <v>1</v>
      </c>
      <c r="N349" s="84"/>
      <c r="O349" s="84"/>
      <c r="P349" s="84"/>
      <c r="Q349" s="84"/>
      <c r="R349" s="84"/>
    </row>
    <row r="350" ht="15.75" customHeight="1">
      <c r="A350" s="129">
        <v>1.0602421E7</v>
      </c>
      <c r="B350" s="106" t="s">
        <v>1499</v>
      </c>
      <c r="C350" s="59"/>
      <c r="D350" s="133"/>
      <c r="E350" s="169"/>
      <c r="F350" s="169"/>
      <c r="G350" s="134"/>
      <c r="H350" s="133"/>
      <c r="I350" s="99"/>
      <c r="K350" s="84"/>
      <c r="L350" s="99">
        <f t="shared" ref="L350:M350" si="347">COUNTIF(A350:A1586,A350)</f>
        <v>1</v>
      </c>
      <c r="M350" s="99">
        <f t="shared" si="347"/>
        <v>1</v>
      </c>
      <c r="N350" s="84"/>
      <c r="O350" s="84"/>
      <c r="P350" s="84"/>
      <c r="Q350" s="84"/>
      <c r="R350" s="84"/>
    </row>
    <row r="351" ht="15.75" customHeight="1">
      <c r="A351" s="129">
        <v>1.0602422E7</v>
      </c>
      <c r="B351" s="106" t="s">
        <v>1500</v>
      </c>
      <c r="C351" s="59"/>
      <c r="D351" s="133"/>
      <c r="E351" s="169"/>
      <c r="F351" s="169"/>
      <c r="G351" s="134"/>
      <c r="H351" s="133"/>
      <c r="I351" s="99"/>
      <c r="K351" s="84"/>
      <c r="L351" s="99">
        <f t="shared" ref="L351:M351" si="348">COUNTIF(A351:A1587,A351)</f>
        <v>1</v>
      </c>
      <c r="M351" s="99">
        <f t="shared" si="348"/>
        <v>1</v>
      </c>
      <c r="N351" s="84"/>
      <c r="O351" s="84"/>
      <c r="P351" s="84"/>
      <c r="Q351" s="84"/>
      <c r="R351" s="84"/>
    </row>
    <row r="352" ht="15.75" customHeight="1">
      <c r="A352" s="129">
        <v>1.0602423E7</v>
      </c>
      <c r="B352" s="106" t="s">
        <v>1501</v>
      </c>
      <c r="C352" s="59"/>
      <c r="D352" s="133"/>
      <c r="E352" s="169"/>
      <c r="F352" s="169"/>
      <c r="G352" s="153" t="s">
        <v>1471</v>
      </c>
      <c r="H352" s="133"/>
      <c r="I352" s="99"/>
      <c r="K352" s="84"/>
      <c r="L352" s="99">
        <f t="shared" ref="L352:M352" si="349">COUNTIF(A352:A1588,A352)</f>
        <v>1</v>
      </c>
      <c r="M352" s="99">
        <f t="shared" si="349"/>
        <v>1</v>
      </c>
      <c r="N352" s="84"/>
      <c r="O352" s="84"/>
      <c r="P352" s="84"/>
      <c r="Q352" s="84"/>
      <c r="R352" s="84"/>
    </row>
    <row r="353" ht="15.75" customHeight="1">
      <c r="A353" s="129">
        <v>1.0602424E7</v>
      </c>
      <c r="B353" s="106" t="s">
        <v>1502</v>
      </c>
      <c r="C353" s="59"/>
      <c r="D353" s="133"/>
      <c r="E353" s="169"/>
      <c r="F353" s="169"/>
      <c r="G353" s="153" t="s">
        <v>1471</v>
      </c>
      <c r="H353" s="133"/>
      <c r="I353" s="99"/>
      <c r="K353" s="84"/>
      <c r="L353" s="99">
        <f t="shared" ref="L353:M353" si="350">COUNTIF(A353:A1589,A353)</f>
        <v>1</v>
      </c>
      <c r="M353" s="99">
        <f t="shared" si="350"/>
        <v>1</v>
      </c>
      <c r="N353" s="84"/>
      <c r="O353" s="84"/>
      <c r="P353" s="84"/>
      <c r="Q353" s="84"/>
      <c r="R353" s="84"/>
    </row>
    <row r="354" ht="15.75" customHeight="1">
      <c r="A354" s="129">
        <v>1.0602425E7</v>
      </c>
      <c r="B354" s="106" t="s">
        <v>1503</v>
      </c>
      <c r="C354" s="59"/>
      <c r="D354" s="133"/>
      <c r="E354" s="169"/>
      <c r="F354" s="169"/>
      <c r="G354" s="153" t="s">
        <v>1471</v>
      </c>
      <c r="H354" s="133"/>
      <c r="I354" s="99"/>
      <c r="K354" s="84"/>
      <c r="L354" s="99">
        <f t="shared" ref="L354:M354" si="351">COUNTIF(A354:A1590,A354)</f>
        <v>1</v>
      </c>
      <c r="M354" s="99">
        <f t="shared" si="351"/>
        <v>1</v>
      </c>
      <c r="N354" s="84"/>
      <c r="O354" s="84"/>
      <c r="P354" s="84"/>
      <c r="Q354" s="84"/>
      <c r="R354" s="84"/>
    </row>
    <row r="355" ht="15.75" customHeight="1">
      <c r="A355" s="129">
        <v>1.0602426E7</v>
      </c>
      <c r="B355" s="106" t="s">
        <v>1504</v>
      </c>
      <c r="C355" s="59"/>
      <c r="D355" s="133"/>
      <c r="E355" s="169"/>
      <c r="F355" s="169"/>
      <c r="G355" s="153" t="s">
        <v>1471</v>
      </c>
      <c r="H355" s="133"/>
      <c r="I355" s="99"/>
      <c r="K355" s="84"/>
      <c r="L355" s="99">
        <f t="shared" ref="L355:M355" si="352">COUNTIF(A355:A1591,A355)</f>
        <v>1</v>
      </c>
      <c r="M355" s="99">
        <f t="shared" si="352"/>
        <v>1</v>
      </c>
      <c r="N355" s="84"/>
      <c r="O355" s="84"/>
      <c r="P355" s="84"/>
      <c r="Q355" s="84"/>
      <c r="R355" s="84"/>
    </row>
    <row r="356" ht="15.75" customHeight="1">
      <c r="A356" s="129">
        <v>1.0602427E7</v>
      </c>
      <c r="B356" s="106" t="s">
        <v>1505</v>
      </c>
      <c r="C356" s="59"/>
      <c r="D356" s="133"/>
      <c r="E356" s="169"/>
      <c r="F356" s="169"/>
      <c r="G356" s="134"/>
      <c r="H356" s="133"/>
      <c r="I356" s="99"/>
      <c r="K356" s="84"/>
      <c r="L356" s="99">
        <f t="shared" ref="L356:M356" si="353">COUNTIF(A356:A1592,A356)</f>
        <v>1</v>
      </c>
      <c r="M356" s="99">
        <f t="shared" si="353"/>
        <v>1</v>
      </c>
      <c r="N356" s="84"/>
      <c r="O356" s="84"/>
      <c r="P356" s="84"/>
      <c r="Q356" s="84"/>
      <c r="R356" s="84"/>
    </row>
    <row r="357" ht="15.75" customHeight="1">
      <c r="A357" s="129">
        <v>1.0602428E7</v>
      </c>
      <c r="B357" s="106" t="s">
        <v>1506</v>
      </c>
      <c r="C357" s="59"/>
      <c r="D357" s="133"/>
      <c r="E357" s="169"/>
      <c r="F357" s="169"/>
      <c r="G357" s="134"/>
      <c r="H357" s="133"/>
      <c r="I357" s="99"/>
      <c r="K357" s="84"/>
      <c r="L357" s="99">
        <f t="shared" ref="L357:M357" si="354">COUNTIF(A357:A1593,A357)</f>
        <v>1</v>
      </c>
      <c r="M357" s="99">
        <f t="shared" si="354"/>
        <v>1</v>
      </c>
      <c r="N357" s="84"/>
      <c r="O357" s="84"/>
      <c r="P357" s="84"/>
      <c r="Q357" s="84"/>
      <c r="R357" s="84"/>
    </row>
    <row r="358" ht="15.75" customHeight="1">
      <c r="A358" s="129">
        <v>1.0602429E7</v>
      </c>
      <c r="B358" s="106" t="s">
        <v>1507</v>
      </c>
      <c r="C358" s="73"/>
      <c r="D358" s="133"/>
      <c r="E358" s="171" t="s">
        <v>235</v>
      </c>
      <c r="F358" s="171" t="s">
        <v>235</v>
      </c>
      <c r="G358" s="134"/>
      <c r="H358" s="133"/>
      <c r="I358" s="99"/>
      <c r="K358" s="84"/>
      <c r="L358" s="99">
        <f t="shared" ref="L358:M358" si="355">COUNTIF(A358:A1594,A358)</f>
        <v>1</v>
      </c>
      <c r="M358" s="99">
        <f t="shared" si="355"/>
        <v>1</v>
      </c>
      <c r="N358" s="84"/>
      <c r="O358" s="84"/>
      <c r="P358" s="84"/>
      <c r="Q358" s="84"/>
      <c r="R358" s="84"/>
    </row>
    <row r="359" ht="15.75" customHeight="1">
      <c r="A359" s="129">
        <v>1.0602501E7</v>
      </c>
      <c r="B359" s="106" t="s">
        <v>1508</v>
      </c>
      <c r="C359" s="130" t="s">
        <v>1509</v>
      </c>
      <c r="D359" s="133"/>
      <c r="E359" s="162" t="s">
        <v>247</v>
      </c>
      <c r="F359" s="162" t="s">
        <v>1448</v>
      </c>
      <c r="G359" s="133"/>
      <c r="H359" s="133"/>
      <c r="I359" s="99"/>
      <c r="K359" s="84"/>
      <c r="L359" s="99">
        <f t="shared" ref="L359:M359" si="356">COUNTIF(A359:A1595,A359)</f>
        <v>1</v>
      </c>
      <c r="M359" s="99">
        <f t="shared" si="356"/>
        <v>1</v>
      </c>
      <c r="N359" s="84"/>
      <c r="O359" s="84"/>
      <c r="P359" s="84"/>
      <c r="Q359" s="84"/>
      <c r="R359" s="84"/>
    </row>
    <row r="360" ht="15.75" customHeight="1">
      <c r="A360" s="129">
        <v>1.0602502E7</v>
      </c>
      <c r="B360" s="106" t="s">
        <v>1510</v>
      </c>
      <c r="C360" s="59"/>
      <c r="D360" s="133"/>
      <c r="E360" s="162" t="s">
        <v>247</v>
      </c>
      <c r="F360" s="162" t="s">
        <v>1448</v>
      </c>
      <c r="G360" s="133"/>
      <c r="H360" s="133"/>
      <c r="I360" s="99"/>
      <c r="K360" s="84"/>
      <c r="L360" s="99">
        <f t="shared" ref="L360:M360" si="357">COUNTIF(A360:A1596,A360)</f>
        <v>1</v>
      </c>
      <c r="M360" s="99">
        <f t="shared" si="357"/>
        <v>1</v>
      </c>
      <c r="N360" s="84"/>
      <c r="O360" s="84"/>
      <c r="P360" s="84"/>
      <c r="Q360" s="84"/>
      <c r="R360" s="84"/>
    </row>
    <row r="361" ht="15.75" customHeight="1">
      <c r="A361" s="129">
        <v>1.0602503E7</v>
      </c>
      <c r="B361" s="106" t="s">
        <v>1511</v>
      </c>
      <c r="C361" s="59"/>
      <c r="D361" s="133"/>
      <c r="E361" s="162" t="s">
        <v>247</v>
      </c>
      <c r="F361" s="162" t="s">
        <v>1448</v>
      </c>
      <c r="G361" s="133"/>
      <c r="H361" s="133"/>
      <c r="I361" s="99"/>
      <c r="K361" s="84"/>
      <c r="L361" s="99">
        <f t="shared" ref="L361:M361" si="358">COUNTIF(A361:A1597,A361)</f>
        <v>1</v>
      </c>
      <c r="M361" s="99">
        <f t="shared" si="358"/>
        <v>1</v>
      </c>
      <c r="N361" s="84"/>
      <c r="O361" s="84"/>
      <c r="P361" s="84"/>
      <c r="Q361" s="84"/>
      <c r="R361" s="84"/>
    </row>
    <row r="362" ht="15.75" customHeight="1">
      <c r="A362" s="129">
        <v>1.0602504E7</v>
      </c>
      <c r="B362" s="106" t="s">
        <v>1512</v>
      </c>
      <c r="C362" s="59"/>
      <c r="D362" s="133"/>
      <c r="E362" s="162" t="s">
        <v>247</v>
      </c>
      <c r="F362" s="162" t="s">
        <v>1448</v>
      </c>
      <c r="G362" s="133"/>
      <c r="H362" s="133"/>
      <c r="I362" s="99"/>
      <c r="K362" s="84"/>
      <c r="L362" s="99">
        <f t="shared" ref="L362:M362" si="359">COUNTIF(A362:A1598,A362)</f>
        <v>1</v>
      </c>
      <c r="M362" s="99">
        <f t="shared" si="359"/>
        <v>1</v>
      </c>
      <c r="N362" s="84"/>
      <c r="O362" s="84"/>
      <c r="P362" s="84"/>
      <c r="Q362" s="84"/>
      <c r="R362" s="84"/>
    </row>
    <row r="363" ht="15.75" customHeight="1">
      <c r="A363" s="129">
        <v>1.0602505E7</v>
      </c>
      <c r="B363" s="106" t="s">
        <v>1513</v>
      </c>
      <c r="C363" s="59"/>
      <c r="D363" s="133"/>
      <c r="E363" s="169"/>
      <c r="F363" s="169"/>
      <c r="G363" s="134"/>
      <c r="H363" s="133"/>
      <c r="I363" s="99"/>
      <c r="K363" s="84"/>
      <c r="L363" s="99">
        <f t="shared" ref="L363:M363" si="360">COUNTIF(A363:A1599,A363)</f>
        <v>1</v>
      </c>
      <c r="M363" s="99">
        <f t="shared" si="360"/>
        <v>1</v>
      </c>
      <c r="N363" s="84"/>
      <c r="O363" s="84"/>
      <c r="P363" s="84"/>
      <c r="Q363" s="84"/>
      <c r="R363" s="84"/>
    </row>
    <row r="364" ht="15.75" customHeight="1">
      <c r="A364" s="129">
        <v>1.0602506E7</v>
      </c>
      <c r="B364" s="106" t="s">
        <v>1514</v>
      </c>
      <c r="C364" s="59"/>
      <c r="D364" s="133"/>
      <c r="E364" s="169"/>
      <c r="F364" s="169"/>
      <c r="G364" s="134"/>
      <c r="H364" s="133"/>
      <c r="I364" s="99"/>
      <c r="K364" s="84"/>
      <c r="L364" s="99">
        <f t="shared" ref="L364:M364" si="361">COUNTIF(A364:A1600,A364)</f>
        <v>1</v>
      </c>
      <c r="M364" s="99">
        <f t="shared" si="361"/>
        <v>1</v>
      </c>
      <c r="N364" s="84"/>
      <c r="O364" s="84"/>
      <c r="P364" s="84"/>
      <c r="Q364" s="84"/>
      <c r="R364" s="84"/>
    </row>
    <row r="365" ht="15.75" customHeight="1">
      <c r="A365" s="129">
        <v>1.0602507E7</v>
      </c>
      <c r="B365" s="106" t="s">
        <v>1515</v>
      </c>
      <c r="C365" s="59"/>
      <c r="D365" s="133"/>
      <c r="E365" s="169"/>
      <c r="F365" s="169"/>
      <c r="G365" s="134"/>
      <c r="H365" s="133"/>
      <c r="I365" s="99"/>
      <c r="K365" s="84"/>
      <c r="L365" s="99">
        <f t="shared" ref="L365:M365" si="362">COUNTIF(A365:A1601,A365)</f>
        <v>1</v>
      </c>
      <c r="M365" s="99">
        <f t="shared" si="362"/>
        <v>1</v>
      </c>
      <c r="N365" s="84"/>
      <c r="O365" s="84"/>
      <c r="P365" s="84"/>
      <c r="Q365" s="84"/>
      <c r="R365" s="84"/>
    </row>
    <row r="366" ht="15.75" customHeight="1">
      <c r="A366" s="129">
        <v>1.0602508E7</v>
      </c>
      <c r="B366" s="106" t="s">
        <v>1516</v>
      </c>
      <c r="C366" s="59"/>
      <c r="D366" s="133"/>
      <c r="E366" s="169"/>
      <c r="F366" s="169"/>
      <c r="G366" s="134"/>
      <c r="H366" s="133"/>
      <c r="I366" s="99"/>
      <c r="K366" s="84"/>
      <c r="L366" s="99">
        <f t="shared" ref="L366:M366" si="363">COUNTIF(A366:A1602,A366)</f>
        <v>1</v>
      </c>
      <c r="M366" s="99">
        <f t="shared" si="363"/>
        <v>1</v>
      </c>
      <c r="N366" s="84"/>
      <c r="O366" s="84"/>
      <c r="P366" s="84"/>
      <c r="Q366" s="84"/>
      <c r="R366" s="84"/>
    </row>
    <row r="367" ht="15.75" customHeight="1">
      <c r="A367" s="129">
        <v>1.0602509E7</v>
      </c>
      <c r="B367" s="106" t="s">
        <v>1517</v>
      </c>
      <c r="C367" s="59"/>
      <c r="D367" s="133"/>
      <c r="E367" s="169"/>
      <c r="F367" s="169"/>
      <c r="G367" s="134"/>
      <c r="H367" s="133"/>
      <c r="I367" s="99"/>
      <c r="K367" s="84"/>
      <c r="L367" s="99">
        <f t="shared" ref="L367:M367" si="364">COUNTIF(A367:A1603,A367)</f>
        <v>1</v>
      </c>
      <c r="M367" s="99">
        <f t="shared" si="364"/>
        <v>1</v>
      </c>
      <c r="N367" s="84"/>
      <c r="O367" s="84"/>
      <c r="P367" s="84"/>
      <c r="Q367" s="84"/>
      <c r="R367" s="84"/>
    </row>
    <row r="368" ht="15.75" customHeight="1">
      <c r="A368" s="129">
        <v>1.060251E7</v>
      </c>
      <c r="B368" s="106" t="s">
        <v>1518</v>
      </c>
      <c r="C368" s="59"/>
      <c r="D368" s="133"/>
      <c r="E368" s="169"/>
      <c r="F368" s="169"/>
      <c r="G368" s="134"/>
      <c r="H368" s="133"/>
      <c r="I368" s="99"/>
      <c r="K368" s="84"/>
      <c r="L368" s="99">
        <f t="shared" ref="L368:M368" si="365">COUNTIF(A368:A1604,A368)</f>
        <v>1</v>
      </c>
      <c r="M368" s="99">
        <f t="shared" si="365"/>
        <v>1</v>
      </c>
      <c r="N368" s="84"/>
      <c r="O368" s="84"/>
      <c r="P368" s="84"/>
      <c r="Q368" s="84"/>
      <c r="R368" s="84"/>
    </row>
    <row r="369" ht="15.75" customHeight="1">
      <c r="A369" s="129">
        <v>1.0602511E7</v>
      </c>
      <c r="B369" s="106" t="s">
        <v>1519</v>
      </c>
      <c r="C369" s="59"/>
      <c r="D369" s="133"/>
      <c r="E369" s="169"/>
      <c r="F369" s="169"/>
      <c r="G369" s="134"/>
      <c r="H369" s="133"/>
      <c r="I369" s="99"/>
      <c r="K369" s="84"/>
      <c r="L369" s="99">
        <f t="shared" ref="L369:M369" si="366">COUNTIF(A369:A1605,A369)</f>
        <v>1</v>
      </c>
      <c r="M369" s="99">
        <f t="shared" si="366"/>
        <v>1</v>
      </c>
      <c r="N369" s="84"/>
      <c r="O369" s="84"/>
      <c r="P369" s="84"/>
      <c r="Q369" s="84"/>
      <c r="R369" s="84"/>
    </row>
    <row r="370" ht="15.75" customHeight="1">
      <c r="A370" s="129">
        <v>1.0602512E7</v>
      </c>
      <c r="B370" s="106" t="s">
        <v>1520</v>
      </c>
      <c r="C370" s="59"/>
      <c r="D370" s="133"/>
      <c r="E370" s="169"/>
      <c r="F370" s="169"/>
      <c r="G370" s="134"/>
      <c r="H370" s="133"/>
      <c r="I370" s="99"/>
      <c r="K370" s="84"/>
      <c r="L370" s="99">
        <f t="shared" ref="L370:M370" si="367">COUNTIF(A370:A1606,A370)</f>
        <v>1</v>
      </c>
      <c r="M370" s="99">
        <f t="shared" si="367"/>
        <v>1</v>
      </c>
      <c r="N370" s="84"/>
      <c r="O370" s="84"/>
      <c r="P370" s="84"/>
      <c r="Q370" s="84"/>
      <c r="R370" s="84"/>
    </row>
    <row r="371" ht="15.75" customHeight="1">
      <c r="A371" s="129">
        <v>1.0602513E7</v>
      </c>
      <c r="B371" s="106" t="s">
        <v>1521</v>
      </c>
      <c r="C371" s="59"/>
      <c r="D371" s="133"/>
      <c r="E371" s="170" t="s">
        <v>235</v>
      </c>
      <c r="F371" s="170" t="s">
        <v>235</v>
      </c>
      <c r="G371" s="134"/>
      <c r="H371" s="133"/>
      <c r="I371" s="99"/>
      <c r="K371" s="84"/>
      <c r="L371" s="99">
        <f t="shared" ref="L371:M371" si="368">COUNTIF(A371:A1607,A371)</f>
        <v>1</v>
      </c>
      <c r="M371" s="99">
        <f t="shared" si="368"/>
        <v>1</v>
      </c>
      <c r="N371" s="84"/>
      <c r="O371" s="84"/>
      <c r="P371" s="84"/>
      <c r="Q371" s="84"/>
      <c r="R371" s="84"/>
    </row>
    <row r="372" ht="15.75" customHeight="1">
      <c r="A372" s="129">
        <v>1.0602514E7</v>
      </c>
      <c r="B372" s="106" t="s">
        <v>1522</v>
      </c>
      <c r="C372" s="59"/>
      <c r="D372" s="133"/>
      <c r="E372" s="170" t="s">
        <v>235</v>
      </c>
      <c r="F372" s="170" t="s">
        <v>235</v>
      </c>
      <c r="G372" s="134"/>
      <c r="H372" s="133"/>
      <c r="I372" s="99"/>
      <c r="K372" s="84"/>
      <c r="L372" s="99">
        <f t="shared" ref="L372:M372" si="369">COUNTIF(A372:A1608,A372)</f>
        <v>1</v>
      </c>
      <c r="M372" s="99">
        <f t="shared" si="369"/>
        <v>1</v>
      </c>
      <c r="N372" s="84"/>
      <c r="O372" s="84"/>
      <c r="P372" s="84"/>
      <c r="Q372" s="84"/>
      <c r="R372" s="84"/>
    </row>
    <row r="373" ht="15.75" customHeight="1">
      <c r="A373" s="129">
        <v>1.0602515E7</v>
      </c>
      <c r="B373" s="106" t="s">
        <v>1523</v>
      </c>
      <c r="C373" s="59"/>
      <c r="D373" s="133"/>
      <c r="E373" s="170" t="s">
        <v>235</v>
      </c>
      <c r="F373" s="170" t="s">
        <v>235</v>
      </c>
      <c r="G373" s="134"/>
      <c r="H373" s="133"/>
      <c r="I373" s="99"/>
      <c r="K373" s="84"/>
      <c r="L373" s="99">
        <f t="shared" ref="L373:M373" si="370">COUNTIF(A373:A1609,A373)</f>
        <v>1</v>
      </c>
      <c r="M373" s="99">
        <f t="shared" si="370"/>
        <v>1</v>
      </c>
      <c r="N373" s="84"/>
      <c r="O373" s="84"/>
      <c r="P373" s="84"/>
      <c r="Q373" s="84"/>
      <c r="R373" s="84"/>
    </row>
    <row r="374" ht="15.75" customHeight="1">
      <c r="A374" s="129">
        <v>1.0602516E7</v>
      </c>
      <c r="B374" s="106" t="s">
        <v>1524</v>
      </c>
      <c r="C374" s="59"/>
      <c r="D374" s="133"/>
      <c r="G374" s="134"/>
      <c r="H374" s="133"/>
      <c r="I374" s="99"/>
      <c r="K374" s="84"/>
      <c r="L374" s="99">
        <f t="shared" ref="L374:M374" si="371">COUNTIF(A374:A1610,A374)</f>
        <v>1</v>
      </c>
      <c r="M374" s="99">
        <f t="shared" si="371"/>
        <v>1</v>
      </c>
      <c r="N374" s="84"/>
      <c r="O374" s="84"/>
      <c r="P374" s="84"/>
      <c r="Q374" s="84"/>
      <c r="R374" s="84"/>
    </row>
    <row r="375" ht="15.75" customHeight="1">
      <c r="A375" s="129">
        <v>1.0602517E7</v>
      </c>
      <c r="B375" s="106" t="s">
        <v>1525</v>
      </c>
      <c r="C375" s="59"/>
      <c r="D375" s="133"/>
      <c r="E375" s="169"/>
      <c r="F375" s="169"/>
      <c r="G375" s="134"/>
      <c r="H375" s="133"/>
      <c r="I375" s="99"/>
      <c r="K375" s="84"/>
      <c r="L375" s="99">
        <f t="shared" ref="L375:M375" si="372">COUNTIF(A375:A1611,A375)</f>
        <v>1</v>
      </c>
      <c r="M375" s="99">
        <f t="shared" si="372"/>
        <v>1</v>
      </c>
      <c r="N375" s="84"/>
      <c r="O375" s="84"/>
      <c r="P375" s="84"/>
      <c r="Q375" s="84"/>
      <c r="R375" s="84"/>
    </row>
    <row r="376" ht="15.75" customHeight="1">
      <c r="A376" s="129">
        <v>1.0602518E7</v>
      </c>
      <c r="B376" s="106" t="s">
        <v>1526</v>
      </c>
      <c r="C376" s="59"/>
      <c r="D376" s="133"/>
      <c r="E376" s="169"/>
      <c r="F376" s="169"/>
      <c r="G376" s="134"/>
      <c r="H376" s="133"/>
      <c r="I376" s="99"/>
      <c r="K376" s="84"/>
      <c r="L376" s="99">
        <f t="shared" ref="L376:M376" si="373">COUNTIF(A376:A1612,A376)</f>
        <v>1</v>
      </c>
      <c r="M376" s="99">
        <f t="shared" si="373"/>
        <v>1</v>
      </c>
      <c r="N376" s="84"/>
      <c r="O376" s="84"/>
      <c r="P376" s="84"/>
      <c r="Q376" s="84"/>
      <c r="R376" s="84"/>
    </row>
    <row r="377" ht="15.75" customHeight="1">
      <c r="A377" s="129">
        <v>1.0602519E7</v>
      </c>
      <c r="B377" s="106" t="s">
        <v>1527</v>
      </c>
      <c r="C377" s="59"/>
      <c r="D377" s="133"/>
      <c r="E377" s="169"/>
      <c r="F377" s="169"/>
      <c r="G377" s="134"/>
      <c r="H377" s="133"/>
      <c r="I377" s="99"/>
      <c r="K377" s="84"/>
      <c r="L377" s="99">
        <f t="shared" ref="L377:M377" si="374">COUNTIF(A377:A1613,A377)</f>
        <v>1</v>
      </c>
      <c r="M377" s="99">
        <f t="shared" si="374"/>
        <v>1</v>
      </c>
      <c r="N377" s="84"/>
      <c r="O377" s="84"/>
      <c r="P377" s="84"/>
      <c r="Q377" s="84"/>
      <c r="R377" s="84"/>
    </row>
    <row r="378" ht="15.75" customHeight="1">
      <c r="A378" s="129">
        <v>1.060252E7</v>
      </c>
      <c r="B378" s="106" t="s">
        <v>1528</v>
      </c>
      <c r="C378" s="59"/>
      <c r="D378" s="133"/>
      <c r="E378" s="170" t="s">
        <v>235</v>
      </c>
      <c r="F378" s="170" t="s">
        <v>235</v>
      </c>
      <c r="G378" s="134"/>
      <c r="H378" s="133"/>
      <c r="I378" s="99"/>
      <c r="K378" s="84"/>
      <c r="L378" s="99">
        <f t="shared" ref="L378:M378" si="375">COUNTIF(A378:A1614,A378)</f>
        <v>1</v>
      </c>
      <c r="M378" s="99">
        <f t="shared" si="375"/>
        <v>1</v>
      </c>
      <c r="N378" s="84"/>
      <c r="O378" s="84"/>
      <c r="P378" s="84"/>
      <c r="Q378" s="84"/>
      <c r="R378" s="84"/>
    </row>
    <row r="379" ht="15.75" customHeight="1">
      <c r="A379" s="129">
        <v>1.0602521E7</v>
      </c>
      <c r="B379" s="106" t="s">
        <v>1529</v>
      </c>
      <c r="C379" s="59"/>
      <c r="D379" s="133"/>
      <c r="E379" s="169"/>
      <c r="F379" s="169"/>
      <c r="G379" s="134"/>
      <c r="H379" s="133"/>
      <c r="I379" s="99"/>
      <c r="K379" s="84"/>
      <c r="L379" s="99">
        <f t="shared" ref="L379:M379" si="376">COUNTIF(A379:A1615,A379)</f>
        <v>1</v>
      </c>
      <c r="M379" s="99">
        <f t="shared" si="376"/>
        <v>1</v>
      </c>
      <c r="N379" s="84"/>
      <c r="O379" s="84"/>
      <c r="P379" s="84"/>
      <c r="Q379" s="84"/>
      <c r="R379" s="84"/>
    </row>
    <row r="380" ht="15.75" customHeight="1">
      <c r="A380" s="129">
        <v>1.0602522E7</v>
      </c>
      <c r="B380" s="106" t="s">
        <v>1530</v>
      </c>
      <c r="C380" s="59"/>
      <c r="D380" s="133"/>
      <c r="E380" s="169"/>
      <c r="F380" s="169"/>
      <c r="G380" s="134"/>
      <c r="H380" s="133"/>
      <c r="I380" s="99"/>
      <c r="K380" s="84"/>
      <c r="L380" s="99">
        <f t="shared" ref="L380:M380" si="377">COUNTIF(A380:A1616,A380)</f>
        <v>1</v>
      </c>
      <c r="M380" s="99">
        <f t="shared" si="377"/>
        <v>1</v>
      </c>
      <c r="N380" s="84"/>
      <c r="O380" s="84"/>
      <c r="P380" s="84"/>
      <c r="Q380" s="84"/>
      <c r="R380" s="84"/>
    </row>
    <row r="381" ht="15.75" customHeight="1">
      <c r="A381" s="129">
        <v>1.0602523E7</v>
      </c>
      <c r="B381" s="106" t="s">
        <v>1531</v>
      </c>
      <c r="C381" s="59"/>
      <c r="D381" s="133"/>
      <c r="E381" s="169"/>
      <c r="F381" s="169"/>
      <c r="G381" s="153" t="s">
        <v>1471</v>
      </c>
      <c r="H381" s="133"/>
      <c r="I381" s="99"/>
      <c r="K381" s="84"/>
      <c r="L381" s="99">
        <f t="shared" ref="L381:M381" si="378">COUNTIF(A381:A1617,A381)</f>
        <v>1</v>
      </c>
      <c r="M381" s="99">
        <f t="shared" si="378"/>
        <v>1</v>
      </c>
      <c r="N381" s="84"/>
      <c r="O381" s="84"/>
      <c r="P381" s="84"/>
      <c r="Q381" s="84"/>
      <c r="R381" s="84"/>
    </row>
    <row r="382" ht="15.75" customHeight="1">
      <c r="A382" s="129">
        <v>1.0602524E7</v>
      </c>
      <c r="B382" s="106" t="s">
        <v>1532</v>
      </c>
      <c r="C382" s="59"/>
      <c r="D382" s="133"/>
      <c r="E382" s="169"/>
      <c r="F382" s="169"/>
      <c r="G382" s="153" t="s">
        <v>1471</v>
      </c>
      <c r="H382" s="133"/>
      <c r="I382" s="99"/>
      <c r="K382" s="84"/>
      <c r="L382" s="99">
        <f t="shared" ref="L382:M382" si="379">COUNTIF(A382:A1618,A382)</f>
        <v>1</v>
      </c>
      <c r="M382" s="99">
        <f t="shared" si="379"/>
        <v>1</v>
      </c>
      <c r="N382" s="84"/>
      <c r="O382" s="84"/>
      <c r="P382" s="84"/>
      <c r="Q382" s="84"/>
      <c r="R382" s="84"/>
    </row>
    <row r="383" ht="15.75" customHeight="1">
      <c r="A383" s="129">
        <v>1.0602525E7</v>
      </c>
      <c r="B383" s="106" t="s">
        <v>1533</v>
      </c>
      <c r="C383" s="59"/>
      <c r="D383" s="133"/>
      <c r="E383" s="169"/>
      <c r="F383" s="169"/>
      <c r="G383" s="153" t="s">
        <v>1471</v>
      </c>
      <c r="H383" s="133"/>
      <c r="I383" s="99"/>
      <c r="K383" s="84"/>
      <c r="L383" s="99">
        <f t="shared" ref="L383:M383" si="380">COUNTIF(A383:A1619,A383)</f>
        <v>1</v>
      </c>
      <c r="M383" s="99">
        <f t="shared" si="380"/>
        <v>1</v>
      </c>
      <c r="N383" s="84"/>
      <c r="O383" s="84"/>
      <c r="P383" s="84"/>
      <c r="Q383" s="84"/>
      <c r="R383" s="84"/>
    </row>
    <row r="384" ht="15.75" customHeight="1">
      <c r="A384" s="129">
        <v>1.0602526E7</v>
      </c>
      <c r="B384" s="106" t="s">
        <v>1534</v>
      </c>
      <c r="C384" s="59"/>
      <c r="D384" s="133"/>
      <c r="E384" s="169"/>
      <c r="F384" s="169"/>
      <c r="G384" s="153" t="s">
        <v>1471</v>
      </c>
      <c r="H384" s="133"/>
      <c r="I384" s="99"/>
      <c r="K384" s="84"/>
      <c r="L384" s="99">
        <f t="shared" ref="L384:M384" si="381">COUNTIF(A384:A1620,A384)</f>
        <v>1</v>
      </c>
      <c r="M384" s="99">
        <f t="shared" si="381"/>
        <v>1</v>
      </c>
      <c r="N384" s="84"/>
      <c r="O384" s="84"/>
      <c r="P384" s="84"/>
      <c r="Q384" s="84"/>
      <c r="R384" s="84"/>
    </row>
    <row r="385" ht="15.75" customHeight="1">
      <c r="A385" s="129">
        <v>1.0602527E7</v>
      </c>
      <c r="B385" s="106" t="s">
        <v>1535</v>
      </c>
      <c r="C385" s="59"/>
      <c r="D385" s="133"/>
      <c r="E385" s="169"/>
      <c r="F385" s="169"/>
      <c r="G385" s="134"/>
      <c r="H385" s="133"/>
      <c r="I385" s="99"/>
      <c r="K385" s="84"/>
      <c r="L385" s="99">
        <f t="shared" ref="L385:M385" si="382">COUNTIF(A385:A1621,A385)</f>
        <v>1</v>
      </c>
      <c r="M385" s="99">
        <f t="shared" si="382"/>
        <v>1</v>
      </c>
      <c r="N385" s="84"/>
      <c r="O385" s="84"/>
      <c r="P385" s="84"/>
      <c r="Q385" s="84"/>
      <c r="R385" s="84"/>
    </row>
    <row r="386" ht="15.75" customHeight="1">
      <c r="A386" s="129">
        <v>1.0602528E7</v>
      </c>
      <c r="B386" s="106" t="s">
        <v>1536</v>
      </c>
      <c r="C386" s="59"/>
      <c r="D386" s="133"/>
      <c r="E386" s="169"/>
      <c r="F386" s="169"/>
      <c r="G386" s="134"/>
      <c r="H386" s="133"/>
      <c r="I386" s="99"/>
      <c r="K386" s="84"/>
      <c r="L386" s="99">
        <f t="shared" ref="L386:M386" si="383">COUNTIF(A386:A1622,A386)</f>
        <v>1</v>
      </c>
      <c r="M386" s="99">
        <f t="shared" si="383"/>
        <v>1</v>
      </c>
      <c r="N386" s="84"/>
      <c r="O386" s="84"/>
      <c r="P386" s="84"/>
      <c r="Q386" s="84"/>
      <c r="R386" s="84"/>
    </row>
    <row r="387" ht="15.75" customHeight="1">
      <c r="A387" s="129">
        <v>1.0602529E7</v>
      </c>
      <c r="B387" s="106" t="s">
        <v>1537</v>
      </c>
      <c r="C387" s="73"/>
      <c r="D387" s="133"/>
      <c r="E387" s="171" t="s">
        <v>235</v>
      </c>
      <c r="F387" s="171" t="s">
        <v>235</v>
      </c>
      <c r="G387" s="134"/>
      <c r="H387" s="133"/>
      <c r="I387" s="99"/>
      <c r="K387" s="84"/>
      <c r="L387" s="99">
        <f t="shared" ref="L387:M387" si="384">COUNTIF(A387:A1623,A387)</f>
        <v>1</v>
      </c>
      <c r="M387" s="99">
        <f t="shared" si="384"/>
        <v>1</v>
      </c>
      <c r="N387" s="84"/>
      <c r="O387" s="84"/>
      <c r="P387" s="84"/>
      <c r="Q387" s="84"/>
      <c r="R387" s="84"/>
    </row>
    <row r="388" ht="15.75" customHeight="1">
      <c r="A388" s="129"/>
      <c r="B388" s="106"/>
      <c r="C388" s="106"/>
      <c r="D388" s="133"/>
      <c r="E388" s="171"/>
      <c r="F388" s="171"/>
      <c r="G388" s="134"/>
      <c r="H388" s="133"/>
      <c r="I388" s="99"/>
      <c r="K388" s="84"/>
      <c r="L388" s="99">
        <f t="shared" ref="L388:M388" si="385">COUNTIF(A388:A1624,A388)</f>
        <v>0</v>
      </c>
      <c r="M388" s="99">
        <f t="shared" si="385"/>
        <v>0</v>
      </c>
      <c r="N388" s="84"/>
      <c r="O388" s="84"/>
      <c r="P388" s="84"/>
      <c r="Q388" s="84"/>
      <c r="R388" s="84"/>
    </row>
    <row r="389" ht="15.75" customHeight="1">
      <c r="A389" s="129">
        <v>1.1440001E7</v>
      </c>
      <c r="B389" s="153" t="s">
        <v>1538</v>
      </c>
      <c r="C389" s="130" t="s">
        <v>323</v>
      </c>
      <c r="D389" s="133"/>
      <c r="E389" s="169"/>
      <c r="F389" s="169"/>
      <c r="G389" s="106" t="s">
        <v>231</v>
      </c>
      <c r="H389" s="147" t="s">
        <v>1213</v>
      </c>
      <c r="I389" s="99"/>
      <c r="K389" s="84"/>
      <c r="L389" s="99">
        <f t="shared" ref="L389:M389" si="386">COUNTIF(A389:A1625,A389)</f>
        <v>1</v>
      </c>
      <c r="M389" s="99">
        <f t="shared" si="386"/>
        <v>1</v>
      </c>
      <c r="N389" s="84"/>
      <c r="O389" s="84"/>
      <c r="P389" s="84"/>
      <c r="Q389" s="84"/>
      <c r="R389" s="84"/>
    </row>
    <row r="390" ht="15.75" customHeight="1">
      <c r="A390" s="129">
        <v>1.1440002E7</v>
      </c>
      <c r="B390" s="153" t="s">
        <v>1539</v>
      </c>
      <c r="C390" s="59"/>
      <c r="D390" s="133"/>
      <c r="E390" s="169"/>
      <c r="F390" s="169"/>
      <c r="G390" s="106" t="s">
        <v>231</v>
      </c>
      <c r="H390" s="147" t="s">
        <v>1213</v>
      </c>
      <c r="I390" s="99"/>
      <c r="K390" s="84"/>
      <c r="L390" s="99">
        <f t="shared" ref="L390:M390" si="387">COUNTIF(A390:A1626,A390)</f>
        <v>1</v>
      </c>
      <c r="M390" s="99">
        <f t="shared" si="387"/>
        <v>1</v>
      </c>
      <c r="N390" s="84"/>
      <c r="O390" s="84"/>
      <c r="P390" s="84"/>
      <c r="Q390" s="84"/>
      <c r="R390" s="84"/>
    </row>
    <row r="391" ht="15.75" customHeight="1">
      <c r="A391" s="129">
        <v>1.1440003E7</v>
      </c>
      <c r="B391" s="106" t="s">
        <v>1540</v>
      </c>
      <c r="C391" s="59"/>
      <c r="D391" s="134"/>
      <c r="E391" s="172"/>
      <c r="F391" s="172"/>
      <c r="G391" s="106" t="s">
        <v>231</v>
      </c>
      <c r="H391" s="150" t="s">
        <v>1225</v>
      </c>
      <c r="I391" s="99"/>
      <c r="K391" s="84"/>
      <c r="L391" s="99">
        <f t="shared" ref="L391:M391" si="388">COUNTIF(A391:A1627,A391)</f>
        <v>1</v>
      </c>
      <c r="M391" s="99">
        <f t="shared" si="388"/>
        <v>1</v>
      </c>
      <c r="N391" s="84"/>
      <c r="O391" s="84"/>
      <c r="P391" s="84"/>
      <c r="Q391" s="84"/>
      <c r="R391" s="84"/>
    </row>
    <row r="392" ht="15.75" customHeight="1">
      <c r="A392" s="129">
        <v>1.1440004E7</v>
      </c>
      <c r="B392" s="106" t="s">
        <v>1541</v>
      </c>
      <c r="C392" s="59"/>
      <c r="D392" s="133"/>
      <c r="E392" s="169"/>
      <c r="F392" s="169"/>
      <c r="G392" s="106" t="s">
        <v>231</v>
      </c>
      <c r="H392" s="147" t="s">
        <v>1213</v>
      </c>
      <c r="I392" s="99"/>
      <c r="K392" s="84"/>
      <c r="L392" s="99">
        <f t="shared" ref="L392:M392" si="389">COUNTIF(A392:A1628,A392)</f>
        <v>1</v>
      </c>
      <c r="M392" s="99">
        <f t="shared" si="389"/>
        <v>1</v>
      </c>
      <c r="N392" s="84"/>
      <c r="O392" s="84"/>
      <c r="P392" s="84"/>
      <c r="Q392" s="84"/>
      <c r="R392" s="84"/>
    </row>
    <row r="393" ht="15.75" customHeight="1">
      <c r="A393" s="129">
        <v>1.1440011E7</v>
      </c>
      <c r="B393" s="106" t="s">
        <v>1542</v>
      </c>
      <c r="C393" s="59"/>
      <c r="D393" s="133"/>
      <c r="E393" s="169"/>
      <c r="F393" s="169"/>
      <c r="G393" s="106"/>
      <c r="H393" s="147"/>
      <c r="I393" s="99"/>
      <c r="K393" s="84"/>
      <c r="L393" s="99">
        <f t="shared" ref="L393:M393" si="390">COUNTIF(A393:A1629,A393)</f>
        <v>1</v>
      </c>
      <c r="M393" s="99">
        <f t="shared" si="390"/>
        <v>1</v>
      </c>
      <c r="N393" s="84"/>
      <c r="O393" s="84"/>
      <c r="P393" s="84"/>
      <c r="Q393" s="84"/>
      <c r="R393" s="84"/>
    </row>
    <row r="394" ht="15.75" customHeight="1">
      <c r="A394" s="129">
        <v>1.1440012E7</v>
      </c>
      <c r="B394" s="106" t="s">
        <v>1543</v>
      </c>
      <c r="C394" s="59"/>
      <c r="D394" s="133"/>
      <c r="E394" s="169"/>
      <c r="F394" s="169"/>
      <c r="G394" s="106"/>
      <c r="H394" s="147"/>
      <c r="I394" s="99"/>
      <c r="K394" s="84"/>
      <c r="L394" s="99">
        <f t="shared" ref="L394:M394" si="391">COUNTIF(A394:A1630,A394)</f>
        <v>1</v>
      </c>
      <c r="M394" s="99">
        <f t="shared" si="391"/>
        <v>1</v>
      </c>
      <c r="N394" s="84"/>
      <c r="O394" s="84"/>
      <c r="P394" s="84"/>
      <c r="Q394" s="84"/>
      <c r="R394" s="84"/>
    </row>
    <row r="395" ht="15.75" customHeight="1">
      <c r="A395" s="129">
        <v>1.1440013E7</v>
      </c>
      <c r="B395" s="106" t="s">
        <v>1544</v>
      </c>
      <c r="C395" s="59"/>
      <c r="D395" s="133"/>
      <c r="E395" s="169"/>
      <c r="F395" s="169"/>
      <c r="G395" s="106"/>
      <c r="H395" s="147"/>
      <c r="I395" s="99"/>
      <c r="K395" s="84"/>
      <c r="L395" s="99">
        <f t="shared" ref="L395:M395" si="392">COUNTIF(A395:A1631,A395)</f>
        <v>1</v>
      </c>
      <c r="M395" s="99">
        <f t="shared" si="392"/>
        <v>1</v>
      </c>
      <c r="N395" s="84"/>
      <c r="O395" s="84"/>
      <c r="P395" s="84"/>
      <c r="Q395" s="84"/>
      <c r="R395" s="84"/>
    </row>
    <row r="396" ht="15.75" customHeight="1">
      <c r="A396" s="129">
        <v>1.1440014E7</v>
      </c>
      <c r="B396" s="106" t="s">
        <v>1545</v>
      </c>
      <c r="C396" s="59"/>
      <c r="D396" s="133"/>
      <c r="E396" s="169"/>
      <c r="F396" s="169"/>
      <c r="G396" s="106"/>
      <c r="H396" s="147"/>
      <c r="I396" s="99"/>
      <c r="K396" s="84"/>
      <c r="L396" s="99">
        <f t="shared" ref="L396:M396" si="393">COUNTIF(A396:A1632,A396)</f>
        <v>1</v>
      </c>
      <c r="M396" s="99">
        <f t="shared" si="393"/>
        <v>1</v>
      </c>
      <c r="N396" s="84"/>
      <c r="O396" s="84"/>
      <c r="P396" s="84"/>
      <c r="Q396" s="84"/>
      <c r="R396" s="84"/>
    </row>
    <row r="397" ht="15.75" customHeight="1">
      <c r="A397" s="129">
        <v>1.1440021E7</v>
      </c>
      <c r="B397" s="106" t="s">
        <v>1546</v>
      </c>
      <c r="C397" s="59"/>
      <c r="D397" s="133"/>
      <c r="E397" s="169"/>
      <c r="F397" s="169"/>
      <c r="G397" s="106"/>
      <c r="H397" s="147"/>
      <c r="I397" s="99"/>
      <c r="K397" s="84"/>
      <c r="L397" s="99">
        <f t="shared" ref="L397:M397" si="394">COUNTIF(A397:A1633,A397)</f>
        <v>1</v>
      </c>
      <c r="M397" s="99">
        <f t="shared" si="394"/>
        <v>1</v>
      </c>
      <c r="N397" s="84"/>
      <c r="O397" s="84"/>
      <c r="P397" s="84"/>
      <c r="Q397" s="84"/>
      <c r="R397" s="84"/>
    </row>
    <row r="398" ht="15.75" customHeight="1">
      <c r="A398" s="129">
        <v>1.1440022E7</v>
      </c>
      <c r="B398" s="106" t="s">
        <v>1547</v>
      </c>
      <c r="C398" s="59"/>
      <c r="D398" s="133"/>
      <c r="E398" s="169"/>
      <c r="F398" s="169"/>
      <c r="G398" s="106"/>
      <c r="H398" s="147"/>
      <c r="I398" s="99"/>
      <c r="K398" s="84"/>
      <c r="L398" s="99">
        <f t="shared" ref="L398:M398" si="395">COUNTIF(A398:A1634,A398)</f>
        <v>1</v>
      </c>
      <c r="M398" s="99">
        <f t="shared" si="395"/>
        <v>1</v>
      </c>
      <c r="N398" s="84"/>
      <c r="O398" s="84"/>
      <c r="P398" s="84"/>
      <c r="Q398" s="84"/>
      <c r="R398" s="84"/>
    </row>
    <row r="399" ht="15.75" customHeight="1">
      <c r="A399" s="129">
        <v>1.1440023E7</v>
      </c>
      <c r="B399" s="106" t="s">
        <v>1548</v>
      </c>
      <c r="C399" s="59"/>
      <c r="D399" s="133"/>
      <c r="E399" s="169"/>
      <c r="F399" s="169"/>
      <c r="G399" s="106"/>
      <c r="H399" s="147"/>
      <c r="I399" s="99"/>
      <c r="K399" s="84"/>
      <c r="L399" s="99">
        <f t="shared" ref="L399:M399" si="396">COUNTIF(A399:A1635,A399)</f>
        <v>1</v>
      </c>
      <c r="M399" s="99">
        <f t="shared" si="396"/>
        <v>1</v>
      </c>
      <c r="N399" s="84"/>
      <c r="O399" s="84"/>
      <c r="P399" s="84"/>
      <c r="Q399" s="84"/>
      <c r="R399" s="84"/>
    </row>
    <row r="400" ht="15.75" customHeight="1">
      <c r="A400" s="129">
        <v>1.1440024E7</v>
      </c>
      <c r="B400" s="106" t="s">
        <v>1549</v>
      </c>
      <c r="C400" s="73"/>
      <c r="D400" s="133"/>
      <c r="E400" s="169"/>
      <c r="F400" s="169"/>
      <c r="G400" s="106"/>
      <c r="H400" s="147"/>
      <c r="I400" s="99"/>
      <c r="K400" s="84"/>
      <c r="L400" s="99">
        <f t="shared" ref="L400:M400" si="397">COUNTIF(A400:A1636,A400)</f>
        <v>1</v>
      </c>
      <c r="M400" s="99">
        <f t="shared" si="397"/>
        <v>1</v>
      </c>
      <c r="N400" s="84"/>
      <c r="O400" s="84"/>
      <c r="P400" s="84"/>
      <c r="Q400" s="84"/>
      <c r="R400" s="84"/>
    </row>
    <row r="401" ht="15.75" customHeight="1">
      <c r="A401" s="129">
        <v>1.1610001E7</v>
      </c>
      <c r="B401" s="153" t="s">
        <v>1550</v>
      </c>
      <c r="C401" s="130" t="s">
        <v>337</v>
      </c>
      <c r="D401" s="133"/>
      <c r="E401" s="173"/>
      <c r="F401" s="173"/>
      <c r="G401" s="153" t="s">
        <v>340</v>
      </c>
      <c r="H401" s="133"/>
      <c r="I401" s="99"/>
      <c r="K401" s="84"/>
      <c r="L401" s="99">
        <f t="shared" ref="L401:M401" si="398">COUNTIF(A401:A1637,A401)</f>
        <v>1</v>
      </c>
      <c r="M401" s="99">
        <f t="shared" si="398"/>
        <v>1</v>
      </c>
      <c r="N401" s="84"/>
      <c r="O401" s="84"/>
      <c r="P401" s="84"/>
      <c r="Q401" s="84"/>
      <c r="R401" s="84"/>
    </row>
    <row r="402" ht="15.75" customHeight="1">
      <c r="A402" s="129">
        <v>1.1610002E7</v>
      </c>
      <c r="B402" s="153" t="s">
        <v>1551</v>
      </c>
      <c r="C402" s="59"/>
      <c r="D402" s="133"/>
      <c r="E402" s="173"/>
      <c r="F402" s="173"/>
      <c r="G402" s="153" t="s">
        <v>340</v>
      </c>
      <c r="H402" s="133"/>
      <c r="I402" s="99"/>
      <c r="K402" s="84"/>
      <c r="L402" s="99">
        <f t="shared" ref="L402:M402" si="399">COUNTIF(A402:A1638,A402)</f>
        <v>1</v>
      </c>
      <c r="M402" s="99">
        <f t="shared" si="399"/>
        <v>1</v>
      </c>
      <c r="N402" s="84"/>
      <c r="O402" s="84"/>
      <c r="P402" s="84"/>
      <c r="Q402" s="84"/>
      <c r="R402" s="84"/>
    </row>
    <row r="403" ht="15.75" customHeight="1">
      <c r="A403" s="129">
        <v>1.1610003E7</v>
      </c>
      <c r="B403" s="153" t="s">
        <v>1552</v>
      </c>
      <c r="C403" s="59"/>
      <c r="D403" s="159"/>
      <c r="E403" s="174"/>
      <c r="F403" s="174"/>
      <c r="G403" s="106" t="s">
        <v>340</v>
      </c>
      <c r="H403" s="133"/>
      <c r="I403" s="99"/>
      <c r="K403" s="84"/>
      <c r="L403" s="99">
        <f t="shared" ref="L403:M403" si="400">COUNTIF(A403:A1639,A403)</f>
        <v>1</v>
      </c>
      <c r="M403" s="99">
        <f t="shared" si="400"/>
        <v>1</v>
      </c>
      <c r="N403" s="84"/>
      <c r="O403" s="84"/>
      <c r="P403" s="84"/>
      <c r="Q403" s="84"/>
      <c r="R403" s="84"/>
    </row>
    <row r="404" ht="15.75" customHeight="1">
      <c r="A404" s="129">
        <v>1.1610004E7</v>
      </c>
      <c r="B404" s="153" t="s">
        <v>1553</v>
      </c>
      <c r="C404" s="59"/>
      <c r="D404" s="159"/>
      <c r="E404" s="174"/>
      <c r="F404" s="174"/>
      <c r="G404" s="106" t="s">
        <v>340</v>
      </c>
      <c r="H404" s="133"/>
      <c r="I404" s="99"/>
      <c r="K404" s="84"/>
      <c r="L404" s="99">
        <f t="shared" ref="L404:M404" si="401">COUNTIF(A404:A1640,A404)</f>
        <v>1</v>
      </c>
      <c r="M404" s="99">
        <f t="shared" si="401"/>
        <v>1</v>
      </c>
      <c r="N404" s="84"/>
      <c r="O404" s="84"/>
      <c r="P404" s="84"/>
      <c r="Q404" s="84"/>
      <c r="R404" s="84"/>
    </row>
    <row r="405" ht="15.75" customHeight="1">
      <c r="A405" s="129">
        <v>1.1610005E7</v>
      </c>
      <c r="B405" s="153" t="s">
        <v>1554</v>
      </c>
      <c r="C405" s="59"/>
      <c r="D405" s="159"/>
      <c r="E405" s="174"/>
      <c r="F405" s="174"/>
      <c r="G405" s="106" t="s">
        <v>340</v>
      </c>
      <c r="H405" s="133"/>
      <c r="I405" s="99"/>
      <c r="K405" s="84"/>
      <c r="L405" s="99">
        <f t="shared" ref="L405:M405" si="402">COUNTIF(A405:A1641,A405)</f>
        <v>1</v>
      </c>
      <c r="M405" s="99">
        <f t="shared" si="402"/>
        <v>1</v>
      </c>
      <c r="N405" s="84"/>
      <c r="O405" s="84"/>
      <c r="P405" s="84"/>
      <c r="Q405" s="84"/>
      <c r="R405" s="84"/>
    </row>
    <row r="406" ht="15.75" customHeight="1">
      <c r="A406" s="129">
        <v>1.1610006E7</v>
      </c>
      <c r="B406" s="153" t="s">
        <v>1555</v>
      </c>
      <c r="C406" s="59"/>
      <c r="D406" s="159"/>
      <c r="E406" s="174"/>
      <c r="F406" s="174"/>
      <c r="G406" s="106" t="s">
        <v>340</v>
      </c>
      <c r="H406" s="133"/>
      <c r="I406" s="99"/>
      <c r="K406" s="84"/>
      <c r="L406" s="99">
        <f t="shared" ref="L406:M406" si="403">COUNTIF(A406:A1642,A406)</f>
        <v>1</v>
      </c>
      <c r="M406" s="99">
        <f t="shared" si="403"/>
        <v>1</v>
      </c>
      <c r="N406" s="84"/>
      <c r="O406" s="84"/>
      <c r="P406" s="84"/>
      <c r="Q406" s="84"/>
      <c r="R406" s="84"/>
    </row>
    <row r="407" ht="15.75" customHeight="1">
      <c r="A407" s="129">
        <v>1.1610011E7</v>
      </c>
      <c r="B407" s="153" t="s">
        <v>1556</v>
      </c>
      <c r="C407" s="59"/>
      <c r="D407" s="159"/>
      <c r="E407" s="174"/>
      <c r="F407" s="174"/>
      <c r="G407" s="153" t="s">
        <v>340</v>
      </c>
      <c r="H407" s="133"/>
      <c r="I407" s="99"/>
      <c r="K407" s="84"/>
      <c r="L407" s="99">
        <f t="shared" ref="L407:M407" si="404">COUNTIF(A407:A1643,A407)</f>
        <v>1</v>
      </c>
      <c r="M407" s="99">
        <f t="shared" si="404"/>
        <v>1</v>
      </c>
      <c r="N407" s="84"/>
      <c r="O407" s="84"/>
      <c r="P407" s="84"/>
      <c r="Q407" s="84"/>
      <c r="R407" s="84"/>
    </row>
    <row r="408" ht="15.75" customHeight="1">
      <c r="A408" s="129">
        <v>1.1610012E7</v>
      </c>
      <c r="B408" s="153" t="s">
        <v>1557</v>
      </c>
      <c r="C408" s="59"/>
      <c r="D408" s="159"/>
      <c r="E408" s="174"/>
      <c r="F408" s="174"/>
      <c r="G408" s="153" t="s">
        <v>340</v>
      </c>
      <c r="H408" s="133"/>
      <c r="I408" s="99"/>
      <c r="K408" s="84"/>
      <c r="L408" s="99">
        <f t="shared" ref="L408:M408" si="405">COUNTIF(A408:A1644,A408)</f>
        <v>1</v>
      </c>
      <c r="M408" s="99">
        <f t="shared" si="405"/>
        <v>1</v>
      </c>
      <c r="N408" s="84"/>
      <c r="O408" s="84"/>
      <c r="P408" s="84"/>
      <c r="Q408" s="84"/>
      <c r="R408" s="84"/>
    </row>
    <row r="409" ht="15.75" customHeight="1">
      <c r="A409" s="129">
        <v>1.1610013E7</v>
      </c>
      <c r="B409" s="153" t="s">
        <v>1558</v>
      </c>
      <c r="C409" s="59"/>
      <c r="D409" s="159"/>
      <c r="E409" s="174"/>
      <c r="F409" s="174"/>
      <c r="G409" s="106" t="s">
        <v>340</v>
      </c>
      <c r="H409" s="133"/>
      <c r="I409" s="99"/>
      <c r="K409" s="84"/>
      <c r="L409" s="99">
        <f t="shared" ref="L409:M409" si="406">COUNTIF(A409:A1645,A409)</f>
        <v>1</v>
      </c>
      <c r="M409" s="99">
        <f t="shared" si="406"/>
        <v>1</v>
      </c>
      <c r="N409" s="84"/>
      <c r="O409" s="84"/>
      <c r="P409" s="84"/>
      <c r="Q409" s="84"/>
      <c r="R409" s="84"/>
    </row>
    <row r="410" ht="15.75" customHeight="1">
      <c r="A410" s="129">
        <v>1.1610014E7</v>
      </c>
      <c r="B410" s="153" t="s">
        <v>1559</v>
      </c>
      <c r="C410" s="59"/>
      <c r="D410" s="159"/>
      <c r="E410" s="174"/>
      <c r="F410" s="174"/>
      <c r="G410" s="106" t="s">
        <v>340</v>
      </c>
      <c r="H410" s="133"/>
      <c r="I410" s="99"/>
      <c r="K410" s="84"/>
      <c r="L410" s="99">
        <f t="shared" ref="L410:M410" si="407">COUNTIF(A410:A1646,A410)</f>
        <v>1</v>
      </c>
      <c r="M410" s="99">
        <f t="shared" si="407"/>
        <v>1</v>
      </c>
      <c r="N410" s="84"/>
      <c r="O410" s="84"/>
      <c r="P410" s="84"/>
      <c r="Q410" s="84"/>
      <c r="R410" s="84"/>
    </row>
    <row r="411" ht="15.75" customHeight="1">
      <c r="A411" s="129">
        <v>1.1610015E7</v>
      </c>
      <c r="B411" s="153" t="s">
        <v>1560</v>
      </c>
      <c r="C411" s="59"/>
      <c r="D411" s="159"/>
      <c r="E411" s="174"/>
      <c r="F411" s="174"/>
      <c r="G411" s="106" t="s">
        <v>340</v>
      </c>
      <c r="H411" s="133"/>
      <c r="I411" s="99"/>
      <c r="K411" s="84"/>
      <c r="L411" s="99">
        <f t="shared" ref="L411:M411" si="408">COUNTIF(A411:A1647,A411)</f>
        <v>1</v>
      </c>
      <c r="M411" s="99">
        <f t="shared" si="408"/>
        <v>1</v>
      </c>
      <c r="N411" s="84"/>
      <c r="O411" s="84"/>
      <c r="P411" s="84"/>
      <c r="Q411" s="84"/>
      <c r="R411" s="84"/>
    </row>
    <row r="412" ht="15.75" customHeight="1">
      <c r="A412" s="129">
        <v>1.1610016E7</v>
      </c>
      <c r="B412" s="153" t="s">
        <v>1561</v>
      </c>
      <c r="C412" s="59"/>
      <c r="D412" s="159"/>
      <c r="E412" s="174"/>
      <c r="F412" s="174"/>
      <c r="G412" s="106" t="s">
        <v>340</v>
      </c>
      <c r="H412" s="133"/>
      <c r="I412" s="99"/>
      <c r="K412" s="84"/>
      <c r="L412" s="99">
        <f t="shared" ref="L412:M412" si="409">COUNTIF(A412:A1648,A412)</f>
        <v>1</v>
      </c>
      <c r="M412" s="99">
        <f t="shared" si="409"/>
        <v>1</v>
      </c>
      <c r="N412" s="84"/>
      <c r="O412" s="84"/>
      <c r="P412" s="84"/>
      <c r="Q412" s="84"/>
      <c r="R412" s="84"/>
    </row>
    <row r="413" ht="15.75" customHeight="1">
      <c r="A413" s="129">
        <v>1.1610021E7</v>
      </c>
      <c r="B413" s="153" t="s">
        <v>1562</v>
      </c>
      <c r="C413" s="59"/>
      <c r="D413" s="159"/>
      <c r="E413" s="174"/>
      <c r="F413" s="174"/>
      <c r="G413" s="153" t="s">
        <v>340</v>
      </c>
      <c r="H413" s="133"/>
      <c r="I413" s="99"/>
      <c r="K413" s="84"/>
      <c r="L413" s="99">
        <f t="shared" ref="L413:M413" si="410">COUNTIF(A413:A1649,A413)</f>
        <v>1</v>
      </c>
      <c r="M413" s="99">
        <f t="shared" si="410"/>
        <v>1</v>
      </c>
      <c r="N413" s="84"/>
      <c r="O413" s="84"/>
      <c r="P413" s="84"/>
      <c r="Q413" s="84"/>
      <c r="R413" s="84"/>
    </row>
    <row r="414" ht="15.75" customHeight="1">
      <c r="A414" s="129">
        <v>1.1610022E7</v>
      </c>
      <c r="B414" s="153" t="s">
        <v>1563</v>
      </c>
      <c r="C414" s="59"/>
      <c r="D414" s="159"/>
      <c r="E414" s="174"/>
      <c r="F414" s="174"/>
      <c r="G414" s="153" t="s">
        <v>340</v>
      </c>
      <c r="H414" s="133"/>
      <c r="I414" s="99"/>
      <c r="K414" s="84"/>
      <c r="L414" s="99">
        <f t="shared" ref="L414:M414" si="411">COUNTIF(A414:A1650,A414)</f>
        <v>1</v>
      </c>
      <c r="M414" s="99">
        <f t="shared" si="411"/>
        <v>1</v>
      </c>
      <c r="N414" s="84"/>
      <c r="O414" s="84"/>
      <c r="P414" s="84"/>
      <c r="Q414" s="84"/>
      <c r="R414" s="84"/>
    </row>
    <row r="415" ht="15.75" customHeight="1">
      <c r="A415" s="129">
        <v>1.1610023E7</v>
      </c>
      <c r="B415" s="153" t="s">
        <v>1564</v>
      </c>
      <c r="C415" s="59"/>
      <c r="D415" s="159"/>
      <c r="E415" s="174"/>
      <c r="F415" s="174"/>
      <c r="G415" s="106" t="s">
        <v>340</v>
      </c>
      <c r="H415" s="133"/>
      <c r="I415" s="99"/>
      <c r="K415" s="84"/>
      <c r="L415" s="99">
        <f t="shared" ref="L415:M415" si="412">COUNTIF(A415:A1651,A415)</f>
        <v>1</v>
      </c>
      <c r="M415" s="99">
        <f t="shared" si="412"/>
        <v>1</v>
      </c>
      <c r="N415" s="84"/>
      <c r="O415" s="84"/>
      <c r="P415" s="84"/>
      <c r="Q415" s="84"/>
      <c r="R415" s="84"/>
    </row>
    <row r="416" ht="15.75" customHeight="1">
      <c r="A416" s="129">
        <v>1.1610024E7</v>
      </c>
      <c r="B416" s="153" t="s">
        <v>1565</v>
      </c>
      <c r="C416" s="59"/>
      <c r="D416" s="159"/>
      <c r="E416" s="174"/>
      <c r="F416" s="174"/>
      <c r="G416" s="106" t="s">
        <v>340</v>
      </c>
      <c r="H416" s="133"/>
      <c r="I416" s="99"/>
      <c r="K416" s="84"/>
      <c r="L416" s="99">
        <f t="shared" ref="L416:M416" si="413">COUNTIF(A416:A1652,A416)</f>
        <v>1</v>
      </c>
      <c r="M416" s="99">
        <f t="shared" si="413"/>
        <v>1</v>
      </c>
      <c r="N416" s="84"/>
      <c r="O416" s="84"/>
      <c r="P416" s="84"/>
      <c r="Q416" s="84"/>
      <c r="R416" s="84"/>
    </row>
    <row r="417" ht="15.75" customHeight="1">
      <c r="A417" s="129">
        <v>1.1610025E7</v>
      </c>
      <c r="B417" s="153" t="s">
        <v>1566</v>
      </c>
      <c r="C417" s="59"/>
      <c r="D417" s="159"/>
      <c r="E417" s="174"/>
      <c r="F417" s="174"/>
      <c r="G417" s="106" t="s">
        <v>340</v>
      </c>
      <c r="H417" s="133"/>
      <c r="I417" s="99"/>
      <c r="K417" s="84"/>
      <c r="L417" s="99">
        <f t="shared" ref="L417:M417" si="414">COUNTIF(A417:A1653,A417)</f>
        <v>1</v>
      </c>
      <c r="M417" s="99">
        <f t="shared" si="414"/>
        <v>1</v>
      </c>
      <c r="N417" s="84"/>
      <c r="O417" s="84"/>
      <c r="P417" s="84"/>
      <c r="Q417" s="84"/>
      <c r="R417" s="84"/>
    </row>
    <row r="418" ht="15.75" customHeight="1">
      <c r="A418" s="129">
        <v>1.1610026E7</v>
      </c>
      <c r="B418" s="153" t="s">
        <v>1567</v>
      </c>
      <c r="C418" s="73"/>
      <c r="D418" s="159"/>
      <c r="E418" s="174"/>
      <c r="F418" s="174"/>
      <c r="G418" s="106" t="s">
        <v>340</v>
      </c>
      <c r="H418" s="133"/>
      <c r="I418" s="99"/>
      <c r="K418" s="84"/>
      <c r="L418" s="99">
        <f t="shared" ref="L418:M418" si="415">COUNTIF(A418:A1654,A418)</f>
        <v>1</v>
      </c>
      <c r="M418" s="99">
        <f t="shared" si="415"/>
        <v>1</v>
      </c>
      <c r="N418" s="84"/>
      <c r="O418" s="84"/>
      <c r="P418" s="84"/>
      <c r="Q418" s="84"/>
      <c r="R418" s="84"/>
    </row>
    <row r="419" ht="15.75" customHeight="1">
      <c r="A419" s="129">
        <v>1.0032001E7</v>
      </c>
      <c r="B419" s="153" t="s">
        <v>1568</v>
      </c>
      <c r="C419" s="130" t="s">
        <v>358</v>
      </c>
      <c r="D419" s="159"/>
      <c r="E419" s="156" t="s">
        <v>256</v>
      </c>
      <c r="F419" s="156" t="s">
        <v>256</v>
      </c>
      <c r="G419" s="134"/>
      <c r="H419" s="133"/>
      <c r="I419" s="99"/>
      <c r="K419" s="84"/>
      <c r="L419" s="99">
        <f t="shared" ref="L419:M419" si="416">COUNTIF(A419:A1655,A419)</f>
        <v>1</v>
      </c>
      <c r="M419" s="99">
        <f t="shared" si="416"/>
        <v>1</v>
      </c>
      <c r="N419" s="84"/>
      <c r="O419" s="84"/>
      <c r="P419" s="84"/>
      <c r="Q419" s="84"/>
      <c r="R419" s="84"/>
    </row>
    <row r="420" ht="15.75" customHeight="1">
      <c r="A420" s="129">
        <v>1.0032002E7</v>
      </c>
      <c r="B420" s="153" t="s">
        <v>1569</v>
      </c>
      <c r="C420" s="59"/>
      <c r="D420" s="159"/>
      <c r="E420" s="156" t="s">
        <v>256</v>
      </c>
      <c r="F420" s="156" t="s">
        <v>256</v>
      </c>
      <c r="G420" s="134"/>
      <c r="H420" s="133"/>
      <c r="I420" s="99"/>
      <c r="K420" s="84"/>
      <c r="L420" s="99">
        <f t="shared" ref="L420:M420" si="417">COUNTIF(A420:A1656,A420)</f>
        <v>1</v>
      </c>
      <c r="M420" s="99">
        <f t="shared" si="417"/>
        <v>1</v>
      </c>
      <c r="N420" s="84"/>
      <c r="O420" s="84"/>
      <c r="P420" s="84"/>
      <c r="Q420" s="84"/>
      <c r="R420" s="84"/>
    </row>
    <row r="421" ht="15.75" customHeight="1">
      <c r="A421" s="129">
        <v>1.0032003E7</v>
      </c>
      <c r="B421" s="153" t="s">
        <v>1570</v>
      </c>
      <c r="C421" s="59"/>
      <c r="D421" s="159"/>
      <c r="E421" s="156" t="s">
        <v>259</v>
      </c>
      <c r="F421" s="156" t="s">
        <v>259</v>
      </c>
      <c r="G421" s="134"/>
      <c r="H421" s="133"/>
      <c r="I421" s="99"/>
      <c r="L421" s="99">
        <f t="shared" ref="L421:M421" si="418">COUNTIF(A421:A1657,A421)</f>
        <v>1</v>
      </c>
      <c r="M421" s="99">
        <f t="shared" si="418"/>
        <v>1</v>
      </c>
    </row>
    <row r="422" ht="15.75" customHeight="1">
      <c r="A422" s="129">
        <v>1.0032004E7</v>
      </c>
      <c r="B422" s="153" t="s">
        <v>1571</v>
      </c>
      <c r="C422" s="59"/>
      <c r="D422" s="159"/>
      <c r="E422" s="156" t="s">
        <v>259</v>
      </c>
      <c r="F422" s="156" t="s">
        <v>259</v>
      </c>
      <c r="G422" s="134"/>
      <c r="H422" s="133"/>
      <c r="I422" s="99"/>
      <c r="L422" s="99">
        <f t="shared" ref="L422:M422" si="419">COUNTIF(A422:A1658,A422)</f>
        <v>1</v>
      </c>
      <c r="M422" s="99">
        <f t="shared" si="419"/>
        <v>1</v>
      </c>
    </row>
    <row r="423" ht="15.75" customHeight="1">
      <c r="A423" s="129">
        <v>1.0032005E7</v>
      </c>
      <c r="B423" s="153" t="s">
        <v>1572</v>
      </c>
      <c r="C423" s="59"/>
      <c r="D423" s="159"/>
      <c r="E423" s="156" t="s">
        <v>262</v>
      </c>
      <c r="F423" s="156" t="s">
        <v>262</v>
      </c>
      <c r="G423" s="134"/>
      <c r="H423" s="133"/>
      <c r="I423" s="99"/>
      <c r="L423" s="99">
        <f t="shared" ref="L423:M423" si="420">COUNTIF(A423:A1659,A423)</f>
        <v>1</v>
      </c>
      <c r="M423" s="99">
        <f t="shared" si="420"/>
        <v>1</v>
      </c>
    </row>
    <row r="424" ht="15.75" customHeight="1">
      <c r="A424" s="129">
        <v>1.0032006E7</v>
      </c>
      <c r="B424" s="153" t="s">
        <v>1573</v>
      </c>
      <c r="C424" s="59"/>
      <c r="D424" s="159"/>
      <c r="E424" s="156" t="s">
        <v>262</v>
      </c>
      <c r="F424" s="156" t="s">
        <v>262</v>
      </c>
      <c r="G424" s="134"/>
      <c r="H424" s="133"/>
      <c r="I424" s="99"/>
      <c r="L424" s="99">
        <f t="shared" ref="L424:M424" si="421">COUNTIF(A424:A1660,A424)</f>
        <v>1</v>
      </c>
      <c r="M424" s="99">
        <f t="shared" si="421"/>
        <v>1</v>
      </c>
    </row>
    <row r="425" ht="15.75" customHeight="1">
      <c r="A425" s="129">
        <v>1.0032007E7</v>
      </c>
      <c r="B425" s="153" t="s">
        <v>1574</v>
      </c>
      <c r="C425" s="59"/>
      <c r="D425" s="159"/>
      <c r="E425" s="156" t="s">
        <v>265</v>
      </c>
      <c r="F425" s="156" t="s">
        <v>265</v>
      </c>
      <c r="G425" s="134"/>
      <c r="H425" s="175"/>
      <c r="I425" s="99"/>
      <c r="L425" s="99">
        <f t="shared" ref="L425:M425" si="422">COUNTIF(A425:A1661,A425)</f>
        <v>1</v>
      </c>
      <c r="M425" s="99">
        <f t="shared" si="422"/>
        <v>1</v>
      </c>
    </row>
    <row r="426" ht="15.75" customHeight="1">
      <c r="A426" s="129">
        <v>1.0032008E7</v>
      </c>
      <c r="B426" s="153" t="s">
        <v>1575</v>
      </c>
      <c r="C426" s="59"/>
      <c r="D426" s="159"/>
      <c r="E426" s="156" t="s">
        <v>265</v>
      </c>
      <c r="F426" s="156" t="s">
        <v>265</v>
      </c>
      <c r="G426" s="134"/>
      <c r="H426" s="133"/>
      <c r="I426" s="99"/>
      <c r="L426" s="99">
        <f t="shared" ref="L426:M426" si="423">COUNTIF(A426:A1662,A426)</f>
        <v>1</v>
      </c>
      <c r="M426" s="99">
        <f t="shared" si="423"/>
        <v>1</v>
      </c>
    </row>
    <row r="427" ht="15.75" customHeight="1">
      <c r="A427" s="129">
        <v>1.0032011E7</v>
      </c>
      <c r="B427" s="153" t="s">
        <v>1576</v>
      </c>
      <c r="C427" s="59"/>
      <c r="D427" s="159"/>
      <c r="E427" s="156"/>
      <c r="F427" s="156"/>
      <c r="G427" s="134"/>
      <c r="H427" s="133"/>
      <c r="I427" s="99"/>
      <c r="L427" s="99">
        <f t="shared" ref="L427:M427" si="424">COUNTIF(A427:A1663,A427)</f>
        <v>1</v>
      </c>
      <c r="M427" s="99">
        <f t="shared" si="424"/>
        <v>1</v>
      </c>
    </row>
    <row r="428" ht="15.75" customHeight="1">
      <c r="A428" s="129">
        <v>1.0032012E7</v>
      </c>
      <c r="B428" s="153" t="s">
        <v>1577</v>
      </c>
      <c r="C428" s="59"/>
      <c r="D428" s="159"/>
      <c r="E428" s="156"/>
      <c r="F428" s="156"/>
      <c r="G428" s="134"/>
      <c r="H428" s="133"/>
      <c r="I428" s="99"/>
      <c r="L428" s="99">
        <f t="shared" ref="L428:M428" si="425">COUNTIF(A428:A1664,A428)</f>
        <v>1</v>
      </c>
      <c r="M428" s="99">
        <f t="shared" si="425"/>
        <v>1</v>
      </c>
    </row>
    <row r="429" ht="15.75" customHeight="1">
      <c r="A429" s="129">
        <v>1.0032013E7</v>
      </c>
      <c r="B429" s="153" t="s">
        <v>1578</v>
      </c>
      <c r="C429" s="59"/>
      <c r="D429" s="159"/>
      <c r="E429" s="156"/>
      <c r="F429" s="156"/>
      <c r="G429" s="134"/>
      <c r="H429" s="133"/>
      <c r="I429" s="99"/>
      <c r="L429" s="99">
        <f t="shared" ref="L429:M429" si="426">COUNTIF(A429:A1665,A429)</f>
        <v>1</v>
      </c>
      <c r="M429" s="99">
        <f t="shared" si="426"/>
        <v>1</v>
      </c>
    </row>
    <row r="430" ht="15.75" customHeight="1">
      <c r="A430" s="129">
        <v>1.0032014E7</v>
      </c>
      <c r="B430" s="153" t="s">
        <v>1579</v>
      </c>
      <c r="C430" s="59"/>
      <c r="D430" s="159"/>
      <c r="E430" s="156"/>
      <c r="F430" s="156"/>
      <c r="G430" s="134"/>
      <c r="H430" s="133"/>
      <c r="I430" s="99"/>
      <c r="L430" s="99">
        <f t="shared" ref="L430:M430" si="427">COUNTIF(A430:A1666,A430)</f>
        <v>1</v>
      </c>
      <c r="M430" s="99">
        <f t="shared" si="427"/>
        <v>1</v>
      </c>
    </row>
    <row r="431" ht="15.75" customHeight="1">
      <c r="A431" s="129">
        <v>1.0032015E7</v>
      </c>
      <c r="B431" s="153" t="s">
        <v>1580</v>
      </c>
      <c r="C431" s="59"/>
      <c r="D431" s="159"/>
      <c r="E431" s="156"/>
      <c r="F431" s="156"/>
      <c r="G431" s="134"/>
      <c r="H431" s="133"/>
      <c r="I431" s="99"/>
      <c r="L431" s="99">
        <f t="shared" ref="L431:M431" si="428">COUNTIF(A431:A1667,A431)</f>
        <v>1</v>
      </c>
      <c r="M431" s="99">
        <f t="shared" si="428"/>
        <v>1</v>
      </c>
    </row>
    <row r="432" ht="15.75" customHeight="1">
      <c r="A432" s="129">
        <v>1.0032016E7</v>
      </c>
      <c r="B432" s="153" t="s">
        <v>1581</v>
      </c>
      <c r="C432" s="59"/>
      <c r="D432" s="159"/>
      <c r="E432" s="156"/>
      <c r="F432" s="156"/>
      <c r="G432" s="134"/>
      <c r="H432" s="133"/>
      <c r="I432" s="99"/>
      <c r="L432" s="99">
        <f t="shared" ref="L432:M432" si="429">COUNTIF(A432:A1668,A432)</f>
        <v>1</v>
      </c>
      <c r="M432" s="99">
        <f t="shared" si="429"/>
        <v>1</v>
      </c>
    </row>
    <row r="433" ht="15.75" customHeight="1">
      <c r="A433" s="129">
        <v>1.0032017E7</v>
      </c>
      <c r="B433" s="153" t="s">
        <v>1582</v>
      </c>
      <c r="C433" s="59"/>
      <c r="D433" s="159"/>
      <c r="E433" s="156"/>
      <c r="F433" s="156"/>
      <c r="G433" s="134"/>
      <c r="H433" s="133"/>
      <c r="I433" s="99"/>
      <c r="L433" s="99">
        <f t="shared" ref="L433:M433" si="430">COUNTIF(A433:A1669,A433)</f>
        <v>1</v>
      </c>
      <c r="M433" s="99">
        <f t="shared" si="430"/>
        <v>1</v>
      </c>
    </row>
    <row r="434" ht="15.75" customHeight="1">
      <c r="A434" s="129">
        <v>1.0032018E7</v>
      </c>
      <c r="B434" s="153" t="s">
        <v>1583</v>
      </c>
      <c r="C434" s="59"/>
      <c r="D434" s="159"/>
      <c r="E434" s="156"/>
      <c r="F434" s="156"/>
      <c r="G434" s="134"/>
      <c r="H434" s="133"/>
      <c r="I434" s="99"/>
      <c r="L434" s="99">
        <f t="shared" ref="L434:M434" si="431">COUNTIF(A434:A1670,A434)</f>
        <v>1</v>
      </c>
      <c r="M434" s="99">
        <f t="shared" si="431"/>
        <v>1</v>
      </c>
    </row>
    <row r="435" ht="15.75" customHeight="1">
      <c r="A435" s="129">
        <v>1.0032021E7</v>
      </c>
      <c r="B435" s="153" t="s">
        <v>1584</v>
      </c>
      <c r="C435" s="59"/>
      <c r="D435" s="159"/>
      <c r="E435" s="156"/>
      <c r="F435" s="156"/>
      <c r="G435" s="134"/>
      <c r="H435" s="133"/>
      <c r="I435" s="99"/>
      <c r="L435" s="99">
        <f t="shared" ref="L435:M435" si="432">COUNTIF(A435:A1671,A435)</f>
        <v>1</v>
      </c>
      <c r="M435" s="99">
        <f t="shared" si="432"/>
        <v>1</v>
      </c>
    </row>
    <row r="436" ht="15.75" customHeight="1">
      <c r="A436" s="129">
        <v>1.0032022E7</v>
      </c>
      <c r="B436" s="153" t="s">
        <v>1585</v>
      </c>
      <c r="C436" s="59"/>
      <c r="D436" s="159"/>
      <c r="E436" s="156"/>
      <c r="F436" s="156"/>
      <c r="G436" s="134"/>
      <c r="H436" s="133"/>
      <c r="I436" s="99"/>
      <c r="L436" s="99">
        <f t="shared" ref="L436:M436" si="433">COUNTIF(A436:A1672,A436)</f>
        <v>1</v>
      </c>
      <c r="M436" s="99">
        <f t="shared" si="433"/>
        <v>1</v>
      </c>
    </row>
    <row r="437" ht="15.75" customHeight="1">
      <c r="A437" s="129">
        <v>1.0032023E7</v>
      </c>
      <c r="B437" s="153" t="s">
        <v>1586</v>
      </c>
      <c r="C437" s="59"/>
      <c r="D437" s="159"/>
      <c r="E437" s="156"/>
      <c r="F437" s="156"/>
      <c r="G437" s="134"/>
      <c r="H437" s="133"/>
      <c r="I437" s="99"/>
      <c r="L437" s="99">
        <f t="shared" ref="L437:M437" si="434">COUNTIF(A437:A1673,A437)</f>
        <v>1</v>
      </c>
      <c r="M437" s="99">
        <f t="shared" si="434"/>
        <v>1</v>
      </c>
    </row>
    <row r="438" ht="15.75" customHeight="1">
      <c r="A438" s="129">
        <v>1.0032024E7</v>
      </c>
      <c r="B438" s="153" t="s">
        <v>1587</v>
      </c>
      <c r="C438" s="59"/>
      <c r="D438" s="159"/>
      <c r="E438" s="156"/>
      <c r="F438" s="156"/>
      <c r="G438" s="134"/>
      <c r="H438" s="133"/>
      <c r="I438" s="99"/>
      <c r="L438" s="99">
        <f t="shared" ref="L438:M438" si="435">COUNTIF(A438:A1674,A438)</f>
        <v>1</v>
      </c>
      <c r="M438" s="99">
        <f t="shared" si="435"/>
        <v>1</v>
      </c>
    </row>
    <row r="439" ht="15.75" customHeight="1">
      <c r="A439" s="129">
        <v>1.0032025E7</v>
      </c>
      <c r="B439" s="153" t="s">
        <v>1588</v>
      </c>
      <c r="C439" s="59"/>
      <c r="D439" s="159"/>
      <c r="E439" s="156"/>
      <c r="F439" s="156"/>
      <c r="G439" s="134"/>
      <c r="H439" s="133"/>
      <c r="I439" s="99"/>
      <c r="L439" s="99">
        <f t="shared" ref="L439:M439" si="436">COUNTIF(A439:A1675,A439)</f>
        <v>1</v>
      </c>
      <c r="M439" s="99">
        <f t="shared" si="436"/>
        <v>1</v>
      </c>
    </row>
    <row r="440" ht="15.75" customHeight="1">
      <c r="A440" s="129">
        <v>1.0032026E7</v>
      </c>
      <c r="B440" s="153" t="s">
        <v>1589</v>
      </c>
      <c r="C440" s="59"/>
      <c r="D440" s="159"/>
      <c r="E440" s="156"/>
      <c r="F440" s="156"/>
      <c r="G440" s="134"/>
      <c r="H440" s="133"/>
      <c r="I440" s="99"/>
      <c r="L440" s="99">
        <f t="shared" ref="L440:M440" si="437">COUNTIF(A440:A1676,A440)</f>
        <v>1</v>
      </c>
      <c r="M440" s="99">
        <f t="shared" si="437"/>
        <v>1</v>
      </c>
    </row>
    <row r="441" ht="15.75" customHeight="1">
      <c r="A441" s="129">
        <v>1.0032027E7</v>
      </c>
      <c r="B441" s="153" t="s">
        <v>1590</v>
      </c>
      <c r="C441" s="59"/>
      <c r="D441" s="159"/>
      <c r="E441" s="156"/>
      <c r="F441" s="156"/>
      <c r="G441" s="134"/>
      <c r="H441" s="133"/>
      <c r="I441" s="99"/>
      <c r="L441" s="99">
        <f t="shared" ref="L441:M441" si="438">COUNTIF(A441:A1677,A441)</f>
        <v>1</v>
      </c>
      <c r="M441" s="99">
        <f t="shared" si="438"/>
        <v>1</v>
      </c>
    </row>
    <row r="442" ht="15.75" customHeight="1">
      <c r="A442" s="129">
        <v>1.0032028E7</v>
      </c>
      <c r="B442" s="153" t="s">
        <v>1591</v>
      </c>
      <c r="C442" s="59"/>
      <c r="D442" s="159"/>
      <c r="E442" s="156"/>
      <c r="F442" s="156"/>
      <c r="G442" s="134"/>
      <c r="H442" s="133"/>
      <c r="I442" s="99"/>
      <c r="L442" s="99">
        <f t="shared" ref="L442:M442" si="439">COUNTIF(A442:A1678,A442)</f>
        <v>1</v>
      </c>
      <c r="M442" s="99">
        <f t="shared" si="439"/>
        <v>1</v>
      </c>
    </row>
    <row r="443" ht="15.75" customHeight="1">
      <c r="A443" s="129">
        <v>1.0032101E7</v>
      </c>
      <c r="B443" s="106" t="s">
        <v>1592</v>
      </c>
      <c r="C443" s="59"/>
      <c r="D443" s="134"/>
      <c r="E443" s="176" t="s">
        <v>359</v>
      </c>
      <c r="F443" s="176" t="s">
        <v>359</v>
      </c>
      <c r="G443" s="134"/>
      <c r="H443" s="133"/>
      <c r="I443" s="99"/>
      <c r="L443" s="99">
        <f t="shared" ref="L443:M443" si="440">COUNTIF(A443:A1679,A443)</f>
        <v>1</v>
      </c>
      <c r="M443" s="99">
        <f t="shared" si="440"/>
        <v>1</v>
      </c>
    </row>
    <row r="444" ht="15.75" customHeight="1">
      <c r="A444" s="129">
        <v>1.0032111E7</v>
      </c>
      <c r="B444" s="106" t="s">
        <v>1593</v>
      </c>
      <c r="C444" s="59"/>
      <c r="D444" s="134"/>
      <c r="E444" s="176" t="s">
        <v>359</v>
      </c>
      <c r="F444" s="176" t="s">
        <v>359</v>
      </c>
      <c r="G444" s="134"/>
      <c r="H444" s="133"/>
      <c r="I444" s="99"/>
      <c r="L444" s="99">
        <f t="shared" ref="L444:M444" si="441">COUNTIF(A444:A1680,A444)</f>
        <v>1</v>
      </c>
      <c r="M444" s="99">
        <f t="shared" si="441"/>
        <v>1</v>
      </c>
    </row>
    <row r="445" ht="15.75" customHeight="1">
      <c r="A445" s="129">
        <v>1.0032121E7</v>
      </c>
      <c r="B445" s="106" t="s">
        <v>1594</v>
      </c>
      <c r="C445" s="73"/>
      <c r="D445" s="134"/>
      <c r="E445" s="176" t="s">
        <v>359</v>
      </c>
      <c r="F445" s="176" t="s">
        <v>359</v>
      </c>
      <c r="G445" s="134"/>
      <c r="H445" s="133"/>
      <c r="I445" s="99"/>
      <c r="L445" s="99">
        <f t="shared" ref="L445:M445" si="442">COUNTIF(A445:A1681,A445)</f>
        <v>1</v>
      </c>
      <c r="M445" s="99">
        <f t="shared" si="442"/>
        <v>1</v>
      </c>
    </row>
    <row r="446" ht="15.75" customHeight="1">
      <c r="A446" s="129">
        <v>3.000001E7</v>
      </c>
      <c r="B446" s="153" t="s">
        <v>1595</v>
      </c>
      <c r="C446" s="130" t="s">
        <v>1596</v>
      </c>
      <c r="D446" s="133"/>
      <c r="E446" s="176" t="s">
        <v>235</v>
      </c>
      <c r="F446" s="176" t="s">
        <v>235</v>
      </c>
      <c r="G446" s="133"/>
      <c r="H446" s="133"/>
      <c r="I446" s="99"/>
      <c r="L446" s="99">
        <f t="shared" ref="L446:M446" si="443">COUNTIF(A446:A1682,A446)</f>
        <v>1</v>
      </c>
      <c r="M446" s="99">
        <f t="shared" si="443"/>
        <v>1</v>
      </c>
    </row>
    <row r="447" ht="15.75" customHeight="1">
      <c r="A447" s="129">
        <v>1.00322E7</v>
      </c>
      <c r="B447" s="153" t="s">
        <v>1597</v>
      </c>
      <c r="C447" s="59"/>
      <c r="D447" s="133"/>
      <c r="E447" s="176" t="s">
        <v>235</v>
      </c>
      <c r="F447" s="176" t="s">
        <v>235</v>
      </c>
      <c r="G447" s="133"/>
      <c r="H447" s="133"/>
      <c r="I447" s="99"/>
      <c r="L447" s="99">
        <f t="shared" ref="L447:M447" si="444">COUNTIF(A447:A1683,A447)</f>
        <v>1</v>
      </c>
      <c r="M447" s="99">
        <f t="shared" si="444"/>
        <v>1</v>
      </c>
    </row>
    <row r="448" ht="15.75" customHeight="1">
      <c r="A448" s="129">
        <v>3.0000012E7</v>
      </c>
      <c r="B448" s="153" t="s">
        <v>1598</v>
      </c>
      <c r="C448" s="59"/>
      <c r="D448" s="133"/>
      <c r="E448" s="176" t="s">
        <v>235</v>
      </c>
      <c r="F448" s="176" t="s">
        <v>235</v>
      </c>
      <c r="G448" s="133"/>
      <c r="H448" s="133"/>
      <c r="I448" s="99"/>
      <c r="L448" s="99">
        <f t="shared" ref="L448:M448" si="445">COUNTIF(A448:A1684,A448)</f>
        <v>1</v>
      </c>
      <c r="M448" s="99">
        <f t="shared" si="445"/>
        <v>1</v>
      </c>
    </row>
    <row r="449" ht="15.75" customHeight="1">
      <c r="A449" s="129">
        <v>1.0032202E7</v>
      </c>
      <c r="B449" s="106" t="s">
        <v>1599</v>
      </c>
      <c r="C449" s="59"/>
      <c r="D449" s="133"/>
      <c r="E449" s="176" t="s">
        <v>235</v>
      </c>
      <c r="F449" s="176" t="s">
        <v>235</v>
      </c>
      <c r="G449" s="133"/>
      <c r="H449" s="133"/>
      <c r="I449" s="99"/>
      <c r="K449" s="84"/>
      <c r="L449" s="99">
        <f t="shared" ref="L449:M449" si="446">COUNTIF(A449:A1685,A449)</f>
        <v>1</v>
      </c>
      <c r="M449" s="99">
        <f t="shared" si="446"/>
        <v>1</v>
      </c>
      <c r="N449" s="84"/>
      <c r="O449" s="84"/>
      <c r="P449" s="84"/>
      <c r="Q449" s="84"/>
      <c r="R449" s="84"/>
    </row>
    <row r="450" ht="15.75" customHeight="1">
      <c r="A450" s="129">
        <v>3.0000014E7</v>
      </c>
      <c r="B450" s="106" t="s">
        <v>1600</v>
      </c>
      <c r="C450" s="59"/>
      <c r="D450" s="133"/>
      <c r="E450" s="176" t="s">
        <v>235</v>
      </c>
      <c r="F450" s="176" t="s">
        <v>235</v>
      </c>
      <c r="G450" s="133"/>
      <c r="H450" s="133"/>
      <c r="I450" s="99"/>
      <c r="K450" s="84"/>
      <c r="L450" s="99">
        <f t="shared" ref="L450:M450" si="447">COUNTIF(A450:A1686,A450)</f>
        <v>1</v>
      </c>
      <c r="M450" s="99">
        <f t="shared" si="447"/>
        <v>1</v>
      </c>
      <c r="N450" s="84"/>
      <c r="O450" s="84"/>
      <c r="P450" s="84"/>
      <c r="Q450" s="84"/>
      <c r="R450" s="84"/>
    </row>
    <row r="451" ht="15.75" customHeight="1">
      <c r="A451" s="129">
        <v>1.0032204E7</v>
      </c>
      <c r="B451" s="106" t="s">
        <v>1601</v>
      </c>
      <c r="C451" s="73"/>
      <c r="D451" s="133"/>
      <c r="E451" s="176" t="s">
        <v>235</v>
      </c>
      <c r="F451" s="176" t="s">
        <v>235</v>
      </c>
      <c r="G451" s="133"/>
      <c r="H451" s="133"/>
      <c r="I451" s="99"/>
      <c r="K451" s="84"/>
      <c r="L451" s="99">
        <f t="shared" ref="L451:M451" si="448">COUNTIF(A451:A1687,A451)</f>
        <v>1</v>
      </c>
      <c r="M451" s="99">
        <f t="shared" si="448"/>
        <v>1</v>
      </c>
      <c r="N451" s="84"/>
      <c r="O451" s="84"/>
      <c r="P451" s="84"/>
      <c r="Q451" s="84"/>
      <c r="R451" s="84"/>
    </row>
    <row r="452" ht="15.75" customHeight="1">
      <c r="A452" s="129">
        <v>1.1450001E7</v>
      </c>
      <c r="B452" s="106" t="s">
        <v>1602</v>
      </c>
      <c r="C452" s="130" t="s">
        <v>1603</v>
      </c>
      <c r="D452" s="133"/>
      <c r="E452" s="172"/>
      <c r="F452" s="172"/>
      <c r="G452" s="106" t="s">
        <v>231</v>
      </c>
      <c r="H452" s="133"/>
      <c r="I452" s="99"/>
      <c r="K452" s="84"/>
      <c r="L452" s="99">
        <f t="shared" ref="L452:M452" si="449">COUNTIF(A452:A1688,A452)</f>
        <v>1</v>
      </c>
      <c r="M452" s="99">
        <f t="shared" si="449"/>
        <v>2</v>
      </c>
      <c r="N452" s="84"/>
      <c r="O452" s="84"/>
      <c r="P452" s="84"/>
      <c r="Q452" s="84"/>
      <c r="R452" s="84"/>
    </row>
    <row r="453" ht="15.75" customHeight="1">
      <c r="A453" s="129">
        <v>1.1450002E7</v>
      </c>
      <c r="B453" s="106" t="s">
        <v>1604</v>
      </c>
      <c r="C453" s="59"/>
      <c r="D453" s="133"/>
      <c r="E453" s="172"/>
      <c r="F453" s="172"/>
      <c r="G453" s="106" t="s">
        <v>231</v>
      </c>
      <c r="H453" s="133"/>
      <c r="I453" s="99"/>
      <c r="K453" s="84"/>
      <c r="L453" s="99">
        <f t="shared" ref="L453:M453" si="450">COUNTIF(A453:A1689,A453)</f>
        <v>1</v>
      </c>
      <c r="M453" s="99">
        <f t="shared" si="450"/>
        <v>2</v>
      </c>
      <c r="N453" s="84"/>
      <c r="O453" s="84"/>
      <c r="P453" s="84"/>
      <c r="Q453" s="84"/>
      <c r="R453" s="84"/>
    </row>
    <row r="454" ht="15.75" customHeight="1">
      <c r="A454" s="129">
        <v>1.1450003E7</v>
      </c>
      <c r="B454" s="106" t="s">
        <v>1605</v>
      </c>
      <c r="C454" s="59"/>
      <c r="D454" s="133"/>
      <c r="E454" s="172"/>
      <c r="F454" s="172"/>
      <c r="G454" s="106" t="s">
        <v>231</v>
      </c>
      <c r="H454" s="133"/>
      <c r="I454" s="99"/>
      <c r="K454" s="84"/>
      <c r="L454" s="99">
        <f t="shared" ref="L454:M454" si="451">COUNTIF(A454:A1690,A454)</f>
        <v>1</v>
      </c>
      <c r="M454" s="99">
        <f t="shared" si="451"/>
        <v>2</v>
      </c>
      <c r="N454" s="84"/>
      <c r="O454" s="84"/>
      <c r="P454" s="84"/>
      <c r="Q454" s="84"/>
      <c r="R454" s="84"/>
    </row>
    <row r="455" ht="15.75" customHeight="1">
      <c r="A455" s="129">
        <v>1.1450004E7</v>
      </c>
      <c r="B455" s="106" t="s">
        <v>1606</v>
      </c>
      <c r="C455" s="59"/>
      <c r="D455" s="133"/>
      <c r="E455" s="177"/>
      <c r="F455" s="177"/>
      <c r="G455" s="106" t="s">
        <v>231</v>
      </c>
      <c r="H455" s="133"/>
      <c r="I455" s="99"/>
      <c r="K455" s="84"/>
      <c r="L455" s="99">
        <f t="shared" ref="L455:M455" si="452">COUNTIF(A455:A1691,A455)</f>
        <v>1</v>
      </c>
      <c r="M455" s="99">
        <f t="shared" si="452"/>
        <v>2</v>
      </c>
      <c r="N455" s="84"/>
      <c r="O455" s="84"/>
      <c r="P455" s="84"/>
      <c r="Q455" s="84"/>
      <c r="R455" s="84"/>
    </row>
    <row r="456" ht="15.75" customHeight="1">
      <c r="A456" s="129">
        <v>1.1450021E7</v>
      </c>
      <c r="B456" s="106" t="s">
        <v>1602</v>
      </c>
      <c r="C456" s="130" t="s">
        <v>1607</v>
      </c>
      <c r="D456" s="133"/>
      <c r="E456" s="172"/>
      <c r="F456" s="172"/>
      <c r="G456" s="106" t="s">
        <v>231</v>
      </c>
      <c r="H456" s="133"/>
      <c r="I456" s="99"/>
      <c r="K456" s="84"/>
      <c r="L456" s="99">
        <f t="shared" ref="L456:M456" si="453">COUNTIF(A456:A1692,A456)</f>
        <v>1</v>
      </c>
      <c r="M456" s="99">
        <f t="shared" si="453"/>
        <v>1</v>
      </c>
      <c r="N456" s="84"/>
      <c r="O456" s="84"/>
      <c r="P456" s="84"/>
      <c r="Q456" s="84"/>
      <c r="R456" s="84"/>
    </row>
    <row r="457" ht="15.75" customHeight="1">
      <c r="A457" s="129">
        <v>1.1450022E7</v>
      </c>
      <c r="B457" s="106" t="s">
        <v>1604</v>
      </c>
      <c r="C457" s="59"/>
      <c r="D457" s="133"/>
      <c r="E457" s="172"/>
      <c r="F457" s="172"/>
      <c r="G457" s="106" t="s">
        <v>231</v>
      </c>
      <c r="H457" s="133"/>
      <c r="I457" s="99"/>
      <c r="K457" s="84"/>
      <c r="L457" s="99">
        <f t="shared" ref="L457:M457" si="454">COUNTIF(A457:A1693,A457)</f>
        <v>1</v>
      </c>
      <c r="M457" s="99">
        <f t="shared" si="454"/>
        <v>1</v>
      </c>
      <c r="N457" s="84"/>
      <c r="O457" s="84"/>
      <c r="P457" s="84"/>
      <c r="Q457" s="84"/>
      <c r="R457" s="84"/>
    </row>
    <row r="458" ht="15.75" customHeight="1">
      <c r="A458" s="129">
        <v>1.1450023E7</v>
      </c>
      <c r="B458" s="106" t="s">
        <v>1605</v>
      </c>
      <c r="C458" s="59"/>
      <c r="D458" s="133"/>
      <c r="E458" s="172"/>
      <c r="F458" s="172"/>
      <c r="G458" s="106" t="s">
        <v>231</v>
      </c>
      <c r="H458" s="133"/>
      <c r="I458" s="99"/>
      <c r="K458" s="84"/>
      <c r="L458" s="99">
        <f t="shared" ref="L458:M458" si="455">COUNTIF(A458:A1694,A458)</f>
        <v>1</v>
      </c>
      <c r="M458" s="99">
        <f t="shared" si="455"/>
        <v>1</v>
      </c>
      <c r="N458" s="84"/>
      <c r="O458" s="84"/>
      <c r="P458" s="84"/>
      <c r="Q458" s="84"/>
      <c r="R458" s="84"/>
    </row>
    <row r="459" ht="15.75" customHeight="1">
      <c r="A459" s="129">
        <v>1.1450024E7</v>
      </c>
      <c r="B459" s="106" t="s">
        <v>1606</v>
      </c>
      <c r="C459" s="59"/>
      <c r="D459" s="133"/>
      <c r="E459" s="177"/>
      <c r="F459" s="177"/>
      <c r="G459" s="106" t="s">
        <v>231</v>
      </c>
      <c r="H459" s="133"/>
      <c r="I459" s="99"/>
      <c r="K459" s="84"/>
      <c r="L459" s="99">
        <f t="shared" ref="L459:M459" si="456">COUNTIF(A459:A1695,A459)</f>
        <v>1</v>
      </c>
      <c r="M459" s="99">
        <f t="shared" si="456"/>
        <v>1</v>
      </c>
      <c r="N459" s="84"/>
      <c r="O459" s="84"/>
      <c r="P459" s="84"/>
      <c r="Q459" s="84"/>
      <c r="R459" s="84"/>
    </row>
    <row r="460" ht="15.75" customHeight="1">
      <c r="A460" s="129">
        <v>1.1450005E7</v>
      </c>
      <c r="B460" s="106" t="s">
        <v>1608</v>
      </c>
      <c r="C460" s="130" t="s">
        <v>1603</v>
      </c>
      <c r="D460" s="133"/>
      <c r="E460" s="172"/>
      <c r="F460" s="172"/>
      <c r="G460" s="106" t="s">
        <v>231</v>
      </c>
      <c r="H460" s="133"/>
      <c r="I460" s="99"/>
      <c r="K460" s="84"/>
      <c r="L460" s="99">
        <f t="shared" ref="L460:M460" si="457">COUNTIF(A460:A1692,A460)</f>
        <v>1</v>
      </c>
      <c r="M460" s="99">
        <f t="shared" si="457"/>
        <v>2</v>
      </c>
      <c r="N460" s="84"/>
      <c r="O460" s="84"/>
      <c r="P460" s="84"/>
      <c r="Q460" s="84"/>
      <c r="R460" s="84"/>
    </row>
    <row r="461" ht="15.75" customHeight="1">
      <c r="A461" s="129">
        <v>1.1450006E7</v>
      </c>
      <c r="B461" s="106" t="s">
        <v>1609</v>
      </c>
      <c r="C461" s="59"/>
      <c r="D461" s="133"/>
      <c r="E461" s="172"/>
      <c r="F461" s="172"/>
      <c r="G461" s="106" t="s">
        <v>231</v>
      </c>
      <c r="H461" s="133"/>
      <c r="I461" s="99"/>
      <c r="K461" s="84"/>
      <c r="L461" s="99">
        <f t="shared" ref="L461:M461" si="458">COUNTIF(A461:A1693,A461)</f>
        <v>1</v>
      </c>
      <c r="M461" s="99">
        <f t="shared" si="458"/>
        <v>2</v>
      </c>
      <c r="N461" s="84"/>
      <c r="O461" s="84"/>
      <c r="P461" s="84"/>
      <c r="Q461" s="84"/>
      <c r="R461" s="84"/>
    </row>
    <row r="462" ht="15.75" customHeight="1">
      <c r="A462" s="129">
        <v>1.1450007E7</v>
      </c>
      <c r="B462" s="106" t="s">
        <v>1610</v>
      </c>
      <c r="C462" s="59"/>
      <c r="D462" s="133"/>
      <c r="E462" s="172"/>
      <c r="F462" s="172"/>
      <c r="G462" s="106" t="s">
        <v>231</v>
      </c>
      <c r="H462" s="133"/>
      <c r="I462" s="99"/>
      <c r="K462" s="84"/>
      <c r="L462" s="99">
        <f t="shared" ref="L462:M462" si="459">COUNTIF(A462:A1694,A462)</f>
        <v>1</v>
      </c>
      <c r="M462" s="99">
        <f t="shared" si="459"/>
        <v>2</v>
      </c>
      <c r="N462" s="84"/>
      <c r="O462" s="84"/>
      <c r="P462" s="84"/>
      <c r="Q462" s="84"/>
      <c r="R462" s="84"/>
    </row>
    <row r="463" ht="15.75" customHeight="1">
      <c r="A463" s="129">
        <v>1.1450008E7</v>
      </c>
      <c r="B463" s="106" t="s">
        <v>1611</v>
      </c>
      <c r="C463" s="59"/>
      <c r="D463" s="133"/>
      <c r="E463" s="172"/>
      <c r="F463" s="172"/>
      <c r="G463" s="106" t="s">
        <v>231</v>
      </c>
      <c r="H463" s="133"/>
      <c r="I463" s="99"/>
      <c r="K463" s="84"/>
      <c r="L463" s="99">
        <f t="shared" ref="L463:M463" si="460">COUNTIF(A463:A1695,A463)</f>
        <v>1</v>
      </c>
      <c r="M463" s="99">
        <f t="shared" si="460"/>
        <v>2</v>
      </c>
      <c r="N463" s="84"/>
      <c r="O463" s="84"/>
      <c r="P463" s="84"/>
      <c r="Q463" s="84"/>
      <c r="R463" s="84"/>
    </row>
    <row r="464" ht="15.75" customHeight="1">
      <c r="A464" s="129">
        <v>1.1450025E7</v>
      </c>
      <c r="B464" s="106" t="s">
        <v>1608</v>
      </c>
      <c r="C464" s="130" t="s">
        <v>1607</v>
      </c>
      <c r="D464" s="133"/>
      <c r="E464" s="172"/>
      <c r="F464" s="172"/>
      <c r="G464" s="106" t="s">
        <v>231</v>
      </c>
      <c r="H464" s="133"/>
      <c r="I464" s="99"/>
      <c r="K464" s="84"/>
      <c r="L464" s="99">
        <f t="shared" ref="L464:M464" si="461">COUNTIF(A464:A1696,A464)</f>
        <v>1</v>
      </c>
      <c r="M464" s="99">
        <f t="shared" si="461"/>
        <v>1</v>
      </c>
      <c r="N464" s="84"/>
      <c r="O464" s="84"/>
      <c r="P464" s="84"/>
      <c r="Q464" s="84"/>
      <c r="R464" s="84"/>
    </row>
    <row r="465" ht="15.75" customHeight="1">
      <c r="A465" s="129">
        <v>1.1450026E7</v>
      </c>
      <c r="B465" s="106" t="s">
        <v>1609</v>
      </c>
      <c r="C465" s="59"/>
      <c r="D465" s="133"/>
      <c r="E465" s="172"/>
      <c r="F465" s="172"/>
      <c r="G465" s="106" t="s">
        <v>231</v>
      </c>
      <c r="H465" s="133"/>
      <c r="I465" s="99"/>
      <c r="K465" s="84"/>
      <c r="L465" s="99">
        <f t="shared" ref="L465:M465" si="462">COUNTIF(A465:A1697,A465)</f>
        <v>1</v>
      </c>
      <c r="M465" s="99">
        <f t="shared" si="462"/>
        <v>1</v>
      </c>
      <c r="N465" s="84"/>
      <c r="O465" s="84"/>
      <c r="P465" s="84"/>
      <c r="Q465" s="84"/>
      <c r="R465" s="84"/>
    </row>
    <row r="466" ht="15.75" customHeight="1">
      <c r="A466" s="129">
        <v>1.1450027E7</v>
      </c>
      <c r="B466" s="106" t="s">
        <v>1610</v>
      </c>
      <c r="C466" s="59"/>
      <c r="D466" s="133"/>
      <c r="E466" s="172"/>
      <c r="F466" s="172"/>
      <c r="G466" s="106" t="s">
        <v>231</v>
      </c>
      <c r="H466" s="133"/>
      <c r="I466" s="99"/>
      <c r="K466" s="84"/>
      <c r="L466" s="99">
        <f t="shared" ref="L466:M466" si="463">COUNTIF(A466:A1698,A466)</f>
        <v>1</v>
      </c>
      <c r="M466" s="99">
        <f t="shared" si="463"/>
        <v>1</v>
      </c>
      <c r="N466" s="84"/>
      <c r="O466" s="84"/>
      <c r="P466" s="84"/>
      <c r="Q466" s="84"/>
      <c r="R466" s="84"/>
    </row>
    <row r="467" ht="15.75" customHeight="1">
      <c r="A467" s="129">
        <v>1.1450028E7</v>
      </c>
      <c r="B467" s="106" t="s">
        <v>1611</v>
      </c>
      <c r="C467" s="59"/>
      <c r="D467" s="133"/>
      <c r="E467" s="172"/>
      <c r="F467" s="172"/>
      <c r="G467" s="106" t="s">
        <v>231</v>
      </c>
      <c r="H467" s="133"/>
      <c r="I467" s="99"/>
      <c r="K467" s="84"/>
      <c r="L467" s="99">
        <f t="shared" ref="L467:M467" si="464">COUNTIF(A467:A1699,A467)</f>
        <v>1</v>
      </c>
      <c r="M467" s="99">
        <f t="shared" si="464"/>
        <v>1</v>
      </c>
      <c r="N467" s="84"/>
      <c r="O467" s="84"/>
      <c r="P467" s="84"/>
      <c r="Q467" s="84"/>
      <c r="R467" s="84"/>
    </row>
    <row r="468" ht="15.75" customHeight="1">
      <c r="A468" s="129">
        <v>1.1450009E7</v>
      </c>
      <c r="B468" s="106" t="s">
        <v>1612</v>
      </c>
      <c r="C468" s="130" t="s">
        <v>1603</v>
      </c>
      <c r="D468" s="133"/>
      <c r="E468" s="172"/>
      <c r="F468" s="172"/>
      <c r="G468" s="106" t="s">
        <v>231</v>
      </c>
      <c r="H468" s="133"/>
      <c r="I468" s="99"/>
      <c r="K468" s="84"/>
      <c r="L468" s="99">
        <f t="shared" ref="L468:M468" si="465">COUNTIF(A468:A1696,A468)</f>
        <v>1</v>
      </c>
      <c r="M468" s="99">
        <f t="shared" si="465"/>
        <v>2</v>
      </c>
      <c r="N468" s="84"/>
      <c r="O468" s="84"/>
      <c r="P468" s="84"/>
      <c r="Q468" s="84"/>
      <c r="R468" s="84"/>
    </row>
    <row r="469" ht="15.75" customHeight="1">
      <c r="A469" s="129">
        <v>1.145001E7</v>
      </c>
      <c r="B469" s="106" t="s">
        <v>1613</v>
      </c>
      <c r="C469" s="59"/>
      <c r="D469" s="133"/>
      <c r="E469" s="172"/>
      <c r="F469" s="172"/>
      <c r="G469" s="106" t="s">
        <v>231</v>
      </c>
      <c r="H469" s="133"/>
      <c r="I469" s="99"/>
      <c r="K469" s="84"/>
      <c r="L469" s="99">
        <f t="shared" ref="L469:M469" si="466">COUNTIF(A469:A1697,A469)</f>
        <v>1</v>
      </c>
      <c r="M469" s="99">
        <f t="shared" si="466"/>
        <v>2</v>
      </c>
      <c r="N469" s="84"/>
      <c r="O469" s="84"/>
      <c r="P469" s="84"/>
      <c r="Q469" s="84"/>
      <c r="R469" s="84"/>
    </row>
    <row r="470" ht="15.75" customHeight="1">
      <c r="A470" s="129">
        <v>1.1450011E7</v>
      </c>
      <c r="B470" s="106" t="s">
        <v>1614</v>
      </c>
      <c r="C470" s="59"/>
      <c r="D470" s="133"/>
      <c r="E470" s="177"/>
      <c r="F470" s="177"/>
      <c r="G470" s="106" t="s">
        <v>231</v>
      </c>
      <c r="H470" s="133"/>
      <c r="I470" s="99"/>
      <c r="K470" s="84"/>
      <c r="L470" s="99">
        <f t="shared" ref="L470:M470" si="467">COUNTIF(A470:A1698,A470)</f>
        <v>1</v>
      </c>
      <c r="M470" s="99">
        <f t="shared" si="467"/>
        <v>2</v>
      </c>
      <c r="N470" s="84"/>
      <c r="O470" s="84"/>
      <c r="P470" s="84"/>
      <c r="Q470" s="84"/>
      <c r="R470" s="84"/>
    </row>
    <row r="471" ht="15.75" customHeight="1">
      <c r="A471" s="129">
        <v>1.1450012E7</v>
      </c>
      <c r="B471" s="106" t="s">
        <v>1615</v>
      </c>
      <c r="C471" s="59"/>
      <c r="D471" s="133"/>
      <c r="E471" s="172"/>
      <c r="F471" s="172"/>
      <c r="G471" s="106" t="s">
        <v>231</v>
      </c>
      <c r="H471" s="133"/>
      <c r="I471" s="99"/>
      <c r="K471" s="84"/>
      <c r="L471" s="99">
        <f t="shared" ref="L471:M471" si="468">COUNTIF(A471:A1699,A471)</f>
        <v>1</v>
      </c>
      <c r="M471" s="99">
        <f t="shared" si="468"/>
        <v>2</v>
      </c>
      <c r="N471" s="84"/>
      <c r="O471" s="84"/>
      <c r="P471" s="84"/>
      <c r="Q471" s="84"/>
      <c r="R471" s="84"/>
    </row>
    <row r="472" ht="15.75" customHeight="1">
      <c r="A472" s="129">
        <v>1.1450029E7</v>
      </c>
      <c r="B472" s="106" t="s">
        <v>1612</v>
      </c>
      <c r="C472" s="130" t="s">
        <v>1607</v>
      </c>
      <c r="D472" s="133"/>
      <c r="E472" s="172"/>
      <c r="F472" s="172"/>
      <c r="G472" s="106" t="s">
        <v>231</v>
      </c>
      <c r="H472" s="133"/>
      <c r="I472" s="99"/>
      <c r="K472" s="84"/>
      <c r="L472" s="99"/>
      <c r="M472" s="99"/>
      <c r="N472" s="84"/>
      <c r="O472" s="84"/>
      <c r="P472" s="84"/>
      <c r="Q472" s="84"/>
      <c r="R472" s="84"/>
    </row>
    <row r="473" ht="15.75" customHeight="1">
      <c r="A473" s="129">
        <v>1.145003E7</v>
      </c>
      <c r="B473" s="106" t="s">
        <v>1613</v>
      </c>
      <c r="C473" s="59"/>
      <c r="D473" s="133"/>
      <c r="E473" s="172"/>
      <c r="F473" s="172"/>
      <c r="G473" s="106" t="s">
        <v>231</v>
      </c>
      <c r="H473" s="133"/>
      <c r="I473" s="99"/>
      <c r="K473" s="84"/>
      <c r="L473" s="99"/>
      <c r="M473" s="99"/>
      <c r="N473" s="84"/>
      <c r="O473" s="84"/>
      <c r="P473" s="84"/>
      <c r="Q473" s="84"/>
      <c r="R473" s="84"/>
    </row>
    <row r="474" ht="15.75" customHeight="1">
      <c r="A474" s="129">
        <v>1.1450031E7</v>
      </c>
      <c r="B474" s="106" t="s">
        <v>1614</v>
      </c>
      <c r="C474" s="59"/>
      <c r="D474" s="133"/>
      <c r="E474" s="172"/>
      <c r="F474" s="172"/>
      <c r="G474" s="106" t="s">
        <v>231</v>
      </c>
      <c r="H474" s="133"/>
      <c r="I474" s="99"/>
      <c r="K474" s="84"/>
      <c r="L474" s="99"/>
      <c r="M474" s="99"/>
      <c r="N474" s="84"/>
      <c r="O474" s="84"/>
      <c r="P474" s="84"/>
      <c r="Q474" s="84"/>
      <c r="R474" s="84"/>
    </row>
    <row r="475" ht="15.75" customHeight="1">
      <c r="A475" s="129">
        <v>1.1450032E7</v>
      </c>
      <c r="B475" s="106" t="s">
        <v>1615</v>
      </c>
      <c r="C475" s="59"/>
      <c r="D475" s="133"/>
      <c r="E475" s="172"/>
      <c r="F475" s="172"/>
      <c r="G475" s="106" t="s">
        <v>231</v>
      </c>
      <c r="H475" s="133"/>
      <c r="I475" s="99"/>
      <c r="K475" s="84"/>
      <c r="L475" s="99"/>
      <c r="M475" s="99"/>
      <c r="N475" s="84"/>
      <c r="O475" s="84"/>
      <c r="P475" s="84"/>
      <c r="Q475" s="84"/>
      <c r="R475" s="84"/>
    </row>
    <row r="476" ht="15.75" customHeight="1">
      <c r="A476" s="129">
        <v>1.1450101E7</v>
      </c>
      <c r="B476" s="106" t="s">
        <v>1616</v>
      </c>
      <c r="C476" s="130" t="s">
        <v>1617</v>
      </c>
      <c r="D476" s="133"/>
      <c r="E476" s="172"/>
      <c r="F476" s="172"/>
      <c r="G476" s="106" t="s">
        <v>1124</v>
      </c>
      <c r="H476" s="133"/>
      <c r="I476" s="99"/>
      <c r="K476" s="84"/>
      <c r="L476" s="99"/>
      <c r="M476" s="99"/>
      <c r="N476" s="84"/>
      <c r="O476" s="84"/>
      <c r="P476" s="84"/>
      <c r="Q476" s="84"/>
      <c r="R476" s="84"/>
    </row>
    <row r="477" ht="15.75" customHeight="1">
      <c r="A477" s="129">
        <v>1.1450102E7</v>
      </c>
      <c r="B477" s="106" t="s">
        <v>1618</v>
      </c>
      <c r="C477" s="59"/>
      <c r="D477" s="133"/>
      <c r="E477" s="172"/>
      <c r="F477" s="172"/>
      <c r="G477" s="106" t="s">
        <v>1619</v>
      </c>
      <c r="H477" s="133"/>
      <c r="I477" s="99"/>
      <c r="K477" s="84"/>
      <c r="L477" s="99"/>
      <c r="M477" s="99"/>
      <c r="N477" s="84"/>
      <c r="O477" s="84"/>
      <c r="P477" s="84"/>
      <c r="Q477" s="84"/>
      <c r="R477" s="84"/>
    </row>
    <row r="478" ht="15.75" customHeight="1">
      <c r="A478" s="129">
        <v>1.1450103E7</v>
      </c>
      <c r="B478" s="106" t="s">
        <v>1620</v>
      </c>
      <c r="C478" s="59"/>
      <c r="D478" s="133"/>
      <c r="E478" s="172"/>
      <c r="F478" s="172"/>
      <c r="G478" s="106"/>
      <c r="H478" s="133"/>
      <c r="I478" s="99"/>
      <c r="K478" s="84"/>
      <c r="L478" s="99"/>
      <c r="M478" s="99"/>
      <c r="N478" s="84"/>
      <c r="O478" s="84"/>
      <c r="P478" s="84"/>
      <c r="Q478" s="84"/>
      <c r="R478" s="84"/>
    </row>
    <row r="479" ht="15.75" customHeight="1">
      <c r="A479" s="129">
        <v>1.1450111E7</v>
      </c>
      <c r="B479" s="106" t="s">
        <v>1621</v>
      </c>
      <c r="C479" s="59"/>
      <c r="D479" s="133"/>
      <c r="E479" s="172"/>
      <c r="F479" s="172"/>
      <c r="G479" s="106" t="s">
        <v>1124</v>
      </c>
      <c r="H479" s="133"/>
      <c r="I479" s="99"/>
      <c r="K479" s="84"/>
      <c r="L479" s="99"/>
      <c r="M479" s="99"/>
      <c r="N479" s="84"/>
      <c r="O479" s="84"/>
      <c r="P479" s="84"/>
      <c r="Q479" s="84"/>
      <c r="R479" s="84"/>
    </row>
    <row r="480" ht="15.75" customHeight="1">
      <c r="A480" s="129">
        <v>1.1450112E7</v>
      </c>
      <c r="B480" s="106" t="s">
        <v>1622</v>
      </c>
      <c r="C480" s="59"/>
      <c r="D480" s="133"/>
      <c r="E480" s="172"/>
      <c r="F480" s="172"/>
      <c r="G480" s="106" t="s">
        <v>1619</v>
      </c>
      <c r="H480" s="133"/>
      <c r="I480" s="99"/>
      <c r="K480" s="84"/>
      <c r="L480" s="99"/>
      <c r="M480" s="99"/>
      <c r="N480" s="84"/>
      <c r="O480" s="84"/>
      <c r="P480" s="84"/>
      <c r="Q480" s="84"/>
      <c r="R480" s="84"/>
    </row>
    <row r="481" ht="15.75" customHeight="1">
      <c r="A481" s="129">
        <v>1.1450113E7</v>
      </c>
      <c r="B481" s="106" t="s">
        <v>1623</v>
      </c>
      <c r="C481" s="59"/>
      <c r="D481" s="133"/>
      <c r="E481" s="172"/>
      <c r="F481" s="172"/>
      <c r="G481" s="106"/>
      <c r="H481" s="133"/>
      <c r="I481" s="99"/>
      <c r="K481" s="84"/>
      <c r="L481" s="99">
        <f t="shared" ref="L481:M481" si="469">COUNTIF(A472:A1700,A472)</f>
        <v>1</v>
      </c>
      <c r="M481" s="99">
        <f t="shared" si="469"/>
        <v>1</v>
      </c>
      <c r="N481" s="84"/>
      <c r="O481" s="84"/>
      <c r="P481" s="84"/>
      <c r="Q481" s="84"/>
      <c r="R481" s="84"/>
    </row>
    <row r="482" ht="15.75" customHeight="1">
      <c r="A482" s="129">
        <v>1.1450111E7</v>
      </c>
      <c r="B482" s="106" t="s">
        <v>1624</v>
      </c>
      <c r="C482" s="59"/>
      <c r="D482" s="133"/>
      <c r="E482" s="172"/>
      <c r="F482" s="172"/>
      <c r="G482" s="106" t="s">
        <v>1124</v>
      </c>
      <c r="H482" s="133"/>
      <c r="I482" s="99"/>
      <c r="K482" s="84"/>
      <c r="L482" s="99">
        <f t="shared" ref="L482:M482" si="470">COUNTIF(A473:A1701,A473)</f>
        <v>1</v>
      </c>
      <c r="M482" s="99">
        <f t="shared" si="470"/>
        <v>1</v>
      </c>
      <c r="N482" s="84"/>
      <c r="O482" s="84"/>
      <c r="P482" s="84"/>
      <c r="Q482" s="84"/>
      <c r="R482" s="84"/>
    </row>
    <row r="483" ht="15.75" customHeight="1">
      <c r="A483" s="129">
        <v>1.1450112E7</v>
      </c>
      <c r="B483" s="106" t="s">
        <v>1625</v>
      </c>
      <c r="C483" s="59"/>
      <c r="D483" s="133"/>
      <c r="E483" s="177"/>
      <c r="F483" s="177"/>
      <c r="G483" s="106" t="s">
        <v>1619</v>
      </c>
      <c r="H483" s="133"/>
      <c r="I483" s="99"/>
      <c r="K483" s="84"/>
      <c r="L483" s="99">
        <f t="shared" ref="L483:M483" si="471">COUNTIF(A474:A1702,A474)</f>
        <v>1</v>
      </c>
      <c r="M483" s="99">
        <f t="shared" si="471"/>
        <v>1</v>
      </c>
      <c r="N483" s="84"/>
      <c r="O483" s="84"/>
      <c r="P483" s="84"/>
      <c r="Q483" s="84"/>
      <c r="R483" s="84"/>
    </row>
    <row r="484" ht="15.75" customHeight="1">
      <c r="A484" s="129">
        <v>1.1450113E7</v>
      </c>
      <c r="B484" s="106" t="s">
        <v>1626</v>
      </c>
      <c r="C484" s="73"/>
      <c r="D484" s="133"/>
      <c r="E484" s="172"/>
      <c r="F484" s="172"/>
      <c r="G484" s="106"/>
      <c r="H484" s="133"/>
      <c r="I484" s="99"/>
      <c r="K484" s="84"/>
      <c r="L484" s="99">
        <f t="shared" ref="L484:M484" si="472">COUNTIF(A475:A1703,A475)</f>
        <v>1</v>
      </c>
      <c r="M484" s="99">
        <f t="shared" si="472"/>
        <v>1</v>
      </c>
      <c r="N484" s="84"/>
      <c r="O484" s="84"/>
      <c r="P484" s="84"/>
      <c r="Q484" s="84"/>
      <c r="R484" s="84"/>
    </row>
    <row r="485" ht="15.75" customHeight="1">
      <c r="A485" s="129">
        <v>1.2E7</v>
      </c>
      <c r="B485" s="106" t="s">
        <v>1627</v>
      </c>
      <c r="C485" s="130" t="s">
        <v>402</v>
      </c>
      <c r="D485" s="133"/>
      <c r="E485" s="176" t="s">
        <v>1628</v>
      </c>
      <c r="F485" s="176" t="s">
        <v>1628</v>
      </c>
      <c r="G485" s="106" t="s">
        <v>403</v>
      </c>
      <c r="H485" s="133"/>
      <c r="I485" s="99"/>
      <c r="K485" s="84"/>
      <c r="L485" s="99">
        <f t="shared" ref="L485:M485" si="473">COUNTIF(A485:A1700,A485)</f>
        <v>1</v>
      </c>
      <c r="M485" s="99">
        <f t="shared" si="473"/>
        <v>1</v>
      </c>
      <c r="N485" s="84"/>
      <c r="O485" s="84"/>
      <c r="P485" s="84"/>
      <c r="Q485" s="84"/>
      <c r="R485" s="84"/>
    </row>
    <row r="486" ht="15.75" customHeight="1">
      <c r="A486" s="129">
        <v>1.2000001E7</v>
      </c>
      <c r="B486" s="106" t="s">
        <v>1629</v>
      </c>
      <c r="C486" s="73"/>
      <c r="D486" s="133"/>
      <c r="E486" s="176" t="s">
        <v>406</v>
      </c>
      <c r="F486" s="176" t="s">
        <v>406</v>
      </c>
      <c r="G486" s="159"/>
      <c r="H486" s="133"/>
      <c r="I486" s="99"/>
      <c r="K486" s="84"/>
      <c r="L486" s="99">
        <f t="shared" ref="L486:M486" si="474">COUNTIF(A486:A1701,A486)</f>
        <v>1</v>
      </c>
      <c r="M486" s="99">
        <f t="shared" si="474"/>
        <v>1</v>
      </c>
      <c r="N486" s="84"/>
      <c r="O486" s="84"/>
      <c r="P486" s="84"/>
      <c r="Q486" s="84"/>
      <c r="R486" s="84"/>
    </row>
    <row r="487" ht="15.75" customHeight="1">
      <c r="A487" s="129">
        <v>1.2099001E7</v>
      </c>
      <c r="B487" s="106" t="s">
        <v>1630</v>
      </c>
      <c r="C487" s="130" t="s">
        <v>1631</v>
      </c>
      <c r="D487" s="133"/>
      <c r="E487" s="178"/>
      <c r="F487" s="178"/>
      <c r="G487" s="133"/>
      <c r="H487" s="133"/>
      <c r="I487" s="99"/>
      <c r="K487" s="84"/>
      <c r="L487" s="99">
        <f t="shared" ref="L487:M487" si="475">COUNTIF(A487:A1702,A487)</f>
        <v>1</v>
      </c>
      <c r="M487" s="99">
        <f t="shared" si="475"/>
        <v>1</v>
      </c>
      <c r="N487" s="84"/>
      <c r="O487" s="84"/>
      <c r="P487" s="84"/>
      <c r="Q487" s="84"/>
      <c r="R487" s="84"/>
    </row>
    <row r="488" ht="15.75" customHeight="1">
      <c r="A488" s="129">
        <v>1.2099002E7</v>
      </c>
      <c r="B488" s="153" t="s">
        <v>1632</v>
      </c>
      <c r="C488" s="165" t="s">
        <v>1633</v>
      </c>
      <c r="D488" s="133"/>
      <c r="E488" s="179" t="s">
        <v>247</v>
      </c>
      <c r="F488" s="179" t="s">
        <v>247</v>
      </c>
      <c r="G488" s="133"/>
      <c r="H488" s="133"/>
      <c r="I488" s="99"/>
      <c r="K488" s="84"/>
      <c r="L488" s="99">
        <f t="shared" ref="L488:M488" si="476">COUNTIF(A488:A1703,A488)</f>
        <v>1</v>
      </c>
      <c r="M488" s="99">
        <f t="shared" si="476"/>
        <v>1</v>
      </c>
      <c r="N488" s="84"/>
      <c r="O488" s="84"/>
      <c r="P488" s="84"/>
      <c r="Q488" s="84"/>
      <c r="R488" s="84"/>
    </row>
    <row r="489" ht="15.75" customHeight="1">
      <c r="A489" s="129">
        <v>1.2099003E7</v>
      </c>
      <c r="B489" s="106" t="s">
        <v>1634</v>
      </c>
      <c r="C489" s="165"/>
      <c r="D489" s="133"/>
      <c r="E489" s="180" t="s">
        <v>359</v>
      </c>
      <c r="F489" s="178"/>
      <c r="G489" s="133"/>
      <c r="H489" s="133"/>
      <c r="I489" s="99"/>
      <c r="K489" s="84"/>
      <c r="L489" s="99">
        <f t="shared" ref="L489:M489" si="477">COUNTIF(A489:A1704,A489)</f>
        <v>1</v>
      </c>
      <c r="M489" s="99">
        <f t="shared" si="477"/>
        <v>1</v>
      </c>
      <c r="N489" s="84"/>
      <c r="O489" s="84"/>
      <c r="P489" s="84"/>
      <c r="Q489" s="84"/>
      <c r="R489" s="84"/>
    </row>
    <row r="490" ht="15.75" customHeight="1">
      <c r="A490" s="129">
        <v>1.2099004E7</v>
      </c>
      <c r="B490" s="106" t="s">
        <v>1635</v>
      </c>
      <c r="C490" s="165"/>
      <c r="D490" s="133"/>
      <c r="E490" s="181"/>
      <c r="F490" s="181"/>
      <c r="G490" s="133"/>
      <c r="H490" s="133"/>
      <c r="I490" s="99"/>
      <c r="K490" s="84"/>
      <c r="L490" s="99"/>
      <c r="M490" s="99"/>
      <c r="N490" s="84"/>
      <c r="O490" s="84"/>
      <c r="P490" s="84"/>
      <c r="Q490" s="84"/>
      <c r="R490" s="84"/>
    </row>
    <row r="491" ht="15.75" customHeight="1">
      <c r="A491" s="129">
        <v>1.2099005E7</v>
      </c>
      <c r="B491" s="106" t="s">
        <v>1636</v>
      </c>
      <c r="C491" s="165"/>
      <c r="D491" s="133"/>
      <c r="E491" s="181"/>
      <c r="F491" s="181"/>
      <c r="G491" s="133"/>
      <c r="H491" s="133"/>
      <c r="I491" s="99"/>
      <c r="K491" s="84"/>
      <c r="L491" s="99"/>
      <c r="M491" s="99"/>
      <c r="N491" s="84"/>
      <c r="O491" s="84"/>
      <c r="P491" s="84"/>
      <c r="Q491" s="84"/>
      <c r="R491" s="84"/>
    </row>
    <row r="492" ht="15.75" customHeight="1">
      <c r="A492" s="129">
        <v>1.2099006E7</v>
      </c>
      <c r="B492" s="106" t="s">
        <v>1637</v>
      </c>
      <c r="C492" s="165"/>
      <c r="D492" s="133"/>
      <c r="E492" s="181"/>
      <c r="F492" s="181"/>
      <c r="G492" s="133"/>
      <c r="H492" s="133"/>
      <c r="I492" s="99"/>
      <c r="K492" s="84"/>
      <c r="L492" s="99"/>
      <c r="M492" s="99"/>
      <c r="N492" s="84"/>
      <c r="O492" s="84"/>
      <c r="P492" s="84"/>
      <c r="Q492" s="84"/>
      <c r="R492" s="84"/>
    </row>
    <row r="493" ht="15.75" customHeight="1">
      <c r="A493" s="129">
        <v>1.2099007E7</v>
      </c>
      <c r="B493" s="135" t="s">
        <v>1638</v>
      </c>
      <c r="C493" s="165"/>
      <c r="D493" s="133"/>
      <c r="E493" s="181"/>
      <c r="F493" s="181"/>
      <c r="G493" s="133"/>
      <c r="H493" s="133"/>
      <c r="I493" s="99"/>
      <c r="K493" s="84"/>
      <c r="L493" s="99"/>
      <c r="M493" s="99"/>
      <c r="N493" s="84"/>
      <c r="O493" s="84"/>
      <c r="P493" s="84"/>
      <c r="Q493" s="84"/>
      <c r="R493" s="84"/>
    </row>
    <row r="494" ht="15.75" customHeight="1">
      <c r="A494" s="129">
        <v>1.2099008E7</v>
      </c>
      <c r="B494" s="139" t="s">
        <v>1639</v>
      </c>
      <c r="C494" s="165"/>
      <c r="D494" s="133"/>
      <c r="E494" s="181"/>
      <c r="F494" s="181"/>
      <c r="G494" s="133"/>
      <c r="H494" s="133"/>
      <c r="I494" s="99"/>
      <c r="K494" s="84"/>
      <c r="L494" s="99">
        <f t="shared" ref="L494:M494" si="478">COUNTIF(A494:A1705,A494)</f>
        <v>1</v>
      </c>
      <c r="M494" s="99">
        <f t="shared" si="478"/>
        <v>1</v>
      </c>
      <c r="N494" s="84"/>
      <c r="O494" s="84"/>
      <c r="P494" s="84"/>
      <c r="Q494" s="84"/>
      <c r="R494" s="84"/>
    </row>
    <row r="495" ht="15.75" customHeight="1">
      <c r="A495" s="129">
        <v>1.2099009E7</v>
      </c>
      <c r="B495" s="106" t="s">
        <v>1640</v>
      </c>
      <c r="C495" s="165"/>
      <c r="D495" s="133"/>
      <c r="E495" s="179" t="s">
        <v>247</v>
      </c>
      <c r="F495" s="179" t="s">
        <v>247</v>
      </c>
      <c r="G495" s="133"/>
      <c r="H495" s="133"/>
      <c r="I495" s="99"/>
      <c r="K495" s="84"/>
      <c r="L495" s="99">
        <f t="shared" ref="L495:M495" si="479">COUNTIF(A495:A1706,A495)</f>
        <v>1</v>
      </c>
      <c r="M495" s="99">
        <f t="shared" si="479"/>
        <v>1</v>
      </c>
      <c r="N495" s="84"/>
      <c r="O495" s="84"/>
      <c r="P495" s="84"/>
      <c r="Q495" s="84"/>
      <c r="R495" s="84"/>
    </row>
    <row r="496" ht="15.75" customHeight="1">
      <c r="A496" s="129">
        <v>1.209901E7</v>
      </c>
      <c r="B496" s="106" t="s">
        <v>1641</v>
      </c>
      <c r="C496" s="165"/>
      <c r="D496" s="133"/>
      <c r="E496" s="180" t="s">
        <v>1448</v>
      </c>
      <c r="F496" s="178"/>
      <c r="G496" s="133"/>
      <c r="H496" s="133"/>
      <c r="I496" s="99"/>
      <c r="K496" s="84"/>
      <c r="L496" s="99">
        <f t="shared" ref="L496:M496" si="480">COUNTIF(A496:A1707,A496)</f>
        <v>1</v>
      </c>
      <c r="M496" s="99">
        <f t="shared" si="480"/>
        <v>1</v>
      </c>
      <c r="N496" s="84"/>
      <c r="O496" s="84"/>
      <c r="P496" s="84"/>
      <c r="Q496" s="84"/>
      <c r="R496" s="84"/>
    </row>
    <row r="497" ht="15.75" customHeight="1">
      <c r="A497" s="129">
        <v>1.2099011E7</v>
      </c>
      <c r="B497" s="106" t="s">
        <v>1642</v>
      </c>
      <c r="C497" s="165"/>
      <c r="D497" s="133"/>
      <c r="E497" s="178"/>
      <c r="F497" s="178"/>
      <c r="G497" s="133"/>
      <c r="H497" s="133"/>
      <c r="I497" s="99"/>
      <c r="K497" s="84"/>
      <c r="L497" s="99"/>
      <c r="M497" s="99"/>
      <c r="N497" s="84"/>
      <c r="O497" s="84"/>
      <c r="P497" s="84"/>
      <c r="Q497" s="84"/>
      <c r="R497" s="84"/>
    </row>
    <row r="498" ht="15.75" customHeight="1">
      <c r="A498" s="129">
        <v>1.2099012E7</v>
      </c>
      <c r="B498" s="106" t="s">
        <v>1643</v>
      </c>
      <c r="C498" s="165"/>
      <c r="D498" s="133"/>
      <c r="E498" s="178"/>
      <c r="F498" s="178"/>
      <c r="G498" s="133"/>
      <c r="H498" s="133"/>
      <c r="I498" s="99"/>
      <c r="K498" s="84"/>
      <c r="L498" s="99"/>
      <c r="M498" s="99"/>
      <c r="N498" s="84"/>
      <c r="O498" s="84"/>
      <c r="P498" s="84"/>
      <c r="Q498" s="84"/>
      <c r="R498" s="84"/>
    </row>
    <row r="499" ht="15.75" customHeight="1">
      <c r="A499" s="129">
        <v>1.2099013E7</v>
      </c>
      <c r="B499" s="106" t="s">
        <v>1644</v>
      </c>
      <c r="C499" s="165"/>
      <c r="D499" s="133"/>
      <c r="E499" s="178"/>
      <c r="F499" s="178"/>
      <c r="G499" s="133"/>
      <c r="H499" s="133"/>
      <c r="I499" s="99"/>
      <c r="K499" s="84"/>
      <c r="L499" s="99"/>
      <c r="M499" s="99"/>
      <c r="N499" s="84"/>
      <c r="O499" s="84"/>
      <c r="P499" s="84"/>
      <c r="Q499" s="84"/>
      <c r="R499" s="84"/>
    </row>
    <row r="500" ht="15.75" customHeight="1">
      <c r="A500" s="129">
        <v>1.2099014E7</v>
      </c>
      <c r="B500" s="136" t="s">
        <v>1645</v>
      </c>
      <c r="C500" s="165"/>
      <c r="D500" s="133"/>
      <c r="E500" s="178"/>
      <c r="F500" s="178"/>
      <c r="G500" s="133"/>
      <c r="H500" s="133"/>
      <c r="I500" s="99"/>
      <c r="K500" s="84"/>
      <c r="L500" s="99"/>
      <c r="M500" s="99"/>
      <c r="N500" s="84"/>
      <c r="O500" s="84"/>
      <c r="P500" s="84"/>
      <c r="Q500" s="84"/>
      <c r="R500" s="84"/>
    </row>
    <row r="501" ht="15.75" customHeight="1">
      <c r="A501" s="129">
        <v>1.2099015E7</v>
      </c>
      <c r="B501" s="106" t="s">
        <v>1646</v>
      </c>
      <c r="C501" s="165"/>
      <c r="D501" s="133"/>
      <c r="E501" s="178"/>
      <c r="F501" s="178"/>
      <c r="G501" s="133"/>
      <c r="H501" s="133"/>
      <c r="I501" s="99"/>
      <c r="K501" s="84"/>
      <c r="L501" s="99">
        <f t="shared" ref="L501:M501" si="481">COUNTIF(A501:A1708,A501)</f>
        <v>1</v>
      </c>
      <c r="M501" s="99">
        <f t="shared" si="481"/>
        <v>1</v>
      </c>
      <c r="N501" s="84"/>
      <c r="O501" s="84"/>
      <c r="P501" s="84"/>
      <c r="Q501" s="84"/>
      <c r="R501" s="84"/>
    </row>
    <row r="502" ht="15.75" customHeight="1">
      <c r="A502" s="129">
        <v>1.2099016E7</v>
      </c>
      <c r="B502" s="106" t="s">
        <v>1647</v>
      </c>
      <c r="C502" s="165"/>
      <c r="D502" s="133"/>
      <c r="E502" s="179" t="s">
        <v>247</v>
      </c>
      <c r="F502" s="179" t="s">
        <v>247</v>
      </c>
      <c r="G502" s="133"/>
      <c r="H502" s="133"/>
      <c r="I502" s="99"/>
      <c r="K502" s="84"/>
      <c r="L502" s="99">
        <f t="shared" ref="L502:M502" si="482">COUNTIF(A502:A1709,A502)</f>
        <v>1</v>
      </c>
      <c r="M502" s="99">
        <f t="shared" si="482"/>
        <v>1</v>
      </c>
      <c r="N502" s="84"/>
      <c r="O502" s="84"/>
      <c r="P502" s="84"/>
      <c r="Q502" s="84"/>
      <c r="R502" s="84"/>
    </row>
    <row r="503" ht="15.75" customHeight="1">
      <c r="A503" s="129">
        <v>1.2099017E7</v>
      </c>
      <c r="B503" s="106" t="s">
        <v>1648</v>
      </c>
      <c r="C503" s="182"/>
      <c r="D503" s="133"/>
      <c r="E503" s="180" t="s">
        <v>1649</v>
      </c>
      <c r="F503" s="178"/>
      <c r="G503" s="133"/>
      <c r="H503" s="133"/>
      <c r="I503" s="99"/>
      <c r="K503" s="84"/>
      <c r="L503" s="99">
        <f t="shared" ref="L503:M503" si="483">COUNTIF(A503:A1710,A503)</f>
        <v>1</v>
      </c>
      <c r="M503" s="99">
        <f t="shared" si="483"/>
        <v>1</v>
      </c>
      <c r="N503" s="84"/>
      <c r="O503" s="84"/>
      <c r="P503" s="84"/>
      <c r="Q503" s="84"/>
      <c r="R503" s="84"/>
    </row>
    <row r="504" ht="15.75" customHeight="1">
      <c r="A504" s="129">
        <v>1.2099018E7</v>
      </c>
      <c r="B504" s="106" t="s">
        <v>1650</v>
      </c>
      <c r="C504" s="106"/>
      <c r="D504" s="133"/>
      <c r="E504" s="172"/>
      <c r="F504" s="178"/>
      <c r="G504" s="106"/>
      <c r="H504" s="133"/>
      <c r="I504" s="99"/>
      <c r="K504" s="84"/>
      <c r="L504" s="99"/>
      <c r="M504" s="99"/>
      <c r="N504" s="84"/>
      <c r="O504" s="84"/>
      <c r="P504" s="84"/>
      <c r="Q504" s="84"/>
      <c r="R504" s="84"/>
    </row>
    <row r="505" ht="15.75" customHeight="1">
      <c r="A505" s="129">
        <v>1.2099019E7</v>
      </c>
      <c r="B505" s="106" t="s">
        <v>1651</v>
      </c>
      <c r="C505" s="106"/>
      <c r="D505" s="133"/>
      <c r="E505" s="172"/>
      <c r="F505" s="178"/>
      <c r="G505" s="106"/>
      <c r="H505" s="133"/>
      <c r="I505" s="99"/>
      <c r="K505" s="84"/>
      <c r="L505" s="99"/>
      <c r="M505" s="99"/>
      <c r="N505" s="84"/>
      <c r="O505" s="84"/>
      <c r="P505" s="84"/>
      <c r="Q505" s="84"/>
      <c r="R505" s="84"/>
    </row>
    <row r="506" ht="15.75" customHeight="1">
      <c r="A506" s="129">
        <v>1.209902E7</v>
      </c>
      <c r="B506" s="106" t="s">
        <v>1652</v>
      </c>
      <c r="C506" s="106"/>
      <c r="D506" s="133"/>
      <c r="E506" s="172"/>
      <c r="F506" s="178"/>
      <c r="G506" s="106"/>
      <c r="H506" s="133"/>
      <c r="I506" s="99"/>
      <c r="K506" s="84"/>
      <c r="L506" s="99"/>
      <c r="M506" s="99"/>
      <c r="N506" s="84"/>
      <c r="O506" s="84"/>
      <c r="P506" s="84"/>
      <c r="Q506" s="84"/>
      <c r="R506" s="84"/>
    </row>
    <row r="507" ht="15.75" customHeight="1">
      <c r="A507" s="129">
        <v>1.2099021E7</v>
      </c>
      <c r="B507" s="137" t="s">
        <v>1653</v>
      </c>
      <c r="C507" s="106"/>
      <c r="D507" s="133"/>
      <c r="E507" s="172"/>
      <c r="F507" s="178"/>
      <c r="G507" s="106"/>
      <c r="H507" s="133"/>
      <c r="I507" s="99"/>
      <c r="K507" s="84"/>
      <c r="L507" s="99"/>
      <c r="M507" s="99"/>
      <c r="N507" s="84"/>
      <c r="O507" s="84"/>
      <c r="P507" s="84"/>
      <c r="Q507" s="84"/>
      <c r="R507" s="84"/>
    </row>
    <row r="508" ht="15.75" customHeight="1">
      <c r="A508" s="129">
        <v>1.2017001E7</v>
      </c>
      <c r="B508" s="183" t="s">
        <v>1654</v>
      </c>
      <c r="C508" s="130" t="s">
        <v>1655</v>
      </c>
      <c r="D508" s="133"/>
      <c r="E508" s="172"/>
      <c r="F508" s="178"/>
      <c r="G508" s="106" t="s">
        <v>420</v>
      </c>
      <c r="H508" s="133"/>
      <c r="I508" s="99"/>
      <c r="K508" s="84"/>
      <c r="L508" s="99">
        <f t="shared" ref="L508:M508" si="484">COUNTIF(A508:A1711,A508)</f>
        <v>1</v>
      </c>
      <c r="M508" s="99">
        <f t="shared" si="484"/>
        <v>1</v>
      </c>
      <c r="N508" s="84"/>
      <c r="O508" s="84"/>
      <c r="P508" s="84"/>
      <c r="Q508" s="84"/>
      <c r="R508" s="84"/>
    </row>
    <row r="509" ht="15.75" customHeight="1">
      <c r="A509" s="129">
        <v>1.2017002E7</v>
      </c>
      <c r="B509" s="135" t="s">
        <v>1656</v>
      </c>
      <c r="C509" s="59"/>
      <c r="D509" s="133"/>
      <c r="E509" s="184"/>
      <c r="F509" s="178"/>
      <c r="G509" s="159"/>
      <c r="H509" s="133"/>
      <c r="I509" s="99"/>
      <c r="K509" s="84"/>
      <c r="L509" s="99">
        <f t="shared" ref="L509:M509" si="485">COUNTIF(A509:A1712,A509)</f>
        <v>1</v>
      </c>
      <c r="M509" s="99">
        <f t="shared" si="485"/>
        <v>1</v>
      </c>
      <c r="N509" s="84"/>
      <c r="O509" s="84"/>
      <c r="P509" s="84"/>
      <c r="Q509" s="84"/>
      <c r="R509" s="84"/>
    </row>
    <row r="510" ht="15.75" customHeight="1">
      <c r="A510" s="129">
        <v>1.2017003E7</v>
      </c>
      <c r="B510" s="135" t="s">
        <v>1657</v>
      </c>
      <c r="C510" s="59"/>
      <c r="D510" s="133"/>
      <c r="E510" s="178"/>
      <c r="F510" s="178"/>
      <c r="G510" s="106" t="s">
        <v>423</v>
      </c>
      <c r="H510" s="133"/>
      <c r="I510" s="99"/>
      <c r="K510" s="84"/>
      <c r="L510" s="99">
        <f t="shared" ref="L510:M510" si="486">COUNTIF(A510:A1713,A510)</f>
        <v>1</v>
      </c>
      <c r="M510" s="99">
        <f t="shared" si="486"/>
        <v>1</v>
      </c>
      <c r="N510" s="84"/>
      <c r="O510" s="84"/>
      <c r="P510" s="84"/>
      <c r="Q510" s="84"/>
      <c r="R510" s="84"/>
    </row>
    <row r="511" ht="15.75" customHeight="1">
      <c r="A511" s="129">
        <v>1.2017004E7</v>
      </c>
      <c r="B511" s="135" t="s">
        <v>1658</v>
      </c>
      <c r="C511" s="59"/>
      <c r="D511" s="133"/>
      <c r="E511" s="176" t="s">
        <v>235</v>
      </c>
      <c r="F511" s="178"/>
      <c r="G511" s="159"/>
      <c r="H511" s="133"/>
      <c r="I511" s="99"/>
      <c r="K511" s="84"/>
      <c r="L511" s="99">
        <f t="shared" ref="L511:M511" si="487">COUNTIF(A511:A1714,A511)</f>
        <v>1</v>
      </c>
      <c r="M511" s="99">
        <f t="shared" si="487"/>
        <v>1</v>
      </c>
      <c r="N511" s="84"/>
      <c r="O511" s="84"/>
      <c r="P511" s="84"/>
      <c r="Q511" s="84"/>
      <c r="R511" s="84"/>
    </row>
    <row r="512" ht="15.75" customHeight="1">
      <c r="A512" s="129">
        <v>1.2018001E7</v>
      </c>
      <c r="B512" s="135" t="s">
        <v>1659</v>
      </c>
      <c r="C512" s="59"/>
      <c r="D512" s="133"/>
      <c r="E512" s="172"/>
      <c r="F512" s="178"/>
      <c r="G512" s="106" t="s">
        <v>428</v>
      </c>
      <c r="H512" s="133"/>
      <c r="I512" s="99"/>
      <c r="K512" s="84"/>
      <c r="L512" s="99">
        <f t="shared" ref="L512:M512" si="488">COUNTIF(A512:A1715,A512)</f>
        <v>1</v>
      </c>
      <c r="M512" s="99">
        <f t="shared" si="488"/>
        <v>1</v>
      </c>
      <c r="N512" s="84"/>
      <c r="O512" s="84"/>
      <c r="P512" s="84"/>
      <c r="Q512" s="84"/>
      <c r="R512" s="84"/>
    </row>
    <row r="513" ht="15.75" customHeight="1">
      <c r="A513" s="129">
        <v>1.2018002E7</v>
      </c>
      <c r="B513" s="135" t="s">
        <v>1660</v>
      </c>
      <c r="C513" s="59"/>
      <c r="D513" s="133"/>
      <c r="E513" s="172"/>
      <c r="F513" s="178"/>
      <c r="G513" s="106" t="s">
        <v>428</v>
      </c>
      <c r="H513" s="133"/>
      <c r="I513" s="99"/>
      <c r="K513" s="84"/>
      <c r="L513" s="99">
        <f t="shared" ref="L513:M513" si="489">COUNTIF(A513:A1716,A513)</f>
        <v>1</v>
      </c>
      <c r="M513" s="99">
        <f t="shared" si="489"/>
        <v>1</v>
      </c>
      <c r="N513" s="84"/>
      <c r="O513" s="84"/>
      <c r="P513" s="84"/>
      <c r="Q513" s="84"/>
      <c r="R513" s="84"/>
    </row>
    <row r="514" ht="15.75" customHeight="1">
      <c r="A514" s="129">
        <v>1.2018003E7</v>
      </c>
      <c r="B514" s="135" t="s">
        <v>1661</v>
      </c>
      <c r="C514" s="59"/>
      <c r="D514" s="133"/>
      <c r="E514" s="176" t="s">
        <v>736</v>
      </c>
      <c r="F514" s="178"/>
      <c r="G514" s="106" t="s">
        <v>428</v>
      </c>
      <c r="H514" s="133"/>
      <c r="I514" s="99"/>
      <c r="K514" s="84"/>
      <c r="L514" s="99">
        <f t="shared" ref="L514:M514" si="490">COUNTIF(A514:A1717,A514)</f>
        <v>1</v>
      </c>
      <c r="M514" s="99">
        <f t="shared" si="490"/>
        <v>1</v>
      </c>
      <c r="N514" s="84"/>
      <c r="O514" s="84"/>
      <c r="P514" s="84"/>
      <c r="Q514" s="84"/>
      <c r="R514" s="84"/>
    </row>
    <row r="515" ht="15.75" customHeight="1">
      <c r="A515" s="129">
        <v>3.0010001E7</v>
      </c>
      <c r="B515" s="135" t="s">
        <v>1662</v>
      </c>
      <c r="C515" s="59"/>
      <c r="D515" s="133"/>
      <c r="E515" s="176" t="s">
        <v>247</v>
      </c>
      <c r="F515" s="176" t="s">
        <v>247</v>
      </c>
      <c r="G515" s="159"/>
      <c r="H515" s="133"/>
      <c r="I515" s="99"/>
      <c r="K515" s="84"/>
      <c r="L515" s="99">
        <f t="shared" ref="L515:M515" si="491">COUNTIF(A515:A1718,A515)</f>
        <v>1</v>
      </c>
      <c r="M515" s="99">
        <f t="shared" si="491"/>
        <v>1</v>
      </c>
      <c r="N515" s="84"/>
      <c r="O515" s="84"/>
      <c r="P515" s="84"/>
      <c r="Q515" s="84"/>
      <c r="R515" s="84"/>
    </row>
    <row r="516" ht="15.75" customHeight="1">
      <c r="A516" s="185">
        <v>1.2017005E7</v>
      </c>
      <c r="B516" s="135" t="s">
        <v>1663</v>
      </c>
      <c r="C516" s="59"/>
      <c r="D516" s="133"/>
      <c r="E516" s="172"/>
      <c r="F516" s="178"/>
      <c r="G516" s="106" t="s">
        <v>426</v>
      </c>
      <c r="H516" s="150" t="s">
        <v>1664</v>
      </c>
      <c r="I516" s="99"/>
      <c r="K516" s="84"/>
      <c r="L516" s="99">
        <f t="shared" ref="L516:M516" si="492">COUNTIF(A516:A1719,A516)</f>
        <v>1</v>
      </c>
      <c r="M516" s="99">
        <f t="shared" si="492"/>
        <v>1</v>
      </c>
      <c r="N516" s="84"/>
      <c r="O516" s="84"/>
      <c r="P516" s="84"/>
      <c r="Q516" s="84"/>
      <c r="R516" s="84"/>
    </row>
    <row r="517" ht="15.75" customHeight="1">
      <c r="A517" s="129">
        <v>1.2017011E7</v>
      </c>
      <c r="B517" s="183" t="s">
        <v>1665</v>
      </c>
      <c r="C517" s="130" t="s">
        <v>1666</v>
      </c>
      <c r="D517" s="133"/>
      <c r="E517" s="172"/>
      <c r="F517" s="178"/>
      <c r="G517" s="106" t="s">
        <v>420</v>
      </c>
      <c r="H517" s="133"/>
      <c r="I517" s="99"/>
      <c r="K517" s="84"/>
      <c r="L517" s="99">
        <f t="shared" ref="L517:M517" si="493">COUNTIF(A517:A1720,A517)</f>
        <v>1</v>
      </c>
      <c r="M517" s="99">
        <f t="shared" si="493"/>
        <v>1</v>
      </c>
      <c r="N517" s="84"/>
      <c r="O517" s="84"/>
      <c r="P517" s="84"/>
      <c r="Q517" s="84"/>
      <c r="R517" s="84"/>
    </row>
    <row r="518" ht="15.75" customHeight="1">
      <c r="A518" s="129">
        <v>1.2017012E7</v>
      </c>
      <c r="B518" s="135" t="s">
        <v>1667</v>
      </c>
      <c r="C518" s="59"/>
      <c r="D518" s="133"/>
      <c r="E518" s="184"/>
      <c r="F518" s="178"/>
      <c r="G518" s="159"/>
      <c r="H518" s="133"/>
      <c r="I518" s="99"/>
      <c r="K518" s="84"/>
      <c r="L518" s="99">
        <f t="shared" ref="L518:M518" si="494">COUNTIF(A518:A1721,A518)</f>
        <v>1</v>
      </c>
      <c r="M518" s="99">
        <f t="shared" si="494"/>
        <v>1</v>
      </c>
      <c r="N518" s="84"/>
      <c r="O518" s="84"/>
      <c r="P518" s="84"/>
      <c r="Q518" s="84"/>
      <c r="R518" s="84"/>
    </row>
    <row r="519" ht="15.75" customHeight="1">
      <c r="A519" s="129">
        <v>1.2017013E7</v>
      </c>
      <c r="B519" s="135" t="s">
        <v>1668</v>
      </c>
      <c r="C519" s="59"/>
      <c r="D519" s="133"/>
      <c r="E519" s="178"/>
      <c r="F519" s="178"/>
      <c r="G519" s="106" t="s">
        <v>423</v>
      </c>
      <c r="H519" s="133"/>
      <c r="I519" s="99"/>
      <c r="K519" s="84"/>
      <c r="L519" s="99">
        <f t="shared" ref="L519:M519" si="495">COUNTIF(A519:A1722,A519)</f>
        <v>1</v>
      </c>
      <c r="M519" s="99">
        <f t="shared" si="495"/>
        <v>1</v>
      </c>
      <c r="N519" s="84"/>
      <c r="O519" s="84"/>
      <c r="P519" s="84"/>
      <c r="Q519" s="84"/>
      <c r="R519" s="84"/>
    </row>
    <row r="520" ht="15.75" customHeight="1">
      <c r="A520" s="129">
        <v>1.2017014E7</v>
      </c>
      <c r="B520" s="135" t="s">
        <v>1669</v>
      </c>
      <c r="C520" s="59"/>
      <c r="D520" s="133"/>
      <c r="E520" s="176" t="s">
        <v>235</v>
      </c>
      <c r="F520" s="178"/>
      <c r="G520" s="159"/>
      <c r="H520" s="133"/>
      <c r="I520" s="99"/>
      <c r="K520" s="84"/>
      <c r="L520" s="99">
        <f t="shared" ref="L520:M520" si="496">COUNTIF(A520:A1723,A520)</f>
        <v>1</v>
      </c>
      <c r="M520" s="99">
        <f t="shared" si="496"/>
        <v>1</v>
      </c>
      <c r="N520" s="84"/>
      <c r="O520" s="84"/>
      <c r="P520" s="84"/>
      <c r="Q520" s="84"/>
      <c r="R520" s="84"/>
    </row>
    <row r="521" ht="15.75" customHeight="1">
      <c r="A521" s="129">
        <v>1.2018011E7</v>
      </c>
      <c r="B521" s="135" t="s">
        <v>1670</v>
      </c>
      <c r="C521" s="59"/>
      <c r="D521" s="133"/>
      <c r="E521" s="172"/>
      <c r="F521" s="178"/>
      <c r="G521" s="106" t="s">
        <v>428</v>
      </c>
      <c r="H521" s="133"/>
      <c r="I521" s="99"/>
      <c r="K521" s="84"/>
      <c r="L521" s="99">
        <f t="shared" ref="L521:M521" si="497">COUNTIF(A521:A1724,A521)</f>
        <v>1</v>
      </c>
      <c r="M521" s="99">
        <f t="shared" si="497"/>
        <v>1</v>
      </c>
      <c r="N521" s="84"/>
      <c r="O521" s="84"/>
      <c r="P521" s="84"/>
      <c r="Q521" s="84"/>
      <c r="R521" s="84"/>
    </row>
    <row r="522" ht="15.75" customHeight="1">
      <c r="A522" s="129">
        <v>1.2018012E7</v>
      </c>
      <c r="B522" s="135" t="s">
        <v>1671</v>
      </c>
      <c r="C522" s="59"/>
      <c r="D522" s="133"/>
      <c r="E522" s="172"/>
      <c r="F522" s="178"/>
      <c r="G522" s="106" t="s">
        <v>428</v>
      </c>
      <c r="H522" s="133"/>
      <c r="I522" s="99"/>
      <c r="K522" s="84"/>
      <c r="L522" s="99">
        <f t="shared" ref="L522:M522" si="498">COUNTIF(A522:A1725,A522)</f>
        <v>1</v>
      </c>
      <c r="M522" s="99">
        <f t="shared" si="498"/>
        <v>1</v>
      </c>
      <c r="N522" s="84"/>
      <c r="O522" s="84"/>
      <c r="P522" s="84"/>
      <c r="Q522" s="84"/>
      <c r="R522" s="84"/>
    </row>
    <row r="523" ht="15.75" customHeight="1">
      <c r="A523" s="129">
        <v>1.2018013E7</v>
      </c>
      <c r="B523" s="135" t="s">
        <v>1672</v>
      </c>
      <c r="C523" s="59"/>
      <c r="D523" s="133"/>
      <c r="E523" s="176" t="s">
        <v>736</v>
      </c>
      <c r="F523" s="178"/>
      <c r="G523" s="106" t="s">
        <v>428</v>
      </c>
      <c r="H523" s="133"/>
      <c r="I523" s="99"/>
      <c r="K523" s="84"/>
      <c r="L523" s="99">
        <f t="shared" ref="L523:M523" si="499">COUNTIF(A523:A1726,A523)</f>
        <v>1</v>
      </c>
      <c r="M523" s="99">
        <f t="shared" si="499"/>
        <v>1</v>
      </c>
      <c r="N523" s="84"/>
      <c r="O523" s="84"/>
      <c r="P523" s="84"/>
      <c r="Q523" s="84"/>
      <c r="R523" s="84"/>
    </row>
    <row r="524" ht="15.75" customHeight="1">
      <c r="A524" s="129">
        <v>3.0010021E7</v>
      </c>
      <c r="B524" s="135" t="s">
        <v>1673</v>
      </c>
      <c r="C524" s="59"/>
      <c r="D524" s="133"/>
      <c r="E524" s="176" t="s">
        <v>247</v>
      </c>
      <c r="F524" s="176" t="s">
        <v>247</v>
      </c>
      <c r="G524" s="159"/>
      <c r="H524" s="133"/>
      <c r="I524" s="99"/>
      <c r="K524" s="84"/>
      <c r="L524" s="99">
        <f t="shared" ref="L524:M524" si="500">COUNTIF(A524:A1727,A524)</f>
        <v>1</v>
      </c>
      <c r="M524" s="99">
        <f t="shared" si="500"/>
        <v>1</v>
      </c>
      <c r="N524" s="84"/>
      <c r="O524" s="84"/>
      <c r="P524" s="84"/>
      <c r="Q524" s="84"/>
      <c r="R524" s="84"/>
    </row>
    <row r="525" ht="15.75" customHeight="1">
      <c r="A525" s="185">
        <v>1.2017025E7</v>
      </c>
      <c r="B525" s="135" t="s">
        <v>1674</v>
      </c>
      <c r="C525" s="59"/>
      <c r="D525" s="133"/>
      <c r="E525" s="172"/>
      <c r="F525" s="178"/>
      <c r="G525" s="106" t="s">
        <v>426</v>
      </c>
      <c r="H525" s="150" t="s">
        <v>1664</v>
      </c>
      <c r="I525" s="99"/>
      <c r="K525" s="84"/>
      <c r="L525" s="99">
        <f t="shared" ref="L525:M525" si="501">COUNTIF(A525:A1728,A525)</f>
        <v>1</v>
      </c>
      <c r="M525" s="99">
        <f t="shared" si="501"/>
        <v>1</v>
      </c>
      <c r="N525" s="84"/>
      <c r="O525" s="84"/>
      <c r="P525" s="84"/>
      <c r="Q525" s="84"/>
      <c r="R525" s="84"/>
    </row>
    <row r="526" ht="15.75" customHeight="1">
      <c r="A526" s="129">
        <v>1.2025001E7</v>
      </c>
      <c r="B526" s="106" t="s">
        <v>1675</v>
      </c>
      <c r="C526" s="130" t="s">
        <v>1676</v>
      </c>
      <c r="D526" s="133"/>
      <c r="E526" s="172"/>
      <c r="F526" s="178"/>
      <c r="G526" s="106" t="s">
        <v>420</v>
      </c>
      <c r="H526" s="133"/>
      <c r="I526" s="99"/>
      <c r="K526" s="84"/>
      <c r="L526" s="99"/>
      <c r="M526" s="99"/>
      <c r="N526" s="84"/>
      <c r="O526" s="84"/>
      <c r="P526" s="84"/>
      <c r="Q526" s="84"/>
      <c r="R526" s="84"/>
    </row>
    <row r="527" ht="15.75" customHeight="1">
      <c r="A527" s="129">
        <v>1.2025002E7</v>
      </c>
      <c r="B527" s="106" t="s">
        <v>1677</v>
      </c>
      <c r="C527" s="59"/>
      <c r="D527" s="133"/>
      <c r="E527" s="186"/>
      <c r="F527" s="178"/>
      <c r="G527" s="106" t="s">
        <v>420</v>
      </c>
      <c r="H527" s="133"/>
      <c r="I527" s="99"/>
      <c r="K527" s="84"/>
      <c r="L527" s="99"/>
      <c r="M527" s="99"/>
      <c r="N527" s="84"/>
      <c r="O527" s="84"/>
      <c r="P527" s="84"/>
      <c r="Q527" s="84"/>
      <c r="R527" s="84"/>
    </row>
    <row r="528" ht="15.75" customHeight="1">
      <c r="A528" s="129">
        <v>1.2025003E7</v>
      </c>
      <c r="B528" s="106" t="s">
        <v>1678</v>
      </c>
      <c r="C528" s="59"/>
      <c r="D528" s="133"/>
      <c r="E528" s="178"/>
      <c r="F528" s="178"/>
      <c r="G528" s="106" t="s">
        <v>423</v>
      </c>
      <c r="H528" s="133"/>
      <c r="I528" s="99"/>
      <c r="K528" s="84"/>
      <c r="L528" s="99"/>
      <c r="M528" s="99"/>
      <c r="N528" s="84"/>
      <c r="O528" s="84"/>
      <c r="P528" s="84"/>
      <c r="Q528" s="84"/>
      <c r="R528" s="84"/>
    </row>
    <row r="529" ht="15.75" customHeight="1">
      <c r="A529" s="129">
        <v>1.2025004E7</v>
      </c>
      <c r="B529" s="106" t="s">
        <v>1679</v>
      </c>
      <c r="C529" s="59"/>
      <c r="D529" s="133"/>
      <c r="E529" s="176" t="s">
        <v>235</v>
      </c>
      <c r="F529" s="178"/>
      <c r="G529" s="159"/>
      <c r="H529" s="133"/>
      <c r="I529" s="99"/>
      <c r="K529" s="84"/>
      <c r="L529" s="99"/>
      <c r="M529" s="99"/>
      <c r="N529" s="84"/>
      <c r="O529" s="84"/>
      <c r="P529" s="84"/>
      <c r="Q529" s="84"/>
      <c r="R529" s="84"/>
    </row>
    <row r="530" ht="15.75" customHeight="1">
      <c r="A530" s="129">
        <v>1.2026001E7</v>
      </c>
      <c r="B530" s="106" t="s">
        <v>1680</v>
      </c>
      <c r="C530" s="59"/>
      <c r="D530" s="133"/>
      <c r="E530" s="172"/>
      <c r="F530" s="178"/>
      <c r="G530" s="106" t="s">
        <v>428</v>
      </c>
      <c r="H530" s="154"/>
      <c r="I530" s="99"/>
      <c r="K530" s="84"/>
      <c r="L530" s="99"/>
      <c r="M530" s="99"/>
      <c r="N530" s="84"/>
      <c r="O530" s="84"/>
      <c r="P530" s="84"/>
      <c r="Q530" s="84"/>
      <c r="R530" s="84"/>
    </row>
    <row r="531" ht="15.75" customHeight="1">
      <c r="A531" s="129">
        <v>1.2026002E7</v>
      </c>
      <c r="B531" s="106" t="s">
        <v>1681</v>
      </c>
      <c r="C531" s="59"/>
      <c r="D531" s="133"/>
      <c r="E531" s="172"/>
      <c r="F531" s="178"/>
      <c r="G531" s="106" t="s">
        <v>428</v>
      </c>
      <c r="H531" s="133"/>
      <c r="I531" s="99"/>
      <c r="K531" s="84"/>
      <c r="L531" s="99"/>
      <c r="M531" s="99"/>
      <c r="N531" s="84"/>
      <c r="O531" s="84"/>
      <c r="P531" s="84"/>
      <c r="Q531" s="84"/>
      <c r="R531" s="84"/>
    </row>
    <row r="532" ht="15.75" customHeight="1">
      <c r="A532" s="129">
        <v>1.2026003E7</v>
      </c>
      <c r="B532" s="106" t="s">
        <v>1682</v>
      </c>
      <c r="C532" s="59"/>
      <c r="D532" s="133"/>
      <c r="E532" s="176" t="s">
        <v>736</v>
      </c>
      <c r="F532" s="178"/>
      <c r="G532" s="106" t="s">
        <v>428</v>
      </c>
      <c r="H532" s="133"/>
      <c r="I532" s="99"/>
      <c r="K532" s="84"/>
      <c r="L532" s="99"/>
      <c r="M532" s="99"/>
      <c r="N532" s="84"/>
      <c r="O532" s="84"/>
      <c r="P532" s="84"/>
      <c r="Q532" s="84"/>
      <c r="R532" s="84"/>
    </row>
    <row r="533" ht="15.75" customHeight="1">
      <c r="A533" s="129">
        <v>3.0010002E7</v>
      </c>
      <c r="B533" s="106" t="s">
        <v>1683</v>
      </c>
      <c r="C533" s="59"/>
      <c r="D533" s="133"/>
      <c r="E533" s="176" t="s">
        <v>247</v>
      </c>
      <c r="F533" s="176" t="s">
        <v>247</v>
      </c>
      <c r="G533" s="159"/>
      <c r="H533" s="133"/>
      <c r="I533" s="99"/>
      <c r="K533" s="84"/>
      <c r="L533" s="99"/>
      <c r="M533" s="99"/>
      <c r="N533" s="84"/>
      <c r="O533" s="84"/>
      <c r="P533" s="84"/>
      <c r="Q533" s="84"/>
      <c r="R533" s="84"/>
    </row>
    <row r="534" ht="15.75" customHeight="1">
      <c r="A534" s="185">
        <v>1.2025005E7</v>
      </c>
      <c r="B534" s="106" t="s">
        <v>1684</v>
      </c>
      <c r="C534" s="59"/>
      <c r="D534" s="133"/>
      <c r="E534" s="172"/>
      <c r="F534" s="178"/>
      <c r="G534" s="106" t="s">
        <v>426</v>
      </c>
      <c r="H534" s="150" t="s">
        <v>1685</v>
      </c>
      <c r="I534" s="99"/>
      <c r="K534" s="84"/>
      <c r="L534" s="99"/>
      <c r="M534" s="99"/>
      <c r="N534" s="84"/>
      <c r="O534" s="84"/>
      <c r="P534" s="84"/>
      <c r="Q534" s="84"/>
      <c r="R534" s="84"/>
    </row>
    <row r="535" ht="15.75" customHeight="1">
      <c r="A535" s="129">
        <v>1.2025021E7</v>
      </c>
      <c r="B535" s="106" t="s">
        <v>1686</v>
      </c>
      <c r="C535" s="130" t="s">
        <v>1687</v>
      </c>
      <c r="D535" s="133"/>
      <c r="E535" s="172"/>
      <c r="F535" s="178"/>
      <c r="G535" s="106" t="s">
        <v>420</v>
      </c>
      <c r="H535" s="133"/>
      <c r="I535" s="99"/>
      <c r="K535" s="84"/>
      <c r="L535" s="99">
        <f t="shared" ref="L535:M535" si="502">COUNTIF(A535:A1720,A535)</f>
        <v>1</v>
      </c>
      <c r="M535" s="99">
        <f t="shared" si="502"/>
        <v>1</v>
      </c>
      <c r="N535" s="84"/>
      <c r="O535" s="84"/>
      <c r="P535" s="84"/>
      <c r="Q535" s="84"/>
      <c r="R535" s="84"/>
    </row>
    <row r="536" ht="15.75" customHeight="1">
      <c r="A536" s="129">
        <v>1.2025022E7</v>
      </c>
      <c r="B536" s="106" t="s">
        <v>1688</v>
      </c>
      <c r="C536" s="59"/>
      <c r="D536" s="133"/>
      <c r="E536" s="186"/>
      <c r="F536" s="178"/>
      <c r="G536" s="106" t="s">
        <v>420</v>
      </c>
      <c r="H536" s="133"/>
      <c r="I536" s="99"/>
      <c r="K536" s="84"/>
      <c r="L536" s="99">
        <f t="shared" ref="L536:M536" si="503">COUNTIF(A536:A1721,A536)</f>
        <v>1</v>
      </c>
      <c r="M536" s="99">
        <f t="shared" si="503"/>
        <v>1</v>
      </c>
      <c r="N536" s="84"/>
      <c r="O536" s="84"/>
      <c r="P536" s="84"/>
      <c r="Q536" s="84"/>
      <c r="R536" s="84"/>
    </row>
    <row r="537" ht="15.75" customHeight="1">
      <c r="A537" s="129">
        <v>1.2025023E7</v>
      </c>
      <c r="B537" s="106" t="s">
        <v>1689</v>
      </c>
      <c r="C537" s="59"/>
      <c r="D537" s="133"/>
      <c r="E537" s="178"/>
      <c r="F537" s="178"/>
      <c r="G537" s="106" t="s">
        <v>423</v>
      </c>
      <c r="H537" s="133"/>
      <c r="I537" s="99"/>
      <c r="K537" s="84"/>
      <c r="L537" s="99">
        <f t="shared" ref="L537:M537" si="504">COUNTIF(A537:A1722,A537)</f>
        <v>1</v>
      </c>
      <c r="M537" s="99">
        <f t="shared" si="504"/>
        <v>1</v>
      </c>
      <c r="N537" s="84"/>
      <c r="O537" s="84"/>
      <c r="P537" s="84"/>
      <c r="Q537" s="84"/>
      <c r="R537" s="84"/>
    </row>
    <row r="538" ht="15.75" customHeight="1">
      <c r="A538" s="129">
        <v>1.2025024E7</v>
      </c>
      <c r="B538" s="106" t="s">
        <v>1690</v>
      </c>
      <c r="C538" s="59"/>
      <c r="D538" s="133"/>
      <c r="E538" s="176" t="s">
        <v>235</v>
      </c>
      <c r="F538" s="178"/>
      <c r="G538" s="159"/>
      <c r="H538" s="133"/>
      <c r="I538" s="99"/>
      <c r="K538" s="84"/>
      <c r="L538" s="99">
        <f t="shared" ref="L538:M538" si="505">COUNTIF(A538:A1723,A538)</f>
        <v>1</v>
      </c>
      <c r="M538" s="99">
        <f t="shared" si="505"/>
        <v>1</v>
      </c>
      <c r="N538" s="84"/>
      <c r="O538" s="84"/>
      <c r="P538" s="84"/>
      <c r="Q538" s="84"/>
      <c r="R538" s="84"/>
    </row>
    <row r="539" ht="15.75" customHeight="1">
      <c r="A539" s="129">
        <v>1.2026021E7</v>
      </c>
      <c r="B539" s="106" t="s">
        <v>1691</v>
      </c>
      <c r="C539" s="59"/>
      <c r="D539" s="133"/>
      <c r="E539" s="172"/>
      <c r="F539" s="178"/>
      <c r="G539" s="106" t="s">
        <v>428</v>
      </c>
      <c r="H539" s="154"/>
      <c r="I539" s="99"/>
      <c r="K539" s="84"/>
      <c r="L539" s="99">
        <f t="shared" ref="L539:M539" si="506">COUNTIF(A539:A1724,A539)</f>
        <v>1</v>
      </c>
      <c r="M539" s="99">
        <f t="shared" si="506"/>
        <v>1</v>
      </c>
      <c r="N539" s="84"/>
      <c r="O539" s="84"/>
      <c r="P539" s="84"/>
      <c r="Q539" s="84"/>
      <c r="R539" s="84"/>
    </row>
    <row r="540" ht="15.75" customHeight="1">
      <c r="A540" s="129">
        <v>1.2026022E7</v>
      </c>
      <c r="B540" s="106" t="s">
        <v>1692</v>
      </c>
      <c r="C540" s="59"/>
      <c r="D540" s="133"/>
      <c r="E540" s="172"/>
      <c r="F540" s="178"/>
      <c r="G540" s="106" t="s">
        <v>428</v>
      </c>
      <c r="H540" s="133"/>
      <c r="I540" s="99"/>
      <c r="K540" s="84"/>
      <c r="L540" s="99">
        <f t="shared" ref="L540:M540" si="507">COUNTIF(A540:A1725,A540)</f>
        <v>1</v>
      </c>
      <c r="M540" s="99">
        <f t="shared" si="507"/>
        <v>1</v>
      </c>
      <c r="N540" s="84"/>
      <c r="O540" s="84"/>
      <c r="P540" s="84"/>
      <c r="Q540" s="84"/>
      <c r="R540" s="84"/>
    </row>
    <row r="541" ht="15.75" customHeight="1">
      <c r="A541" s="129">
        <v>1.2026023E7</v>
      </c>
      <c r="B541" s="106" t="s">
        <v>1693</v>
      </c>
      <c r="C541" s="59"/>
      <c r="D541" s="133"/>
      <c r="E541" s="176" t="s">
        <v>736</v>
      </c>
      <c r="F541" s="178"/>
      <c r="G541" s="106" t="s">
        <v>428</v>
      </c>
      <c r="H541" s="133"/>
      <c r="I541" s="99"/>
      <c r="K541" s="84"/>
      <c r="L541" s="99">
        <f t="shared" ref="L541:M541" si="508">COUNTIF(A541:A1726,A541)</f>
        <v>1</v>
      </c>
      <c r="M541" s="99">
        <f t="shared" si="508"/>
        <v>1</v>
      </c>
      <c r="N541" s="84"/>
      <c r="O541" s="84"/>
      <c r="P541" s="84"/>
      <c r="Q541" s="84"/>
      <c r="R541" s="84"/>
    </row>
    <row r="542" ht="15.75" customHeight="1">
      <c r="A542" s="129">
        <v>3.0010022E7</v>
      </c>
      <c r="B542" s="106" t="s">
        <v>1694</v>
      </c>
      <c r="C542" s="59"/>
      <c r="D542" s="133"/>
      <c r="E542" s="176" t="s">
        <v>247</v>
      </c>
      <c r="F542" s="176" t="s">
        <v>247</v>
      </c>
      <c r="G542" s="159"/>
      <c r="H542" s="133"/>
      <c r="I542" s="99"/>
      <c r="K542" s="84"/>
      <c r="L542" s="99">
        <f t="shared" ref="L542:M542" si="509">COUNTIF(A542:A1727,A542)</f>
        <v>1</v>
      </c>
      <c r="M542" s="99">
        <f t="shared" si="509"/>
        <v>1</v>
      </c>
      <c r="N542" s="84"/>
      <c r="O542" s="84"/>
      <c r="P542" s="84"/>
      <c r="Q542" s="84"/>
      <c r="R542" s="84"/>
    </row>
    <row r="543" ht="15.75" customHeight="1">
      <c r="A543" s="185">
        <v>1.2025025E7</v>
      </c>
      <c r="B543" s="106" t="s">
        <v>1695</v>
      </c>
      <c r="C543" s="59"/>
      <c r="D543" s="133"/>
      <c r="E543" s="172"/>
      <c r="F543" s="178"/>
      <c r="G543" s="106" t="s">
        <v>426</v>
      </c>
      <c r="H543" s="150" t="s">
        <v>1685</v>
      </c>
      <c r="I543" s="99"/>
      <c r="K543" s="84"/>
      <c r="L543" s="99">
        <f t="shared" ref="L543:M543" si="510">COUNTIF(A543:A1728,A543)</f>
        <v>1</v>
      </c>
      <c r="M543" s="99">
        <f t="shared" si="510"/>
        <v>1</v>
      </c>
      <c r="N543" s="84"/>
      <c r="O543" s="84"/>
      <c r="P543" s="84"/>
      <c r="Q543" s="84"/>
      <c r="R543" s="84"/>
    </row>
    <row r="544" ht="15.75" customHeight="1">
      <c r="A544" s="129">
        <v>1.2033001E7</v>
      </c>
      <c r="B544" s="137" t="s">
        <v>1696</v>
      </c>
      <c r="C544" s="130" t="s">
        <v>1697</v>
      </c>
      <c r="D544" s="133"/>
      <c r="E544" s="172"/>
      <c r="F544" s="178"/>
      <c r="G544" s="106" t="s">
        <v>420</v>
      </c>
      <c r="H544" s="133"/>
      <c r="I544" s="99"/>
      <c r="K544" s="84"/>
      <c r="L544" s="99">
        <f t="shared" ref="L544:M544" si="511">COUNTIF(A544:A1729,A544)</f>
        <v>1</v>
      </c>
      <c r="M544" s="99">
        <f t="shared" si="511"/>
        <v>1</v>
      </c>
      <c r="N544" s="84"/>
      <c r="O544" s="84"/>
      <c r="P544" s="84"/>
      <c r="Q544" s="84"/>
      <c r="R544" s="84"/>
    </row>
    <row r="545" ht="15.75" customHeight="1">
      <c r="A545" s="129">
        <v>1.2033002E7</v>
      </c>
      <c r="B545" s="137" t="s">
        <v>1698</v>
      </c>
      <c r="C545" s="59"/>
      <c r="D545" s="133"/>
      <c r="E545" s="186"/>
      <c r="F545" s="178"/>
      <c r="G545" s="106" t="s">
        <v>420</v>
      </c>
      <c r="H545" s="133"/>
      <c r="I545" s="99"/>
      <c r="K545" s="84"/>
      <c r="L545" s="99">
        <f t="shared" ref="L545:M545" si="512">COUNTIF(A545:A1730,A545)</f>
        <v>1</v>
      </c>
      <c r="M545" s="99">
        <f t="shared" si="512"/>
        <v>1</v>
      </c>
      <c r="N545" s="84"/>
      <c r="O545" s="84"/>
      <c r="P545" s="84"/>
      <c r="Q545" s="84"/>
      <c r="R545" s="84"/>
    </row>
    <row r="546" ht="15.75" customHeight="1">
      <c r="A546" s="129">
        <v>1.2033003E7</v>
      </c>
      <c r="B546" s="137" t="s">
        <v>1699</v>
      </c>
      <c r="C546" s="59"/>
      <c r="D546" s="133"/>
      <c r="E546" s="178"/>
      <c r="F546" s="178"/>
      <c r="G546" s="106" t="s">
        <v>423</v>
      </c>
      <c r="H546" s="133"/>
      <c r="I546" s="99"/>
      <c r="K546" s="84"/>
      <c r="L546" s="99">
        <f t="shared" ref="L546:M546" si="513">COUNTIF(A546:A1731,A546)</f>
        <v>1</v>
      </c>
      <c r="M546" s="99">
        <f t="shared" si="513"/>
        <v>1</v>
      </c>
      <c r="N546" s="84"/>
      <c r="O546" s="84"/>
      <c r="P546" s="84"/>
      <c r="Q546" s="84"/>
      <c r="R546" s="84"/>
    </row>
    <row r="547" ht="15.75" customHeight="1">
      <c r="A547" s="129">
        <v>1.2033004E7</v>
      </c>
      <c r="B547" s="137" t="s">
        <v>1700</v>
      </c>
      <c r="C547" s="59"/>
      <c r="D547" s="133"/>
      <c r="E547" s="176" t="s">
        <v>235</v>
      </c>
      <c r="F547" s="178"/>
      <c r="G547" s="159"/>
      <c r="H547" s="133"/>
      <c r="I547" s="99"/>
      <c r="K547" s="84"/>
      <c r="L547" s="99">
        <f t="shared" ref="L547:M547" si="514">COUNTIF(A547:A1732,A547)</f>
        <v>1</v>
      </c>
      <c r="M547" s="99">
        <f t="shared" si="514"/>
        <v>1</v>
      </c>
      <c r="N547" s="84"/>
      <c r="O547" s="84"/>
      <c r="P547" s="84"/>
      <c r="Q547" s="84"/>
      <c r="R547" s="84"/>
    </row>
    <row r="548" ht="15.75" customHeight="1">
      <c r="A548" s="129">
        <v>1.2034001E7</v>
      </c>
      <c r="B548" s="137" t="s">
        <v>1701</v>
      </c>
      <c r="C548" s="59"/>
      <c r="D548" s="133"/>
      <c r="E548" s="172"/>
      <c r="F548" s="178"/>
      <c r="G548" s="106" t="s">
        <v>428</v>
      </c>
      <c r="H548" s="133"/>
      <c r="I548" s="99"/>
      <c r="K548" s="84"/>
      <c r="L548" s="99">
        <f t="shared" ref="L548:M548" si="515">COUNTIF(A548:A1733,A548)</f>
        <v>1</v>
      </c>
      <c r="M548" s="99">
        <f t="shared" si="515"/>
        <v>1</v>
      </c>
      <c r="N548" s="84"/>
      <c r="O548" s="84"/>
      <c r="P548" s="84"/>
      <c r="Q548" s="84"/>
      <c r="R548" s="84"/>
    </row>
    <row r="549" ht="15.75" customHeight="1">
      <c r="A549" s="129">
        <v>1.2034002E7</v>
      </c>
      <c r="B549" s="137" t="s">
        <v>1702</v>
      </c>
      <c r="C549" s="59"/>
      <c r="D549" s="133"/>
      <c r="E549" s="172"/>
      <c r="F549" s="178"/>
      <c r="G549" s="106" t="s">
        <v>428</v>
      </c>
      <c r="H549" s="133"/>
      <c r="I549" s="99"/>
      <c r="K549" s="84"/>
      <c r="L549" s="99">
        <f t="shared" ref="L549:M549" si="516">COUNTIF(A549:A1734,A549)</f>
        <v>1</v>
      </c>
      <c r="M549" s="99">
        <f t="shared" si="516"/>
        <v>1</v>
      </c>
      <c r="N549" s="84"/>
      <c r="O549" s="84"/>
      <c r="P549" s="84"/>
      <c r="Q549" s="84"/>
      <c r="R549" s="84"/>
    </row>
    <row r="550" ht="15.75" customHeight="1">
      <c r="A550" s="129">
        <v>1.2034003E7</v>
      </c>
      <c r="B550" s="137" t="s">
        <v>1703</v>
      </c>
      <c r="C550" s="59"/>
      <c r="D550" s="133"/>
      <c r="E550" s="176" t="s">
        <v>736</v>
      </c>
      <c r="F550" s="178"/>
      <c r="G550" s="106" t="s">
        <v>428</v>
      </c>
      <c r="H550" s="133"/>
      <c r="I550" s="99"/>
      <c r="K550" s="84"/>
      <c r="L550" s="99">
        <f t="shared" ref="L550:M550" si="517">COUNTIF(A550:A1735,A550)</f>
        <v>1</v>
      </c>
      <c r="M550" s="99">
        <f t="shared" si="517"/>
        <v>1</v>
      </c>
      <c r="N550" s="84"/>
      <c r="O550" s="84"/>
      <c r="P550" s="84"/>
      <c r="Q550" s="84"/>
      <c r="R550" s="84"/>
    </row>
    <row r="551" ht="15.75" customHeight="1">
      <c r="A551" s="129">
        <v>3.0010003E7</v>
      </c>
      <c r="B551" s="137" t="s">
        <v>1704</v>
      </c>
      <c r="C551" s="59"/>
      <c r="D551" s="133"/>
      <c r="E551" s="176" t="s">
        <v>247</v>
      </c>
      <c r="F551" s="176" t="s">
        <v>247</v>
      </c>
      <c r="G551" s="159"/>
      <c r="H551" s="133"/>
      <c r="I551" s="99"/>
      <c r="K551" s="84"/>
      <c r="L551" s="99">
        <f t="shared" ref="L551:M551" si="518">COUNTIF(A551:A1736,A551)</f>
        <v>1</v>
      </c>
      <c r="M551" s="99">
        <f t="shared" si="518"/>
        <v>1</v>
      </c>
      <c r="N551" s="84"/>
      <c r="O551" s="84"/>
      <c r="P551" s="84"/>
      <c r="Q551" s="84"/>
      <c r="R551" s="84"/>
    </row>
    <row r="552" ht="15.75" customHeight="1">
      <c r="A552" s="185">
        <v>1.2033005E7</v>
      </c>
      <c r="B552" s="137" t="s">
        <v>1705</v>
      </c>
      <c r="C552" s="59"/>
      <c r="D552" s="133"/>
      <c r="E552" s="172"/>
      <c r="F552" s="178"/>
      <c r="G552" s="106" t="s">
        <v>426</v>
      </c>
      <c r="H552" s="150" t="s">
        <v>1706</v>
      </c>
      <c r="I552" s="99"/>
      <c r="K552" s="84"/>
      <c r="L552" s="99">
        <f t="shared" ref="L552:M552" si="519">COUNTIF(A552:A1729,A552)</f>
        <v>1</v>
      </c>
      <c r="M552" s="99">
        <f t="shared" si="519"/>
        <v>1</v>
      </c>
      <c r="N552" s="84"/>
      <c r="O552" s="84"/>
      <c r="P552" s="84"/>
      <c r="Q552" s="84"/>
      <c r="R552" s="84"/>
    </row>
    <row r="553" ht="15.75" customHeight="1">
      <c r="A553" s="129">
        <v>1.2033021E7</v>
      </c>
      <c r="B553" s="137" t="s">
        <v>1707</v>
      </c>
      <c r="C553" s="130" t="s">
        <v>1708</v>
      </c>
      <c r="D553" s="133"/>
      <c r="E553" s="172"/>
      <c r="F553" s="178"/>
      <c r="G553" s="106" t="s">
        <v>420</v>
      </c>
      <c r="H553" s="133"/>
      <c r="I553" s="99"/>
      <c r="K553" s="84"/>
      <c r="L553" s="99">
        <f t="shared" ref="L553:M553" si="520">COUNTIF(A553:A1736,A553)</f>
        <v>1</v>
      </c>
      <c r="M553" s="99">
        <f t="shared" si="520"/>
        <v>1</v>
      </c>
      <c r="N553" s="84"/>
      <c r="O553" s="84"/>
      <c r="P553" s="84"/>
      <c r="Q553" s="84"/>
      <c r="R553" s="84"/>
    </row>
    <row r="554" ht="15.75" customHeight="1">
      <c r="A554" s="129">
        <v>1.2033022E7</v>
      </c>
      <c r="B554" s="137" t="s">
        <v>1709</v>
      </c>
      <c r="C554" s="59"/>
      <c r="D554" s="133"/>
      <c r="E554" s="186"/>
      <c r="F554" s="178"/>
      <c r="G554" s="106" t="s">
        <v>420</v>
      </c>
      <c r="H554" s="133"/>
      <c r="I554" s="99"/>
      <c r="K554" s="84"/>
      <c r="L554" s="99">
        <f t="shared" ref="L554:M554" si="521">COUNTIF(A554:A1737,A554)</f>
        <v>1</v>
      </c>
      <c r="M554" s="99">
        <f t="shared" si="521"/>
        <v>1</v>
      </c>
      <c r="N554" s="84"/>
      <c r="O554" s="84"/>
      <c r="P554" s="84"/>
      <c r="Q554" s="84"/>
      <c r="R554" s="84"/>
    </row>
    <row r="555" ht="15.75" customHeight="1">
      <c r="A555" s="129">
        <v>1.2033023E7</v>
      </c>
      <c r="B555" s="137" t="s">
        <v>1710</v>
      </c>
      <c r="C555" s="59"/>
      <c r="D555" s="133"/>
      <c r="E555" s="178"/>
      <c r="F555" s="178"/>
      <c r="G555" s="106" t="s">
        <v>423</v>
      </c>
      <c r="H555" s="133"/>
      <c r="I555" s="99"/>
      <c r="K555" s="84"/>
      <c r="L555" s="99">
        <f t="shared" ref="L555:M555" si="522">COUNTIF(A555:A1738,A555)</f>
        <v>1</v>
      </c>
      <c r="M555" s="99">
        <f t="shared" si="522"/>
        <v>1</v>
      </c>
      <c r="N555" s="84"/>
      <c r="O555" s="84"/>
      <c r="P555" s="84"/>
      <c r="Q555" s="84"/>
      <c r="R555" s="84"/>
    </row>
    <row r="556" ht="15.75" customHeight="1">
      <c r="A556" s="129">
        <v>1.2033024E7</v>
      </c>
      <c r="B556" s="137" t="s">
        <v>1711</v>
      </c>
      <c r="C556" s="59"/>
      <c r="D556" s="133"/>
      <c r="E556" s="176" t="s">
        <v>235</v>
      </c>
      <c r="F556" s="178"/>
      <c r="G556" s="159"/>
      <c r="H556" s="133"/>
      <c r="I556" s="99"/>
      <c r="K556" s="84"/>
      <c r="L556" s="99">
        <f t="shared" ref="L556:M556" si="523">COUNTIF(A556:A1739,A556)</f>
        <v>1</v>
      </c>
      <c r="M556" s="99">
        <f t="shared" si="523"/>
        <v>1</v>
      </c>
      <c r="N556" s="84"/>
      <c r="O556" s="84"/>
      <c r="P556" s="84"/>
      <c r="Q556" s="84"/>
      <c r="R556" s="84"/>
    </row>
    <row r="557" ht="15.75" customHeight="1">
      <c r="A557" s="129">
        <v>1.2034021E7</v>
      </c>
      <c r="B557" s="137" t="s">
        <v>1712</v>
      </c>
      <c r="C557" s="59"/>
      <c r="D557" s="133"/>
      <c r="E557" s="172"/>
      <c r="F557" s="178"/>
      <c r="G557" s="106" t="s">
        <v>428</v>
      </c>
      <c r="H557" s="133"/>
      <c r="I557" s="99"/>
      <c r="K557" s="84"/>
      <c r="L557" s="99">
        <f t="shared" ref="L557:M557" si="524">COUNTIF(A557:A1740,A557)</f>
        <v>1</v>
      </c>
      <c r="M557" s="99">
        <f t="shared" si="524"/>
        <v>1</v>
      </c>
      <c r="N557" s="84"/>
      <c r="O557" s="84"/>
      <c r="P557" s="84"/>
      <c r="Q557" s="84"/>
      <c r="R557" s="84"/>
    </row>
    <row r="558" ht="15.75" customHeight="1">
      <c r="A558" s="129">
        <v>1.2034022E7</v>
      </c>
      <c r="B558" s="137" t="s">
        <v>1713</v>
      </c>
      <c r="C558" s="59"/>
      <c r="D558" s="133"/>
      <c r="E558" s="172"/>
      <c r="F558" s="178"/>
      <c r="G558" s="106" t="s">
        <v>428</v>
      </c>
      <c r="H558" s="133"/>
      <c r="I558" s="99"/>
      <c r="K558" s="84"/>
      <c r="L558" s="99">
        <f t="shared" ref="L558:M558" si="525">COUNTIF(A558:A1741,A558)</f>
        <v>1</v>
      </c>
      <c r="M558" s="99">
        <f t="shared" si="525"/>
        <v>1</v>
      </c>
      <c r="N558" s="84"/>
      <c r="O558" s="84"/>
      <c r="P558" s="84"/>
      <c r="Q558" s="84"/>
      <c r="R558" s="84"/>
    </row>
    <row r="559" ht="15.75" customHeight="1">
      <c r="A559" s="129">
        <v>1.2034023E7</v>
      </c>
      <c r="B559" s="137" t="s">
        <v>1714</v>
      </c>
      <c r="C559" s="59"/>
      <c r="D559" s="133"/>
      <c r="E559" s="176" t="s">
        <v>736</v>
      </c>
      <c r="F559" s="178"/>
      <c r="G559" s="106" t="s">
        <v>428</v>
      </c>
      <c r="H559" s="133"/>
      <c r="I559" s="99"/>
      <c r="K559" s="84"/>
      <c r="L559" s="99">
        <f t="shared" ref="L559:M559" si="526">COUNTIF(A559:A1742,A559)</f>
        <v>1</v>
      </c>
      <c r="M559" s="99">
        <f t="shared" si="526"/>
        <v>1</v>
      </c>
      <c r="N559" s="84"/>
      <c r="O559" s="84"/>
      <c r="P559" s="84"/>
      <c r="Q559" s="84"/>
      <c r="R559" s="84"/>
    </row>
    <row r="560" ht="15.75" customHeight="1">
      <c r="A560" s="129">
        <v>3.0010023E7</v>
      </c>
      <c r="B560" s="137" t="s">
        <v>1715</v>
      </c>
      <c r="C560" s="59"/>
      <c r="D560" s="133"/>
      <c r="E560" s="176" t="s">
        <v>247</v>
      </c>
      <c r="F560" s="176" t="s">
        <v>247</v>
      </c>
      <c r="G560" s="159"/>
      <c r="H560" s="133"/>
      <c r="I560" s="99"/>
      <c r="K560" s="84"/>
      <c r="L560" s="99">
        <f t="shared" ref="L560:M560" si="527">COUNTIF(A560:A1745,A560)</f>
        <v>1</v>
      </c>
      <c r="M560" s="99">
        <f t="shared" si="527"/>
        <v>1</v>
      </c>
      <c r="N560" s="84"/>
      <c r="O560" s="84"/>
      <c r="P560" s="84"/>
      <c r="Q560" s="84"/>
      <c r="R560" s="84"/>
    </row>
    <row r="561" ht="15.75" customHeight="1">
      <c r="A561" s="185">
        <v>1.2033025E7</v>
      </c>
      <c r="B561" s="137" t="s">
        <v>1716</v>
      </c>
      <c r="C561" s="59"/>
      <c r="D561" s="133"/>
      <c r="E561" s="172"/>
      <c r="F561" s="178"/>
      <c r="G561" s="106" t="s">
        <v>426</v>
      </c>
      <c r="H561" s="150" t="s">
        <v>1706</v>
      </c>
      <c r="I561" s="99"/>
      <c r="K561" s="84"/>
      <c r="L561" s="99">
        <f t="shared" ref="L561:M561" si="528">COUNTIF(A561:A1737,A561)</f>
        <v>1</v>
      </c>
      <c r="M561" s="99">
        <f t="shared" si="528"/>
        <v>1</v>
      </c>
      <c r="N561" s="84"/>
      <c r="O561" s="84"/>
      <c r="P561" s="84"/>
      <c r="Q561" s="84"/>
      <c r="R561" s="84"/>
    </row>
    <row r="562" ht="15.75" customHeight="1">
      <c r="A562" s="129">
        <v>1.2019001E7</v>
      </c>
      <c r="B562" s="106" t="s">
        <v>1717</v>
      </c>
      <c r="C562" s="130" t="s">
        <v>481</v>
      </c>
      <c r="D562" s="133"/>
      <c r="E562" s="178"/>
      <c r="F562" s="178"/>
      <c r="G562" s="106" t="s">
        <v>482</v>
      </c>
      <c r="H562" s="133"/>
      <c r="I562" s="99"/>
      <c r="K562" s="84"/>
      <c r="L562" s="99">
        <f t="shared" ref="L562:M562" si="529">COUNTIF(A562:A1738,A562)</f>
        <v>1</v>
      </c>
      <c r="M562" s="99">
        <f t="shared" si="529"/>
        <v>1</v>
      </c>
      <c r="N562" s="84"/>
      <c r="O562" s="84"/>
      <c r="P562" s="84"/>
      <c r="Q562" s="84"/>
      <c r="R562" s="84"/>
    </row>
    <row r="563" ht="15.75" customHeight="1">
      <c r="A563" s="129">
        <v>1.2019002E7</v>
      </c>
      <c r="B563" s="106" t="s">
        <v>1718</v>
      </c>
      <c r="C563" s="59"/>
      <c r="D563" s="133"/>
      <c r="E563" s="187"/>
      <c r="F563" s="187"/>
      <c r="G563" s="106" t="s">
        <v>482</v>
      </c>
      <c r="H563" s="133"/>
      <c r="I563" s="99"/>
      <c r="K563" s="84"/>
      <c r="L563" s="99">
        <f t="shared" ref="L563:M563" si="530">COUNTIF(A563:A1739,A563)</f>
        <v>1</v>
      </c>
      <c r="M563" s="99">
        <f t="shared" si="530"/>
        <v>1</v>
      </c>
      <c r="N563" s="84"/>
      <c r="O563" s="84"/>
      <c r="P563" s="84"/>
      <c r="Q563" s="84"/>
      <c r="R563" s="84"/>
    </row>
    <row r="564" ht="15.75" customHeight="1">
      <c r="A564" s="129">
        <v>1.2019003E7</v>
      </c>
      <c r="B564" s="106" t="s">
        <v>1719</v>
      </c>
      <c r="C564" s="59"/>
      <c r="D564" s="133"/>
      <c r="E564" s="188" t="s">
        <v>1720</v>
      </c>
      <c r="F564" s="188" t="s">
        <v>1721</v>
      </c>
      <c r="G564" s="106" t="s">
        <v>482</v>
      </c>
      <c r="H564" s="133"/>
      <c r="I564" s="99"/>
      <c r="K564" s="84"/>
      <c r="L564" s="99">
        <f t="shared" ref="L564:M564" si="531">COUNTIF(A564:A1740,A564)</f>
        <v>1</v>
      </c>
      <c r="M564" s="99">
        <f t="shared" si="531"/>
        <v>1</v>
      </c>
      <c r="N564" s="84"/>
      <c r="O564" s="84"/>
      <c r="P564" s="84"/>
      <c r="Q564" s="84"/>
      <c r="R564" s="84"/>
    </row>
    <row r="565" ht="15.75" customHeight="1">
      <c r="A565" s="129">
        <v>1.2019004E7</v>
      </c>
      <c r="B565" s="106" t="s">
        <v>1722</v>
      </c>
      <c r="C565" s="59"/>
      <c r="D565" s="133"/>
      <c r="E565" s="181"/>
      <c r="F565" s="181"/>
      <c r="G565" s="134"/>
      <c r="H565" s="133"/>
      <c r="I565" s="99"/>
      <c r="K565" s="84"/>
      <c r="L565" s="99">
        <f t="shared" ref="L565:M565" si="532">COUNTIF(A565:A1741,A565)</f>
        <v>1</v>
      </c>
      <c r="M565" s="99">
        <f t="shared" si="532"/>
        <v>1</v>
      </c>
      <c r="N565" s="84"/>
      <c r="O565" s="84"/>
      <c r="P565" s="84"/>
      <c r="Q565" s="84"/>
      <c r="R565" s="84"/>
    </row>
    <row r="566" ht="15.75" customHeight="1">
      <c r="A566" s="129">
        <v>1.2019005E7</v>
      </c>
      <c r="B566" s="106" t="s">
        <v>1723</v>
      </c>
      <c r="C566" s="59"/>
      <c r="D566" s="133"/>
      <c r="E566" s="178"/>
      <c r="F566" s="178"/>
      <c r="G566" s="134"/>
      <c r="H566" s="133"/>
      <c r="I566" s="99"/>
      <c r="K566" s="84"/>
      <c r="L566" s="99">
        <f t="shared" ref="L566:M566" si="533">COUNTIF(A566:A1742,A566)</f>
        <v>1</v>
      </c>
      <c r="M566" s="99">
        <f t="shared" si="533"/>
        <v>1</v>
      </c>
      <c r="N566" s="84"/>
      <c r="O566" s="84"/>
      <c r="P566" s="84"/>
      <c r="Q566" s="84"/>
      <c r="R566" s="84"/>
    </row>
    <row r="567" ht="15.75" customHeight="1">
      <c r="A567" s="129">
        <v>1.2019006E7</v>
      </c>
      <c r="B567" s="106" t="s">
        <v>1724</v>
      </c>
      <c r="C567" s="59"/>
      <c r="D567" s="133"/>
      <c r="E567" s="176" t="s">
        <v>488</v>
      </c>
      <c r="F567" s="176" t="s">
        <v>489</v>
      </c>
      <c r="G567" s="159"/>
      <c r="H567" s="133"/>
      <c r="I567" s="99"/>
      <c r="K567" s="84"/>
      <c r="L567" s="99">
        <f t="shared" ref="L567:M567" si="534">COUNTIF(A567:A1743,A567)</f>
        <v>1</v>
      </c>
      <c r="M567" s="99">
        <f t="shared" si="534"/>
        <v>1</v>
      </c>
      <c r="N567" s="84"/>
      <c r="O567" s="84"/>
      <c r="P567" s="84"/>
      <c r="Q567" s="84"/>
      <c r="R567" s="84"/>
    </row>
    <row r="568" ht="15.75" customHeight="1">
      <c r="A568" s="129">
        <v>1.2020001E7</v>
      </c>
      <c r="B568" s="106" t="s">
        <v>1725</v>
      </c>
      <c r="C568" s="59"/>
      <c r="D568" s="133"/>
      <c r="E568" s="188" t="s">
        <v>1649</v>
      </c>
      <c r="F568" s="188" t="s">
        <v>545</v>
      </c>
      <c r="G568" s="106" t="s">
        <v>482</v>
      </c>
      <c r="H568" s="133"/>
      <c r="I568" s="99"/>
      <c r="K568" s="84"/>
      <c r="L568" s="99">
        <f t="shared" ref="L568:M568" si="535">COUNTIF(A568:A1744,A568)</f>
        <v>1</v>
      </c>
      <c r="M568" s="99">
        <f t="shared" si="535"/>
        <v>1</v>
      </c>
      <c r="N568" s="84"/>
      <c r="O568" s="84"/>
      <c r="P568" s="84"/>
      <c r="Q568" s="84"/>
      <c r="R568" s="84"/>
    </row>
    <row r="569" ht="15.75" customHeight="1">
      <c r="A569" s="129">
        <v>1.2027001E7</v>
      </c>
      <c r="B569" s="106" t="s">
        <v>1726</v>
      </c>
      <c r="C569" s="59"/>
      <c r="D569" s="133"/>
      <c r="E569" s="178"/>
      <c r="F569" s="178"/>
      <c r="G569" s="106" t="s">
        <v>482</v>
      </c>
      <c r="H569" s="133"/>
      <c r="I569" s="99"/>
      <c r="K569" s="84"/>
      <c r="L569" s="99">
        <f t="shared" ref="L569:M569" si="536">COUNTIF(A569:A1745,A569)</f>
        <v>1</v>
      </c>
      <c r="M569" s="99">
        <f t="shared" si="536"/>
        <v>1</v>
      </c>
      <c r="N569" s="84"/>
      <c r="O569" s="84"/>
      <c r="P569" s="84"/>
      <c r="Q569" s="84"/>
      <c r="R569" s="84"/>
    </row>
    <row r="570" ht="15.75" customHeight="1">
      <c r="A570" s="129">
        <v>1.2027002E7</v>
      </c>
      <c r="B570" s="106" t="s">
        <v>1727</v>
      </c>
      <c r="C570" s="59"/>
      <c r="D570" s="133"/>
      <c r="E570" s="187"/>
      <c r="F570" s="187"/>
      <c r="G570" s="106" t="s">
        <v>482</v>
      </c>
      <c r="H570" s="133"/>
      <c r="I570" s="99"/>
      <c r="K570" s="84"/>
      <c r="L570" s="99">
        <f t="shared" ref="L570:M570" si="537">COUNTIF(A570:A1746,A570)</f>
        <v>1</v>
      </c>
      <c r="M570" s="99">
        <f t="shared" si="537"/>
        <v>1</v>
      </c>
      <c r="N570" s="84"/>
      <c r="O570" s="84"/>
      <c r="P570" s="84"/>
      <c r="Q570" s="84"/>
      <c r="R570" s="84"/>
    </row>
    <row r="571" ht="15.75" customHeight="1">
      <c r="A571" s="129">
        <v>1.2027003E7</v>
      </c>
      <c r="B571" s="106" t="s">
        <v>1728</v>
      </c>
      <c r="C571" s="59"/>
      <c r="D571" s="133"/>
      <c r="E571" s="188" t="s">
        <v>1729</v>
      </c>
      <c r="F571" s="188" t="s">
        <v>519</v>
      </c>
      <c r="G571" s="106" t="s">
        <v>482</v>
      </c>
      <c r="H571" s="147" t="s">
        <v>1730</v>
      </c>
      <c r="I571" s="99"/>
      <c r="K571" s="84"/>
      <c r="L571" s="99">
        <f t="shared" ref="L571:M571" si="538">COUNTIF(A571:A1747,A571)</f>
        <v>1</v>
      </c>
      <c r="M571" s="99">
        <f t="shared" si="538"/>
        <v>1</v>
      </c>
      <c r="N571" s="84"/>
      <c r="O571" s="84"/>
      <c r="P571" s="84"/>
      <c r="Q571" s="84"/>
      <c r="R571" s="84"/>
    </row>
    <row r="572" ht="15.75" customHeight="1">
      <c r="A572" s="129">
        <v>1.2027004E7</v>
      </c>
      <c r="B572" s="106" t="s">
        <v>1731</v>
      </c>
      <c r="C572" s="59"/>
      <c r="D572" s="133"/>
      <c r="E572" s="178"/>
      <c r="F572" s="178"/>
      <c r="G572" s="134"/>
      <c r="H572" s="133"/>
      <c r="I572" s="99"/>
      <c r="K572" s="84"/>
      <c r="L572" s="99">
        <f t="shared" ref="L572:M572" si="539">COUNTIF(A572:A1748,A572)</f>
        <v>1</v>
      </c>
      <c r="M572" s="99">
        <f t="shared" si="539"/>
        <v>1</v>
      </c>
      <c r="N572" s="84"/>
      <c r="O572" s="84"/>
      <c r="P572" s="84"/>
      <c r="Q572" s="84"/>
      <c r="R572" s="84"/>
    </row>
    <row r="573" ht="15.75" customHeight="1">
      <c r="A573" s="129">
        <v>1.2027005E7</v>
      </c>
      <c r="B573" s="106" t="s">
        <v>1732</v>
      </c>
      <c r="C573" s="59"/>
      <c r="D573" s="133"/>
      <c r="E573" s="178"/>
      <c r="F573" s="178"/>
      <c r="G573" s="134"/>
      <c r="H573" s="133"/>
      <c r="I573" s="99"/>
      <c r="K573" s="84"/>
      <c r="L573" s="99">
        <f t="shared" ref="L573:M573" si="540">COUNTIF(A573:A1749,A573)</f>
        <v>1</v>
      </c>
      <c r="M573" s="99">
        <f t="shared" si="540"/>
        <v>1</v>
      </c>
      <c r="N573" s="84"/>
      <c r="O573" s="84"/>
      <c r="P573" s="84"/>
      <c r="Q573" s="84"/>
      <c r="R573" s="84"/>
    </row>
    <row r="574" ht="15.75" customHeight="1">
      <c r="A574" s="129">
        <v>1.2027006E7</v>
      </c>
      <c r="B574" s="106" t="s">
        <v>1733</v>
      </c>
      <c r="C574" s="59"/>
      <c r="D574" s="133"/>
      <c r="E574" s="176" t="s">
        <v>488</v>
      </c>
      <c r="F574" s="176" t="s">
        <v>489</v>
      </c>
      <c r="G574" s="159"/>
      <c r="H574" s="133"/>
      <c r="I574" s="99"/>
      <c r="K574" s="84"/>
      <c r="L574" s="99">
        <f t="shared" ref="L574:M574" si="541">COUNTIF(A574:A1750,A574)</f>
        <v>1</v>
      </c>
      <c r="M574" s="99">
        <f t="shared" si="541"/>
        <v>1</v>
      </c>
      <c r="N574" s="84"/>
      <c r="O574" s="84"/>
      <c r="P574" s="84"/>
      <c r="Q574" s="84"/>
      <c r="R574" s="84"/>
    </row>
    <row r="575" ht="15.75" customHeight="1">
      <c r="A575" s="129">
        <v>1.2028001E7</v>
      </c>
      <c r="B575" s="106" t="s">
        <v>1734</v>
      </c>
      <c r="C575" s="59"/>
      <c r="D575" s="133"/>
      <c r="E575" s="188" t="s">
        <v>1735</v>
      </c>
      <c r="F575" s="188" t="s">
        <v>545</v>
      </c>
      <c r="G575" s="106" t="s">
        <v>482</v>
      </c>
      <c r="H575" s="133"/>
      <c r="I575" s="99"/>
      <c r="K575" s="84"/>
      <c r="L575" s="99">
        <f t="shared" ref="L575:M575" si="542">COUNTIF(A575:A1751,A575)</f>
        <v>1</v>
      </c>
      <c r="M575" s="99">
        <f t="shared" si="542"/>
        <v>1</v>
      </c>
      <c r="N575" s="84"/>
      <c r="O575" s="84"/>
      <c r="P575" s="84"/>
      <c r="Q575" s="84"/>
      <c r="R575" s="84"/>
    </row>
    <row r="576" ht="15.75" customHeight="1">
      <c r="A576" s="129">
        <v>1.2035001E7</v>
      </c>
      <c r="B576" s="106" t="s">
        <v>1736</v>
      </c>
      <c r="C576" s="59"/>
      <c r="D576" s="133"/>
      <c r="E576" s="178"/>
      <c r="F576" s="178"/>
      <c r="G576" s="106" t="s">
        <v>482</v>
      </c>
      <c r="H576" s="133"/>
      <c r="I576" s="99"/>
      <c r="K576" s="84"/>
      <c r="L576" s="99">
        <f t="shared" ref="L576:M576" si="543">COUNTIF(A576:A1752,A576)</f>
        <v>1</v>
      </c>
      <c r="M576" s="99">
        <f t="shared" si="543"/>
        <v>1</v>
      </c>
      <c r="N576" s="84"/>
      <c r="O576" s="84"/>
      <c r="P576" s="84"/>
      <c r="Q576" s="84"/>
      <c r="R576" s="84"/>
    </row>
    <row r="577" ht="15.75" customHeight="1">
      <c r="A577" s="129">
        <v>1.2035002E7</v>
      </c>
      <c r="B577" s="106" t="s">
        <v>1737</v>
      </c>
      <c r="C577" s="59"/>
      <c r="D577" s="133"/>
      <c r="E577" s="187"/>
      <c r="F577" s="187"/>
      <c r="G577" s="106" t="s">
        <v>482</v>
      </c>
      <c r="H577" s="133"/>
      <c r="I577" s="99"/>
      <c r="K577" s="84"/>
      <c r="L577" s="99">
        <f t="shared" ref="L577:M577" si="544">COUNTIF(A577:A1753,A577)</f>
        <v>1</v>
      </c>
      <c r="M577" s="99">
        <f t="shared" si="544"/>
        <v>1</v>
      </c>
      <c r="N577" s="84"/>
      <c r="O577" s="84"/>
      <c r="P577" s="84"/>
      <c r="Q577" s="84"/>
      <c r="R577" s="84"/>
    </row>
    <row r="578" ht="15.75" customHeight="1">
      <c r="A578" s="129">
        <v>1.2035003E7</v>
      </c>
      <c r="B578" s="106" t="s">
        <v>1738</v>
      </c>
      <c r="C578" s="59"/>
      <c r="D578" s="133"/>
      <c r="E578" s="188" t="s">
        <v>527</v>
      </c>
      <c r="F578" s="188" t="s">
        <v>1739</v>
      </c>
      <c r="G578" s="106" t="s">
        <v>482</v>
      </c>
      <c r="H578" s="133"/>
      <c r="I578" s="99"/>
      <c r="K578" s="84"/>
      <c r="L578" s="99">
        <f t="shared" ref="L578:M578" si="545">COUNTIF(A578:A1754,A578)</f>
        <v>1</v>
      </c>
      <c r="M578" s="99">
        <f t="shared" si="545"/>
        <v>1</v>
      </c>
      <c r="N578" s="84"/>
      <c r="O578" s="84"/>
      <c r="P578" s="84"/>
      <c r="Q578" s="84"/>
      <c r="R578" s="84"/>
    </row>
    <row r="579" ht="15.75" customHeight="1">
      <c r="A579" s="129">
        <v>1.2035004E7</v>
      </c>
      <c r="B579" s="106" t="s">
        <v>1740</v>
      </c>
      <c r="C579" s="59"/>
      <c r="D579" s="133"/>
      <c r="E579" s="178"/>
      <c r="F579" s="178"/>
      <c r="G579" s="134"/>
      <c r="H579" s="133"/>
      <c r="I579" s="99"/>
      <c r="K579" s="84"/>
      <c r="L579" s="99">
        <f t="shared" ref="L579:M579" si="546">COUNTIF(A579:A1755,A579)</f>
        <v>1</v>
      </c>
      <c r="M579" s="99">
        <f t="shared" si="546"/>
        <v>1</v>
      </c>
      <c r="N579" s="84"/>
      <c r="O579" s="84"/>
      <c r="P579" s="84"/>
      <c r="Q579" s="84"/>
      <c r="R579" s="84"/>
    </row>
    <row r="580" ht="15.75" customHeight="1">
      <c r="A580" s="129">
        <v>1.2035005E7</v>
      </c>
      <c r="B580" s="106" t="s">
        <v>1741</v>
      </c>
      <c r="C580" s="59"/>
      <c r="D580" s="133"/>
      <c r="E580" s="178"/>
      <c r="F580" s="178"/>
      <c r="G580" s="134"/>
      <c r="H580" s="133"/>
      <c r="I580" s="99"/>
      <c r="K580" s="84"/>
      <c r="L580" s="99">
        <f t="shared" ref="L580:M580" si="547">COUNTIF(A580:A1756,A580)</f>
        <v>1</v>
      </c>
      <c r="M580" s="99">
        <f t="shared" si="547"/>
        <v>1</v>
      </c>
      <c r="N580" s="84"/>
      <c r="O580" s="84"/>
      <c r="P580" s="84"/>
      <c r="Q580" s="84"/>
      <c r="R580" s="84"/>
    </row>
    <row r="581" ht="15.75" customHeight="1">
      <c r="A581" s="129">
        <v>1.2035006E7</v>
      </c>
      <c r="B581" s="106" t="s">
        <v>1742</v>
      </c>
      <c r="C581" s="59"/>
      <c r="D581" s="133"/>
      <c r="E581" s="176" t="s">
        <v>488</v>
      </c>
      <c r="F581" s="176" t="s">
        <v>489</v>
      </c>
      <c r="G581" s="159"/>
      <c r="H581" s="133"/>
      <c r="I581" s="99"/>
      <c r="K581" s="84"/>
      <c r="L581" s="99">
        <f t="shared" ref="L581:M581" si="548">COUNTIF(A581:A1757,A581)</f>
        <v>1</v>
      </c>
      <c r="M581" s="99">
        <f t="shared" si="548"/>
        <v>1</v>
      </c>
      <c r="N581" s="84"/>
      <c r="O581" s="84"/>
      <c r="P581" s="84"/>
      <c r="Q581" s="84"/>
      <c r="R581" s="84"/>
    </row>
    <row r="582" ht="15.75" customHeight="1">
      <c r="A582" s="129">
        <v>1.2036001E7</v>
      </c>
      <c r="B582" s="106" t="s">
        <v>1743</v>
      </c>
      <c r="C582" s="73"/>
      <c r="D582" s="133"/>
      <c r="E582" s="179" t="s">
        <v>1649</v>
      </c>
      <c r="F582" s="179" t="s">
        <v>1735</v>
      </c>
      <c r="G582" s="106" t="s">
        <v>482</v>
      </c>
      <c r="H582" s="150" t="s">
        <v>1744</v>
      </c>
      <c r="I582" s="99"/>
      <c r="K582" s="84"/>
      <c r="L582" s="99">
        <f t="shared" ref="L582:M582" si="549">COUNTIF(A582:A1758,A582)</f>
        <v>1</v>
      </c>
      <c r="M582" s="99">
        <f t="shared" si="549"/>
        <v>1</v>
      </c>
      <c r="N582" s="84"/>
      <c r="O582" s="84"/>
      <c r="P582" s="84"/>
      <c r="Q582" s="84"/>
      <c r="R582" s="84"/>
    </row>
    <row r="583" ht="15.75" customHeight="1">
      <c r="A583" s="129">
        <v>1.2023001E7</v>
      </c>
      <c r="B583" s="106" t="s">
        <v>1745</v>
      </c>
      <c r="C583" s="130" t="s">
        <v>534</v>
      </c>
      <c r="D583" s="133"/>
      <c r="E583" s="188" t="s">
        <v>234</v>
      </c>
      <c r="F583" s="188" t="s">
        <v>535</v>
      </c>
      <c r="G583" s="189" t="s">
        <v>420</v>
      </c>
      <c r="H583" s="133"/>
      <c r="I583" s="99"/>
      <c r="K583" s="84"/>
      <c r="L583" s="99">
        <f t="shared" ref="L583:M583" si="550">COUNTIF(A583:A1759,A583)</f>
        <v>1</v>
      </c>
      <c r="M583" s="99">
        <f t="shared" si="550"/>
        <v>1</v>
      </c>
      <c r="N583" s="84"/>
      <c r="O583" s="84"/>
      <c r="P583" s="84"/>
      <c r="Q583" s="84"/>
      <c r="R583" s="84"/>
    </row>
    <row r="584" ht="15.75" customHeight="1">
      <c r="A584" s="129">
        <v>1.2023002E7</v>
      </c>
      <c r="B584" s="106" t="s">
        <v>1746</v>
      </c>
      <c r="C584" s="59"/>
      <c r="D584" s="133"/>
      <c r="E584" s="188" t="s">
        <v>234</v>
      </c>
      <c r="F584" s="188" t="s">
        <v>535</v>
      </c>
      <c r="G584" s="189" t="s">
        <v>420</v>
      </c>
      <c r="H584" s="133"/>
      <c r="I584" s="99"/>
      <c r="K584" s="84"/>
      <c r="L584" s="99">
        <f t="shared" ref="L584:M584" si="551">COUNTIF(A584:A1760,A584)</f>
        <v>1</v>
      </c>
      <c r="M584" s="99">
        <f t="shared" si="551"/>
        <v>1</v>
      </c>
      <c r="N584" s="84"/>
      <c r="O584" s="84"/>
      <c r="P584" s="84"/>
      <c r="Q584" s="84"/>
      <c r="R584" s="84"/>
    </row>
    <row r="585" ht="15.75" customHeight="1">
      <c r="A585" s="129">
        <v>1.2023003E7</v>
      </c>
      <c r="B585" s="106" t="s">
        <v>1747</v>
      </c>
      <c r="C585" s="59"/>
      <c r="D585" s="133"/>
      <c r="E585" s="188" t="s">
        <v>230</v>
      </c>
      <c r="F585" s="178"/>
      <c r="G585" s="159"/>
      <c r="H585" s="133"/>
      <c r="I585" s="99"/>
      <c r="K585" s="84"/>
      <c r="L585" s="99">
        <f t="shared" ref="L585:M585" si="552">COUNTIF(A585:A1761,A585)</f>
        <v>1</v>
      </c>
      <c r="M585" s="99">
        <f t="shared" si="552"/>
        <v>1</v>
      </c>
      <c r="N585" s="84"/>
      <c r="O585" s="84"/>
      <c r="P585" s="84"/>
      <c r="Q585" s="84"/>
      <c r="R585" s="84"/>
    </row>
    <row r="586" ht="15.75" customHeight="1">
      <c r="A586" s="129">
        <v>1.2031001E7</v>
      </c>
      <c r="B586" s="106" t="s">
        <v>1748</v>
      </c>
      <c r="C586" s="59"/>
      <c r="D586" s="133"/>
      <c r="E586" s="188" t="s">
        <v>234</v>
      </c>
      <c r="F586" s="188" t="s">
        <v>535</v>
      </c>
      <c r="G586" s="189" t="s">
        <v>420</v>
      </c>
      <c r="H586" s="133"/>
      <c r="I586" s="99"/>
      <c r="K586" s="84"/>
      <c r="L586" s="99">
        <f t="shared" ref="L586:M586" si="553">COUNTIF(A586:A1762,A586)</f>
        <v>1</v>
      </c>
      <c r="M586" s="99">
        <f t="shared" si="553"/>
        <v>1</v>
      </c>
      <c r="N586" s="84"/>
      <c r="O586" s="84"/>
      <c r="P586" s="84"/>
      <c r="Q586" s="84"/>
      <c r="R586" s="84"/>
    </row>
    <row r="587" ht="15.75" customHeight="1">
      <c r="A587" s="129">
        <v>1.2031002E7</v>
      </c>
      <c r="B587" s="106" t="s">
        <v>1749</v>
      </c>
      <c r="C587" s="59"/>
      <c r="D587" s="133"/>
      <c r="E587" s="188" t="s">
        <v>234</v>
      </c>
      <c r="F587" s="188" t="s">
        <v>535</v>
      </c>
      <c r="G587" s="189" t="s">
        <v>420</v>
      </c>
      <c r="H587" s="133"/>
      <c r="I587" s="99"/>
      <c r="K587" s="84"/>
      <c r="L587" s="99">
        <f t="shared" ref="L587:M587" si="554">COUNTIF(A587:A1763,A587)</f>
        <v>1</v>
      </c>
      <c r="M587" s="99">
        <f t="shared" si="554"/>
        <v>1</v>
      </c>
      <c r="N587" s="84"/>
      <c r="O587" s="84"/>
      <c r="P587" s="84"/>
      <c r="Q587" s="84"/>
      <c r="R587" s="84"/>
    </row>
    <row r="588" ht="15.75" customHeight="1">
      <c r="A588" s="129">
        <v>1.2031003E7</v>
      </c>
      <c r="B588" s="106" t="s">
        <v>1750</v>
      </c>
      <c r="C588" s="59"/>
      <c r="D588" s="133"/>
      <c r="E588" s="188" t="s">
        <v>230</v>
      </c>
      <c r="F588" s="178"/>
      <c r="G588" s="159"/>
      <c r="H588" s="133"/>
      <c r="I588" s="99"/>
      <c r="K588" s="84"/>
      <c r="L588" s="99">
        <f t="shared" ref="L588:M588" si="555">COUNTIF(A588:A1764,A588)</f>
        <v>1</v>
      </c>
      <c r="M588" s="99">
        <f t="shared" si="555"/>
        <v>1</v>
      </c>
      <c r="N588" s="84"/>
      <c r="O588" s="84"/>
      <c r="P588" s="84"/>
      <c r="Q588" s="84"/>
      <c r="R588" s="84"/>
    </row>
    <row r="589" ht="15.75" customHeight="1">
      <c r="A589" s="129">
        <v>1.2039001E7</v>
      </c>
      <c r="B589" s="106" t="s">
        <v>1751</v>
      </c>
      <c r="C589" s="59"/>
      <c r="D589" s="133"/>
      <c r="E589" s="188" t="s">
        <v>234</v>
      </c>
      <c r="F589" s="188" t="s">
        <v>535</v>
      </c>
      <c r="G589" s="189" t="s">
        <v>420</v>
      </c>
      <c r="H589" s="133"/>
      <c r="I589" s="99"/>
      <c r="K589" s="84"/>
      <c r="L589" s="99">
        <f t="shared" ref="L589:M589" si="556">COUNTIF(A589:A1765,A589)</f>
        <v>1</v>
      </c>
      <c r="M589" s="99">
        <f t="shared" si="556"/>
        <v>1</v>
      </c>
      <c r="N589" s="84"/>
      <c r="O589" s="84"/>
      <c r="P589" s="84"/>
      <c r="Q589" s="84"/>
      <c r="R589" s="84"/>
    </row>
    <row r="590" ht="15.75" customHeight="1">
      <c r="A590" s="129">
        <v>1.2039002E7</v>
      </c>
      <c r="B590" s="106" t="s">
        <v>1752</v>
      </c>
      <c r="C590" s="59"/>
      <c r="D590" s="133"/>
      <c r="E590" s="188" t="s">
        <v>234</v>
      </c>
      <c r="F590" s="188" t="s">
        <v>535</v>
      </c>
      <c r="G590" s="189" t="s">
        <v>420</v>
      </c>
      <c r="H590" s="133"/>
      <c r="I590" s="99"/>
      <c r="K590" s="84"/>
      <c r="L590" s="99">
        <f t="shared" ref="L590:M590" si="557">COUNTIF(A590:A1766,A590)</f>
        <v>1</v>
      </c>
      <c r="M590" s="99">
        <f t="shared" si="557"/>
        <v>1</v>
      </c>
      <c r="N590" s="84"/>
      <c r="O590" s="84"/>
      <c r="P590" s="84"/>
      <c r="Q590" s="84"/>
      <c r="R590" s="84"/>
    </row>
    <row r="591" ht="15.75" customHeight="1">
      <c r="A591" s="129">
        <v>1.2039003E7</v>
      </c>
      <c r="B591" s="106" t="s">
        <v>1753</v>
      </c>
      <c r="C591" s="59"/>
      <c r="D591" s="133"/>
      <c r="E591" s="188" t="s">
        <v>545</v>
      </c>
      <c r="F591" s="178"/>
      <c r="G591" s="159"/>
      <c r="H591" s="133"/>
      <c r="I591" s="99"/>
      <c r="K591" s="84"/>
      <c r="L591" s="99">
        <f t="shared" ref="L591:M591" si="558">COUNTIF(A591:A1767,A591)</f>
        <v>1</v>
      </c>
      <c r="M591" s="99">
        <f t="shared" si="558"/>
        <v>1</v>
      </c>
      <c r="N591" s="84"/>
      <c r="O591" s="84"/>
      <c r="P591" s="84"/>
      <c r="Q591" s="84"/>
      <c r="R591" s="84"/>
    </row>
    <row r="592" ht="15.75" customHeight="1">
      <c r="A592" s="129">
        <v>1.1451001E7</v>
      </c>
      <c r="B592" s="153" t="s">
        <v>1754</v>
      </c>
      <c r="C592" s="59"/>
      <c r="D592" s="133"/>
      <c r="E592" s="188" t="s">
        <v>247</v>
      </c>
      <c r="F592" s="188" t="s">
        <v>547</v>
      </c>
      <c r="G592" s="189" t="s">
        <v>231</v>
      </c>
      <c r="H592" s="133"/>
      <c r="I592" s="99"/>
      <c r="K592" s="84"/>
      <c r="L592" s="99">
        <f t="shared" ref="L592:M592" si="559">COUNTIF(A592:A1768,A592)</f>
        <v>1</v>
      </c>
      <c r="M592" s="99">
        <f t="shared" si="559"/>
        <v>1</v>
      </c>
      <c r="N592" s="84"/>
      <c r="O592" s="84"/>
      <c r="P592" s="84"/>
      <c r="Q592" s="84"/>
      <c r="R592" s="84"/>
    </row>
    <row r="593" ht="15.75" customHeight="1">
      <c r="A593" s="129">
        <v>1.1451002E7</v>
      </c>
      <c r="B593" s="106" t="s">
        <v>1755</v>
      </c>
      <c r="C593" s="59"/>
      <c r="D593" s="133"/>
      <c r="E593" s="188" t="s">
        <v>247</v>
      </c>
      <c r="F593" s="188" t="s">
        <v>547</v>
      </c>
      <c r="G593" s="189" t="s">
        <v>231</v>
      </c>
      <c r="H593" s="133"/>
      <c r="I593" s="99"/>
      <c r="K593" s="84"/>
      <c r="L593" s="99">
        <f t="shared" ref="L593:M593" si="560">COUNTIF(A593:A1769,A593)</f>
        <v>1</v>
      </c>
      <c r="M593" s="99">
        <f t="shared" si="560"/>
        <v>1</v>
      </c>
      <c r="N593" s="84"/>
      <c r="O593" s="84"/>
      <c r="P593" s="84"/>
      <c r="Q593" s="84"/>
      <c r="R593" s="84"/>
    </row>
    <row r="594" ht="15.75" customHeight="1">
      <c r="A594" s="129">
        <v>1.1451003E7</v>
      </c>
      <c r="B594" s="106" t="s">
        <v>1756</v>
      </c>
      <c r="C594" s="73"/>
      <c r="D594" s="133"/>
      <c r="E594" s="188" t="s">
        <v>550</v>
      </c>
      <c r="F594" s="188" t="s">
        <v>235</v>
      </c>
      <c r="G594" s="189" t="s">
        <v>231</v>
      </c>
      <c r="H594" s="133"/>
      <c r="I594" s="99"/>
      <c r="K594" s="84"/>
      <c r="L594" s="99">
        <f t="shared" ref="L594:M594" si="561">COUNTIF(A594:A1770,A594)</f>
        <v>1</v>
      </c>
      <c r="M594" s="99">
        <f t="shared" si="561"/>
        <v>1</v>
      </c>
      <c r="N594" s="84"/>
      <c r="O594" s="84"/>
      <c r="P594" s="84"/>
      <c r="Q594" s="84"/>
      <c r="R594" s="84"/>
    </row>
    <row r="595" ht="15.75" customHeight="1">
      <c r="A595" s="129">
        <v>1.1451004E7</v>
      </c>
      <c r="B595" s="153" t="s">
        <v>1757</v>
      </c>
      <c r="D595" s="133"/>
      <c r="E595" s="188" t="s">
        <v>247</v>
      </c>
      <c r="F595" s="188" t="s">
        <v>547</v>
      </c>
      <c r="G595" s="189" t="s">
        <v>231</v>
      </c>
      <c r="H595" s="133"/>
      <c r="I595" s="99"/>
      <c r="K595" s="84"/>
      <c r="L595" s="99">
        <f t="shared" ref="L595:M595" si="562">COUNTIF(A595:A1771,A595)</f>
        <v>1</v>
      </c>
      <c r="M595" s="99">
        <f t="shared" si="562"/>
        <v>1</v>
      </c>
      <c r="N595" s="84"/>
      <c r="O595" s="84"/>
      <c r="P595" s="84"/>
      <c r="Q595" s="84"/>
      <c r="R595" s="84"/>
    </row>
    <row r="596" ht="15.75" customHeight="1">
      <c r="A596" s="129">
        <v>1.1451005E7</v>
      </c>
      <c r="B596" s="106" t="s">
        <v>1758</v>
      </c>
      <c r="D596" s="133"/>
      <c r="E596" s="188" t="s">
        <v>247</v>
      </c>
      <c r="F596" s="188" t="s">
        <v>547</v>
      </c>
      <c r="G596" s="189" t="s">
        <v>231</v>
      </c>
      <c r="H596" s="133"/>
      <c r="I596" s="99"/>
      <c r="K596" s="84"/>
      <c r="L596" s="99">
        <f t="shared" ref="L596:M596" si="563">COUNTIF(A596:A1772,A596)</f>
        <v>1</v>
      </c>
      <c r="M596" s="99">
        <f t="shared" si="563"/>
        <v>1</v>
      </c>
      <c r="N596" s="84"/>
      <c r="O596" s="84"/>
      <c r="P596" s="84"/>
      <c r="Q596" s="84"/>
      <c r="R596" s="84"/>
    </row>
    <row r="597" ht="15.75" customHeight="1">
      <c r="A597" s="129">
        <v>1.1451006E7</v>
      </c>
      <c r="B597" s="106" t="s">
        <v>1759</v>
      </c>
      <c r="D597" s="133"/>
      <c r="E597" s="188" t="s">
        <v>550</v>
      </c>
      <c r="F597" s="188" t="s">
        <v>235</v>
      </c>
      <c r="G597" s="189" t="s">
        <v>231</v>
      </c>
      <c r="H597" s="133"/>
      <c r="I597" s="99"/>
      <c r="K597" s="84"/>
      <c r="L597" s="99">
        <f t="shared" ref="L597:M597" si="564">COUNTIF(A597:A1773,A597)</f>
        <v>1</v>
      </c>
      <c r="M597" s="99">
        <f t="shared" si="564"/>
        <v>1</v>
      </c>
      <c r="N597" s="84"/>
      <c r="O597" s="84"/>
      <c r="P597" s="84"/>
      <c r="Q597" s="84"/>
      <c r="R597" s="84"/>
    </row>
    <row r="598" ht="15.75" customHeight="1">
      <c r="A598" s="129">
        <v>1.1451007E7</v>
      </c>
      <c r="B598" s="153" t="s">
        <v>1760</v>
      </c>
      <c r="D598" s="133"/>
      <c r="E598" s="188" t="s">
        <v>247</v>
      </c>
      <c r="F598" s="188" t="s">
        <v>547</v>
      </c>
      <c r="G598" s="189" t="s">
        <v>231</v>
      </c>
      <c r="H598" s="133"/>
      <c r="I598" s="99"/>
      <c r="K598" s="84"/>
      <c r="L598" s="99">
        <f t="shared" ref="L598:M598" si="565">COUNTIF(A598:A1774,A598)</f>
        <v>1</v>
      </c>
      <c r="M598" s="99">
        <f t="shared" si="565"/>
        <v>1</v>
      </c>
      <c r="N598" s="84"/>
      <c r="O598" s="84"/>
      <c r="P598" s="84"/>
      <c r="Q598" s="84"/>
      <c r="R598" s="84"/>
    </row>
    <row r="599" ht="15.75" customHeight="1">
      <c r="A599" s="129">
        <v>1.1451008E7</v>
      </c>
      <c r="B599" s="106" t="s">
        <v>1761</v>
      </c>
      <c r="D599" s="133"/>
      <c r="E599" s="188" t="s">
        <v>247</v>
      </c>
      <c r="F599" s="188" t="s">
        <v>547</v>
      </c>
      <c r="G599" s="189" t="s">
        <v>231</v>
      </c>
      <c r="H599" s="133"/>
      <c r="I599" s="99"/>
      <c r="K599" s="84"/>
      <c r="L599" s="99">
        <f t="shared" ref="L599:M599" si="566">COUNTIF(A599:A1775,A599)</f>
        <v>1</v>
      </c>
      <c r="M599" s="99">
        <f t="shared" si="566"/>
        <v>1</v>
      </c>
      <c r="N599" s="84"/>
      <c r="O599" s="84"/>
      <c r="P599" s="84"/>
      <c r="Q599" s="84"/>
      <c r="R599" s="84"/>
    </row>
    <row r="600" ht="15.75" customHeight="1">
      <c r="A600" s="129">
        <v>1.1451009E7</v>
      </c>
      <c r="B600" s="106" t="s">
        <v>1762</v>
      </c>
      <c r="D600" s="133"/>
      <c r="E600" s="188" t="s">
        <v>550</v>
      </c>
      <c r="F600" s="188" t="s">
        <v>235</v>
      </c>
      <c r="G600" s="189" t="s">
        <v>231</v>
      </c>
      <c r="H600" s="133"/>
      <c r="I600" s="99"/>
      <c r="K600" s="84"/>
      <c r="L600" s="99">
        <f t="shared" ref="L600:M600" si="567">COUNTIF(A600:A1776,A600)</f>
        <v>1</v>
      </c>
      <c r="M600" s="99">
        <f t="shared" si="567"/>
        <v>1</v>
      </c>
      <c r="N600" s="84"/>
      <c r="O600" s="84"/>
      <c r="P600" s="84"/>
      <c r="Q600" s="84"/>
      <c r="R600" s="84"/>
    </row>
    <row r="601" ht="15.75" customHeight="1">
      <c r="A601" s="129">
        <v>1.2099051E7</v>
      </c>
      <c r="B601" s="106" t="s">
        <v>1763</v>
      </c>
      <c r="C601" s="130" t="s">
        <v>558</v>
      </c>
      <c r="D601" s="133"/>
      <c r="E601" s="178"/>
      <c r="F601" s="178"/>
      <c r="G601" s="159"/>
      <c r="H601" s="133"/>
      <c r="I601" s="99"/>
      <c r="K601" s="84"/>
      <c r="L601" s="99">
        <f t="shared" ref="L601:M601" si="568">COUNTIF(A601:A1771,A601)</f>
        <v>1</v>
      </c>
      <c r="M601" s="99">
        <f t="shared" si="568"/>
        <v>1</v>
      </c>
      <c r="N601" s="84"/>
      <c r="O601" s="84"/>
      <c r="P601" s="84"/>
      <c r="Q601" s="84"/>
      <c r="R601" s="84"/>
    </row>
    <row r="602" ht="15.75" customHeight="1">
      <c r="A602" s="129">
        <v>1.2099052E7</v>
      </c>
      <c r="B602" s="106" t="s">
        <v>1764</v>
      </c>
      <c r="C602" s="59"/>
      <c r="D602" s="133"/>
      <c r="E602" s="178"/>
      <c r="F602" s="178"/>
      <c r="G602" s="159"/>
      <c r="H602" s="133"/>
      <c r="I602" s="99"/>
      <c r="K602" s="84"/>
      <c r="L602" s="99">
        <f t="shared" ref="L602:M602" si="569">COUNTIF(A602:A1772,A602)</f>
        <v>1</v>
      </c>
      <c r="M602" s="99">
        <f t="shared" si="569"/>
        <v>1</v>
      </c>
      <c r="N602" s="84"/>
      <c r="O602" s="84"/>
      <c r="P602" s="84"/>
      <c r="Q602" s="84"/>
      <c r="R602" s="84"/>
    </row>
    <row r="603" ht="15.75" customHeight="1">
      <c r="A603" s="129">
        <v>1.2099053E7</v>
      </c>
      <c r="B603" s="106" t="s">
        <v>1765</v>
      </c>
      <c r="C603" s="73"/>
      <c r="D603" s="133"/>
      <c r="E603" s="178"/>
      <c r="F603" s="178"/>
      <c r="G603" s="159"/>
      <c r="H603" s="133"/>
      <c r="I603" s="99"/>
      <c r="K603" s="84"/>
      <c r="L603" s="99">
        <f t="shared" ref="L603:M603" si="570">COUNTIF(A603:A1773,A603)</f>
        <v>1</v>
      </c>
      <c r="M603" s="99">
        <f t="shared" si="570"/>
        <v>1</v>
      </c>
      <c r="N603" s="84"/>
      <c r="O603" s="84"/>
      <c r="P603" s="84"/>
      <c r="Q603" s="84"/>
      <c r="R603" s="84"/>
    </row>
    <row r="604" ht="15.75" customHeight="1">
      <c r="A604" s="190">
        <v>1.2099301E7</v>
      </c>
      <c r="B604" s="189" t="s">
        <v>1766</v>
      </c>
      <c r="C604" s="130" t="s">
        <v>562</v>
      </c>
      <c r="D604" s="133"/>
      <c r="E604" s="178"/>
      <c r="F604" s="178"/>
      <c r="G604" s="159"/>
      <c r="H604" s="133"/>
      <c r="I604" s="99"/>
      <c r="K604" s="84"/>
      <c r="L604" s="99">
        <f t="shared" ref="L604:M604" si="571">COUNTIF(A604:A1774,A604)</f>
        <v>1</v>
      </c>
      <c r="M604" s="99">
        <f t="shared" si="571"/>
        <v>1</v>
      </c>
      <c r="N604" s="84"/>
      <c r="O604" s="84"/>
      <c r="P604" s="84"/>
      <c r="Q604" s="84"/>
      <c r="R604" s="84"/>
    </row>
    <row r="605" ht="15.75" customHeight="1">
      <c r="A605" s="190">
        <v>1.2099302E7</v>
      </c>
      <c r="B605" s="189" t="s">
        <v>1767</v>
      </c>
      <c r="C605" s="59"/>
      <c r="D605" s="133"/>
      <c r="E605" s="178"/>
      <c r="F605" s="178"/>
      <c r="G605" s="159"/>
      <c r="H605" s="133"/>
      <c r="I605" s="99"/>
      <c r="K605" s="84"/>
      <c r="L605" s="99">
        <f t="shared" ref="L605:M605" si="572">COUNTIF(A605:A1775,A605)</f>
        <v>1</v>
      </c>
      <c r="M605" s="99">
        <f t="shared" si="572"/>
        <v>1</v>
      </c>
      <c r="N605" s="84"/>
      <c r="O605" s="84"/>
      <c r="P605" s="84"/>
      <c r="Q605" s="84"/>
      <c r="R605" s="84"/>
    </row>
    <row r="606" ht="15.75" customHeight="1">
      <c r="A606" s="190">
        <v>1.2099303E7</v>
      </c>
      <c r="B606" s="189" t="s">
        <v>1768</v>
      </c>
      <c r="C606" s="73"/>
      <c r="D606" s="133"/>
      <c r="E606" s="178"/>
      <c r="F606" s="178"/>
      <c r="G606" s="159"/>
      <c r="H606" s="133"/>
      <c r="I606" s="99"/>
      <c r="K606" s="84"/>
      <c r="L606" s="99">
        <f t="shared" ref="L606:M606" si="573">COUNTIF(A606:A1776,A606)</f>
        <v>1</v>
      </c>
      <c r="M606" s="99">
        <f t="shared" si="573"/>
        <v>1</v>
      </c>
      <c r="N606" s="84"/>
      <c r="O606" s="84"/>
      <c r="P606" s="84"/>
      <c r="Q606" s="84"/>
      <c r="R606" s="84"/>
    </row>
    <row r="607" ht="15.75" customHeight="1">
      <c r="A607" s="190">
        <v>1.2099304E7</v>
      </c>
      <c r="B607" s="189" t="s">
        <v>1769</v>
      </c>
      <c r="C607" s="130" t="s">
        <v>1770</v>
      </c>
      <c r="D607" s="133"/>
      <c r="E607" s="178"/>
      <c r="F607" s="178"/>
      <c r="G607" s="159"/>
      <c r="H607" s="133"/>
      <c r="I607" s="99"/>
      <c r="K607" s="84"/>
      <c r="L607" s="99">
        <f t="shared" ref="L607:M607" si="574">COUNTIF(A607:A1777,A607)</f>
        <v>1</v>
      </c>
      <c r="M607" s="99">
        <f t="shared" si="574"/>
        <v>1</v>
      </c>
      <c r="N607" s="84"/>
      <c r="O607" s="84"/>
      <c r="P607" s="84"/>
      <c r="Q607" s="84"/>
      <c r="R607" s="84"/>
    </row>
    <row r="608" ht="15.75" customHeight="1">
      <c r="A608" s="190">
        <v>1.2099305E7</v>
      </c>
      <c r="B608" s="189" t="s">
        <v>1771</v>
      </c>
      <c r="C608" s="59"/>
      <c r="D608" s="133"/>
      <c r="E608" s="178"/>
      <c r="F608" s="178"/>
      <c r="G608" s="159"/>
      <c r="H608" s="133"/>
      <c r="I608" s="99"/>
      <c r="K608" s="84"/>
      <c r="L608" s="99">
        <f t="shared" ref="L608:M608" si="575">COUNTIF(A608:A1778,A608)</f>
        <v>1</v>
      </c>
      <c r="M608" s="99">
        <f t="shared" si="575"/>
        <v>1</v>
      </c>
      <c r="N608" s="84"/>
      <c r="O608" s="84"/>
      <c r="P608" s="84"/>
      <c r="Q608" s="84"/>
      <c r="R608" s="84"/>
    </row>
    <row r="609" ht="15.75" customHeight="1">
      <c r="A609" s="190">
        <v>1.2099306E7</v>
      </c>
      <c r="B609" s="189" t="s">
        <v>1772</v>
      </c>
      <c r="C609" s="73"/>
      <c r="D609" s="133"/>
      <c r="E609" s="178"/>
      <c r="F609" s="178"/>
      <c r="G609" s="159"/>
      <c r="H609" s="133"/>
      <c r="I609" s="99"/>
      <c r="K609" s="84"/>
      <c r="L609" s="99">
        <f t="shared" ref="L609:M609" si="576">COUNTIF(A609:A1779,A609)</f>
        <v>1</v>
      </c>
      <c r="M609" s="99">
        <f t="shared" si="576"/>
        <v>1</v>
      </c>
      <c r="N609" s="84"/>
      <c r="O609" s="84"/>
      <c r="P609" s="84"/>
      <c r="Q609" s="84"/>
      <c r="R609" s="84"/>
    </row>
    <row r="610" ht="15.75" customHeight="1">
      <c r="A610" s="191"/>
      <c r="B610" s="154"/>
      <c r="C610" s="130" t="s">
        <v>569</v>
      </c>
      <c r="D610" s="133"/>
      <c r="E610" s="178"/>
      <c r="F610" s="178"/>
      <c r="G610" s="159"/>
      <c r="H610" s="133"/>
      <c r="I610" s="99"/>
      <c r="K610" s="84"/>
      <c r="L610" s="99">
        <f t="shared" ref="L610:M610" si="577">COUNTIF(A610:A1780,A610)</f>
        <v>0</v>
      </c>
      <c r="M610" s="99">
        <f t="shared" si="577"/>
        <v>0</v>
      </c>
      <c r="N610" s="84"/>
      <c r="O610" s="84"/>
      <c r="P610" s="84"/>
      <c r="Q610" s="84"/>
      <c r="R610" s="84"/>
    </row>
    <row r="611" ht="15.75" customHeight="1">
      <c r="A611" s="129">
        <v>3.00001E7</v>
      </c>
      <c r="B611" s="106" t="s">
        <v>1773</v>
      </c>
      <c r="C611" s="59"/>
      <c r="D611" s="133"/>
      <c r="E611" s="178"/>
      <c r="F611" s="172"/>
      <c r="G611" s="159"/>
      <c r="H611" s="133"/>
      <c r="I611" s="99"/>
      <c r="K611" s="84"/>
      <c r="L611" s="99">
        <f t="shared" ref="L611:M611" si="578">COUNTIF(A611:A1781,A611)</f>
        <v>1</v>
      </c>
      <c r="M611" s="99">
        <f t="shared" si="578"/>
        <v>1</v>
      </c>
      <c r="N611" s="84"/>
      <c r="O611" s="84"/>
      <c r="P611" s="84"/>
      <c r="Q611" s="84"/>
      <c r="R611" s="84"/>
    </row>
    <row r="612" ht="15.75" customHeight="1">
      <c r="A612" s="192"/>
      <c r="B612" s="193"/>
      <c r="C612" s="59"/>
      <c r="D612" s="133"/>
      <c r="E612" s="187"/>
      <c r="F612" s="187"/>
      <c r="G612" s="159"/>
      <c r="H612" s="133"/>
      <c r="I612" s="99"/>
      <c r="K612" s="84"/>
      <c r="L612" s="99">
        <f t="shared" ref="L612:M612" si="579">COUNTIF(A612:A1782,A612)</f>
        <v>0</v>
      </c>
      <c r="M612" s="99">
        <f t="shared" si="579"/>
        <v>0</v>
      </c>
      <c r="N612" s="84"/>
      <c r="O612" s="84"/>
      <c r="P612" s="84"/>
      <c r="Q612" s="84"/>
      <c r="R612" s="84"/>
    </row>
    <row r="613" ht="15.75" customHeight="1">
      <c r="A613" s="129">
        <v>1.202101E7</v>
      </c>
      <c r="B613" s="106" t="s">
        <v>1774</v>
      </c>
      <c r="C613" s="59"/>
      <c r="D613" s="133"/>
      <c r="E613" s="187"/>
      <c r="F613" s="172"/>
      <c r="G613" s="159"/>
      <c r="H613" s="133"/>
      <c r="I613" s="99"/>
      <c r="K613" s="84"/>
      <c r="L613" s="99">
        <f t="shared" ref="L613:M613" si="580">COUNTIF(A613:A1783,A613)</f>
        <v>1</v>
      </c>
      <c r="M613" s="99">
        <f t="shared" si="580"/>
        <v>1</v>
      </c>
      <c r="N613" s="84"/>
      <c r="O613" s="84"/>
      <c r="P613" s="84"/>
      <c r="Q613" s="84"/>
      <c r="R613" s="84"/>
    </row>
    <row r="614" ht="15.75" customHeight="1">
      <c r="A614" s="129">
        <v>1.2021E7</v>
      </c>
      <c r="B614" s="106" t="s">
        <v>1775</v>
      </c>
      <c r="C614" s="59"/>
      <c r="D614" s="133"/>
      <c r="E614" s="172"/>
      <c r="F614" s="172"/>
      <c r="G614" s="159"/>
      <c r="H614" s="133"/>
      <c r="I614" s="99"/>
      <c r="K614" s="84"/>
      <c r="L614" s="99">
        <f t="shared" ref="L614:M614" si="581">COUNTIF(A614:A1784,A614)</f>
        <v>1</v>
      </c>
      <c r="M614" s="99">
        <f t="shared" si="581"/>
        <v>1</v>
      </c>
      <c r="N614" s="84"/>
      <c r="O614" s="84"/>
      <c r="P614" s="84"/>
      <c r="Q614" s="84"/>
      <c r="R614" s="84"/>
    </row>
    <row r="615" ht="15.75" customHeight="1">
      <c r="A615" s="129">
        <v>1.2021002E7</v>
      </c>
      <c r="B615" s="106" t="s">
        <v>1776</v>
      </c>
      <c r="C615" s="59"/>
      <c r="D615" s="133"/>
      <c r="E615" s="172"/>
      <c r="F615" s="172"/>
      <c r="G615" s="159"/>
      <c r="H615" s="133"/>
      <c r="I615" s="99"/>
      <c r="K615" s="84"/>
      <c r="L615" s="99">
        <f t="shared" ref="L615:M615" si="582">COUNTIF(A615:A1785,A615)</f>
        <v>1</v>
      </c>
      <c r="M615" s="99">
        <f t="shared" si="582"/>
        <v>1</v>
      </c>
      <c r="N615" s="84"/>
      <c r="O615" s="84"/>
      <c r="P615" s="84"/>
      <c r="Q615" s="84"/>
      <c r="R615" s="84"/>
    </row>
    <row r="616" ht="15.75" customHeight="1">
      <c r="A616" s="129">
        <v>1.2021003E7</v>
      </c>
      <c r="B616" s="106" t="s">
        <v>1777</v>
      </c>
      <c r="C616" s="59"/>
      <c r="D616" s="133"/>
      <c r="E616" s="178"/>
      <c r="F616" s="178"/>
      <c r="G616" s="159"/>
      <c r="H616" s="133"/>
      <c r="I616" s="99"/>
      <c r="K616" s="84"/>
      <c r="L616" s="99">
        <f t="shared" ref="L616:M616" si="583">COUNTIF(A616:A1786,A616)</f>
        <v>1</v>
      </c>
      <c r="M616" s="99">
        <f t="shared" si="583"/>
        <v>1</v>
      </c>
      <c r="N616" s="84"/>
      <c r="O616" s="84"/>
      <c r="P616" s="84"/>
      <c r="Q616" s="84"/>
      <c r="R616" s="84"/>
    </row>
    <row r="617" ht="15.75" customHeight="1">
      <c r="A617" s="129">
        <v>1.2021004E7</v>
      </c>
      <c r="B617" s="106" t="s">
        <v>1778</v>
      </c>
      <c r="C617" s="59"/>
      <c r="D617" s="133"/>
      <c r="E617" s="178"/>
      <c r="F617" s="178"/>
      <c r="G617" s="159"/>
      <c r="H617" s="133"/>
      <c r="I617" s="99"/>
      <c r="K617" s="84"/>
      <c r="L617" s="99">
        <f t="shared" ref="L617:M617" si="584">COUNTIF(A617:A1787,A617)</f>
        <v>1</v>
      </c>
      <c r="M617" s="99">
        <f t="shared" si="584"/>
        <v>1</v>
      </c>
      <c r="N617" s="84"/>
      <c r="O617" s="84"/>
      <c r="P617" s="84"/>
      <c r="Q617" s="84"/>
      <c r="R617" s="84"/>
    </row>
    <row r="618" ht="15.75" customHeight="1">
      <c r="A618" s="129">
        <v>1.2021005E7</v>
      </c>
      <c r="B618" s="106" t="s">
        <v>1779</v>
      </c>
      <c r="C618" s="59"/>
      <c r="D618" s="133"/>
      <c r="E618" s="178"/>
      <c r="F618" s="178"/>
      <c r="G618" s="159"/>
      <c r="H618" s="133"/>
      <c r="I618" s="99"/>
      <c r="K618" s="84"/>
      <c r="L618" s="99">
        <f t="shared" ref="L618:M618" si="585">COUNTIF(A618:A1788,A618)</f>
        <v>1</v>
      </c>
      <c r="M618" s="99">
        <f t="shared" si="585"/>
        <v>1</v>
      </c>
      <c r="N618" s="84"/>
      <c r="O618" s="84"/>
      <c r="P618" s="84"/>
      <c r="Q618" s="84"/>
      <c r="R618" s="84"/>
    </row>
    <row r="619" ht="15.75" customHeight="1">
      <c r="A619" s="129">
        <v>1.2021006E7</v>
      </c>
      <c r="B619" s="106" t="s">
        <v>1780</v>
      </c>
      <c r="C619" s="59"/>
      <c r="D619" s="133"/>
      <c r="E619" s="178"/>
      <c r="F619" s="178"/>
      <c r="G619" s="159"/>
      <c r="H619" s="133"/>
      <c r="I619" s="99"/>
      <c r="K619" s="84"/>
      <c r="L619" s="99">
        <f t="shared" ref="L619:M619" si="586">COUNTIF(A619:A1789,A619)</f>
        <v>1</v>
      </c>
      <c r="M619" s="99">
        <f t="shared" si="586"/>
        <v>1</v>
      </c>
      <c r="N619" s="84"/>
      <c r="O619" s="84"/>
      <c r="P619" s="84"/>
      <c r="Q619" s="84"/>
      <c r="R619" s="84"/>
    </row>
    <row r="620" ht="15.75" customHeight="1">
      <c r="A620" s="129">
        <v>1.2021007E7</v>
      </c>
      <c r="B620" s="106" t="s">
        <v>1781</v>
      </c>
      <c r="C620" s="59"/>
      <c r="D620" s="133"/>
      <c r="E620" s="178"/>
      <c r="F620" s="178"/>
      <c r="G620" s="159"/>
      <c r="H620" s="133"/>
      <c r="I620" s="99"/>
      <c r="K620" s="84"/>
      <c r="L620" s="99">
        <f t="shared" ref="L620:M620" si="587">COUNTIF(A620:A1790,A620)</f>
        <v>1</v>
      </c>
      <c r="M620" s="99">
        <f t="shared" si="587"/>
        <v>1</v>
      </c>
      <c r="N620" s="84"/>
      <c r="O620" s="84"/>
      <c r="P620" s="84"/>
      <c r="Q620" s="84"/>
      <c r="R620" s="84"/>
    </row>
    <row r="621" ht="15.75" customHeight="1">
      <c r="A621" s="129">
        <v>1.2021008E7</v>
      </c>
      <c r="B621" s="106" t="s">
        <v>1782</v>
      </c>
      <c r="C621" s="59"/>
      <c r="D621" s="133"/>
      <c r="E621" s="172"/>
      <c r="F621" s="178"/>
      <c r="G621" s="159"/>
      <c r="H621" s="133"/>
      <c r="I621" s="99"/>
      <c r="K621" s="84"/>
      <c r="L621" s="99">
        <f t="shared" ref="L621:M621" si="588">COUNTIF(A621:A1791,A621)</f>
        <v>1</v>
      </c>
      <c r="M621" s="99">
        <f t="shared" si="588"/>
        <v>1</v>
      </c>
      <c r="N621" s="84"/>
      <c r="O621" s="84"/>
      <c r="P621" s="84"/>
      <c r="Q621" s="84"/>
      <c r="R621" s="84"/>
    </row>
    <row r="622" ht="15.75" customHeight="1">
      <c r="A622" s="129">
        <v>3.0010101E7</v>
      </c>
      <c r="B622" s="106" t="s">
        <v>1783</v>
      </c>
      <c r="C622" s="59"/>
      <c r="D622" s="133"/>
      <c r="E622" s="178"/>
      <c r="F622" s="172"/>
      <c r="G622" s="159"/>
      <c r="H622" s="133"/>
      <c r="I622" s="99"/>
      <c r="K622" s="84"/>
      <c r="L622" s="99">
        <f t="shared" ref="L622:M622" si="589">COUNTIF(A622:A1792,A622)</f>
        <v>1</v>
      </c>
      <c r="M622" s="99">
        <f t="shared" si="589"/>
        <v>1</v>
      </c>
      <c r="N622" s="84"/>
      <c r="O622" s="84"/>
      <c r="P622" s="84"/>
      <c r="Q622" s="84"/>
      <c r="R622" s="84"/>
    </row>
    <row r="623" ht="15.75" customHeight="1">
      <c r="A623" s="129">
        <v>1.2021009E7</v>
      </c>
      <c r="B623" s="106" t="s">
        <v>1784</v>
      </c>
      <c r="C623" s="59"/>
      <c r="D623" s="133"/>
      <c r="E623" s="178"/>
      <c r="F623" s="178"/>
      <c r="G623" s="154"/>
      <c r="H623" s="133"/>
      <c r="I623" s="99"/>
      <c r="K623" s="84"/>
      <c r="L623" s="99">
        <f t="shared" ref="L623:M623" si="590">COUNTIF(A623:A1793,A623)</f>
        <v>1</v>
      </c>
      <c r="M623" s="99">
        <f t="shared" si="590"/>
        <v>1</v>
      </c>
      <c r="N623" s="84"/>
      <c r="O623" s="84"/>
      <c r="P623" s="84"/>
      <c r="Q623" s="84"/>
      <c r="R623" s="84"/>
    </row>
    <row r="624" ht="15.75" customHeight="1">
      <c r="A624" s="129">
        <v>1.2022001E7</v>
      </c>
      <c r="B624" s="106" t="s">
        <v>1785</v>
      </c>
      <c r="C624" s="59"/>
      <c r="D624" s="133"/>
      <c r="E624" s="178"/>
      <c r="F624" s="178"/>
      <c r="G624" s="189" t="s">
        <v>428</v>
      </c>
      <c r="H624" s="133"/>
      <c r="I624" s="99"/>
      <c r="K624" s="84"/>
      <c r="L624" s="99">
        <f t="shared" ref="L624:M624" si="591">COUNTIF(A624:A1794,A624)</f>
        <v>1</v>
      </c>
      <c r="M624" s="99">
        <f t="shared" si="591"/>
        <v>1</v>
      </c>
      <c r="N624" s="84"/>
      <c r="O624" s="84"/>
      <c r="P624" s="84"/>
      <c r="Q624" s="84"/>
      <c r="R624" s="84"/>
    </row>
    <row r="625" ht="15.75" customHeight="1">
      <c r="A625" s="129">
        <v>1.2022002E7</v>
      </c>
      <c r="B625" s="106" t="s">
        <v>1786</v>
      </c>
      <c r="C625" s="59"/>
      <c r="D625" s="133"/>
      <c r="E625" s="178"/>
      <c r="F625" s="178"/>
      <c r="G625" s="159"/>
      <c r="H625" s="133"/>
      <c r="I625" s="99"/>
      <c r="K625" s="84"/>
      <c r="L625" s="99">
        <f t="shared" ref="L625:M625" si="592">COUNTIF(A625:A1795,A625)</f>
        <v>1</v>
      </c>
      <c r="M625" s="99">
        <f t="shared" si="592"/>
        <v>1</v>
      </c>
      <c r="N625" s="84"/>
      <c r="O625" s="84"/>
      <c r="P625" s="84"/>
      <c r="Q625" s="84"/>
      <c r="R625" s="84"/>
    </row>
    <row r="626" ht="15.75" customHeight="1">
      <c r="A626" s="129">
        <v>1.2022003E7</v>
      </c>
      <c r="B626" s="106" t="s">
        <v>1787</v>
      </c>
      <c r="C626" s="59"/>
      <c r="D626" s="133"/>
      <c r="E626" s="178"/>
      <c r="F626" s="178"/>
      <c r="G626" s="159"/>
      <c r="H626" s="133"/>
      <c r="I626" s="99"/>
      <c r="K626" s="84"/>
      <c r="L626" s="99">
        <f t="shared" ref="L626:M626" si="593">COUNTIF(A626:A1796,A626)</f>
        <v>1</v>
      </c>
      <c r="M626" s="99">
        <f t="shared" si="593"/>
        <v>1</v>
      </c>
      <c r="N626" s="84"/>
      <c r="O626" s="84"/>
      <c r="P626" s="84"/>
      <c r="Q626" s="84"/>
      <c r="R626" s="84"/>
    </row>
    <row r="627" ht="15.75" customHeight="1">
      <c r="A627" s="129">
        <v>1.2022004E7</v>
      </c>
      <c r="B627" s="106" t="s">
        <v>1788</v>
      </c>
      <c r="C627" s="59"/>
      <c r="D627" s="133"/>
      <c r="E627" s="178"/>
      <c r="F627" s="178"/>
      <c r="G627" s="159"/>
      <c r="H627" s="133"/>
      <c r="I627" s="99"/>
      <c r="K627" s="84"/>
      <c r="L627" s="99">
        <f t="shared" ref="L627:M627" si="594">COUNTIF(A627:A1797,A627)</f>
        <v>1</v>
      </c>
      <c r="M627" s="99">
        <f t="shared" si="594"/>
        <v>1</v>
      </c>
      <c r="N627" s="84"/>
      <c r="O627" s="84"/>
      <c r="P627" s="84"/>
      <c r="Q627" s="84"/>
      <c r="R627" s="84"/>
    </row>
    <row r="628" ht="15.75" customHeight="1">
      <c r="A628" s="129">
        <v>1.2022005E7</v>
      </c>
      <c r="B628" s="106" t="s">
        <v>1789</v>
      </c>
      <c r="C628" s="59"/>
      <c r="D628" s="133"/>
      <c r="E628" s="178"/>
      <c r="F628" s="178"/>
      <c r="G628" s="159"/>
      <c r="H628" s="133"/>
      <c r="I628" s="99"/>
      <c r="K628" s="84"/>
      <c r="L628" s="99">
        <f t="shared" ref="L628:M628" si="595">COUNTIF(A628:A1798,A628)</f>
        <v>1</v>
      </c>
      <c r="M628" s="99">
        <f t="shared" si="595"/>
        <v>1</v>
      </c>
      <c r="N628" s="84"/>
      <c r="O628" s="84"/>
      <c r="P628" s="84"/>
      <c r="Q628" s="84"/>
      <c r="R628" s="84"/>
    </row>
    <row r="629" ht="15.75" customHeight="1">
      <c r="A629" s="129">
        <v>1.2022006E7</v>
      </c>
      <c r="B629" s="106" t="s">
        <v>1790</v>
      </c>
      <c r="C629" s="59"/>
      <c r="D629" s="133"/>
      <c r="E629" s="178"/>
      <c r="F629" s="178"/>
      <c r="G629" s="159"/>
      <c r="H629" s="133"/>
      <c r="I629" s="99"/>
      <c r="K629" s="84"/>
      <c r="L629" s="99">
        <f t="shared" ref="L629:M629" si="596">COUNTIF(A629:A1799,A629)</f>
        <v>1</v>
      </c>
      <c r="M629" s="99">
        <f t="shared" si="596"/>
        <v>1</v>
      </c>
      <c r="N629" s="84"/>
      <c r="O629" s="84"/>
      <c r="P629" s="84"/>
      <c r="Q629" s="84"/>
      <c r="R629" s="84"/>
    </row>
    <row r="630" ht="15.75" customHeight="1">
      <c r="A630" s="129">
        <v>1.2022007E7</v>
      </c>
      <c r="B630" s="106" t="s">
        <v>1791</v>
      </c>
      <c r="C630" s="59"/>
      <c r="D630" s="133"/>
      <c r="E630" s="178"/>
      <c r="F630" s="178"/>
      <c r="G630" s="159"/>
      <c r="H630" s="133"/>
      <c r="I630" s="99"/>
      <c r="K630" s="84"/>
      <c r="L630" s="99">
        <f t="shared" ref="L630:M630" si="597">COUNTIF(A630:A1800,A630)</f>
        <v>1</v>
      </c>
      <c r="M630" s="99">
        <f t="shared" si="597"/>
        <v>1</v>
      </c>
      <c r="N630" s="84"/>
      <c r="O630" s="84"/>
      <c r="P630" s="84"/>
      <c r="Q630" s="84"/>
      <c r="R630" s="84"/>
    </row>
    <row r="631" ht="15.75" customHeight="1">
      <c r="A631" s="129">
        <v>1.2022008E7</v>
      </c>
      <c r="B631" s="106" t="s">
        <v>1792</v>
      </c>
      <c r="C631" s="59"/>
      <c r="D631" s="133"/>
      <c r="E631" s="178"/>
      <c r="F631" s="178"/>
      <c r="G631" s="189" t="s">
        <v>428</v>
      </c>
      <c r="H631" s="133"/>
      <c r="I631" s="99"/>
      <c r="K631" s="84"/>
      <c r="L631" s="99">
        <f t="shared" ref="L631:M631" si="598">COUNTIF(A631:A1801,A631)</f>
        <v>1</v>
      </c>
      <c r="M631" s="99">
        <f t="shared" si="598"/>
        <v>1</v>
      </c>
      <c r="N631" s="84"/>
      <c r="O631" s="84"/>
      <c r="P631" s="84"/>
      <c r="Q631" s="84"/>
      <c r="R631" s="84"/>
    </row>
    <row r="632" ht="15.75" customHeight="1">
      <c r="A632" s="129">
        <v>1.2022009E7</v>
      </c>
      <c r="B632" s="106" t="s">
        <v>1793</v>
      </c>
      <c r="C632" s="59"/>
      <c r="D632" s="133"/>
      <c r="E632" s="178"/>
      <c r="F632" s="178"/>
      <c r="G632" s="159"/>
      <c r="H632" s="133"/>
      <c r="I632" s="99"/>
      <c r="K632" s="84"/>
      <c r="L632" s="99">
        <f t="shared" ref="L632:M632" si="599">COUNTIF(A632:A1802,A632)</f>
        <v>1</v>
      </c>
      <c r="M632" s="99">
        <f t="shared" si="599"/>
        <v>1</v>
      </c>
      <c r="N632" s="84"/>
      <c r="O632" s="84"/>
      <c r="P632" s="84"/>
      <c r="Q632" s="84"/>
      <c r="R632" s="84"/>
    </row>
    <row r="633" ht="15.75" customHeight="1">
      <c r="A633" s="129">
        <v>1.202201E7</v>
      </c>
      <c r="B633" s="106" t="s">
        <v>1794</v>
      </c>
      <c r="C633" s="59"/>
      <c r="D633" s="133"/>
      <c r="E633" s="178"/>
      <c r="F633" s="178"/>
      <c r="G633" s="159"/>
      <c r="H633" s="133"/>
      <c r="I633" s="99"/>
      <c r="K633" s="84"/>
      <c r="L633" s="99">
        <f t="shared" ref="L633:M633" si="600">COUNTIF(A633:A1803,A633)</f>
        <v>1</v>
      </c>
      <c r="M633" s="99">
        <f t="shared" si="600"/>
        <v>1</v>
      </c>
      <c r="N633" s="84"/>
      <c r="O633" s="84"/>
      <c r="P633" s="84"/>
      <c r="Q633" s="84"/>
      <c r="R633" s="84"/>
    </row>
    <row r="634" ht="15.75" customHeight="1">
      <c r="A634" s="129">
        <v>1.2022011E7</v>
      </c>
      <c r="B634" s="106" t="s">
        <v>1795</v>
      </c>
      <c r="C634" s="59"/>
      <c r="D634" s="133"/>
      <c r="E634" s="178"/>
      <c r="F634" s="178"/>
      <c r="G634" s="159"/>
      <c r="H634" s="133"/>
      <c r="I634" s="99"/>
      <c r="K634" s="84"/>
      <c r="L634" s="99">
        <f t="shared" ref="L634:M634" si="601">COUNTIF(A634:A1804,A634)</f>
        <v>1</v>
      </c>
      <c r="M634" s="99">
        <f t="shared" si="601"/>
        <v>1</v>
      </c>
      <c r="N634" s="84"/>
      <c r="O634" s="84"/>
      <c r="P634" s="84"/>
      <c r="Q634" s="84"/>
      <c r="R634" s="84"/>
    </row>
    <row r="635" ht="15.75" customHeight="1">
      <c r="A635" s="129">
        <v>1.2022012E7</v>
      </c>
      <c r="B635" s="106" t="s">
        <v>1796</v>
      </c>
      <c r="C635" s="59"/>
      <c r="D635" s="133"/>
      <c r="E635" s="178"/>
      <c r="F635" s="178"/>
      <c r="G635" s="159"/>
      <c r="H635" s="133"/>
      <c r="I635" s="99"/>
      <c r="K635" s="84"/>
      <c r="L635" s="99">
        <f t="shared" ref="L635:M635" si="602">COUNTIF(A635:A1805,A635)</f>
        <v>1</v>
      </c>
      <c r="M635" s="99">
        <f t="shared" si="602"/>
        <v>1</v>
      </c>
      <c r="N635" s="84"/>
      <c r="O635" s="84"/>
      <c r="P635" s="84"/>
      <c r="Q635" s="84"/>
      <c r="R635" s="84"/>
    </row>
    <row r="636" ht="15.75" customHeight="1">
      <c r="A636" s="129">
        <v>1.2051001E7</v>
      </c>
      <c r="B636" s="106" t="s">
        <v>1797</v>
      </c>
      <c r="C636" s="59"/>
      <c r="D636" s="133"/>
      <c r="E636" s="178"/>
      <c r="F636" s="178"/>
      <c r="G636" s="159"/>
      <c r="H636" s="133"/>
      <c r="I636" s="99"/>
      <c r="K636" s="84"/>
      <c r="L636" s="99">
        <f t="shared" ref="L636:M636" si="603">COUNTIF(A636:A1806,A636)</f>
        <v>1</v>
      </c>
      <c r="M636" s="99">
        <f t="shared" si="603"/>
        <v>1</v>
      </c>
      <c r="N636" s="84"/>
      <c r="O636" s="84"/>
      <c r="P636" s="84"/>
      <c r="Q636" s="84"/>
      <c r="R636" s="84"/>
    </row>
    <row r="637" ht="15.75" customHeight="1">
      <c r="A637" s="129">
        <v>1.2051002E7</v>
      </c>
      <c r="B637" s="106" t="s">
        <v>1798</v>
      </c>
      <c r="C637" s="59"/>
      <c r="D637" s="133"/>
      <c r="E637" s="178"/>
      <c r="F637" s="172"/>
      <c r="G637" s="159"/>
      <c r="H637" s="133"/>
      <c r="I637" s="99"/>
      <c r="K637" s="84"/>
      <c r="L637" s="99">
        <f t="shared" ref="L637:M637" si="604">COUNTIF(A637:A1807,A637)</f>
        <v>1</v>
      </c>
      <c r="M637" s="99">
        <f t="shared" si="604"/>
        <v>1</v>
      </c>
      <c r="N637" s="84"/>
      <c r="O637" s="84"/>
      <c r="P637" s="84"/>
      <c r="Q637" s="84"/>
      <c r="R637" s="84"/>
    </row>
    <row r="638" ht="15.75" customHeight="1">
      <c r="A638" s="194"/>
      <c r="B638" s="134"/>
      <c r="C638" s="59"/>
      <c r="D638" s="133"/>
      <c r="E638" s="178"/>
      <c r="F638" s="172"/>
      <c r="G638" s="159"/>
      <c r="H638" s="133"/>
      <c r="I638" s="99"/>
      <c r="K638" s="84"/>
      <c r="L638" s="99">
        <f t="shared" ref="L638:M638" si="605">COUNTIF(A638:A1808,A638)</f>
        <v>0</v>
      </c>
      <c r="M638" s="99">
        <f t="shared" si="605"/>
        <v>0</v>
      </c>
      <c r="N638" s="84"/>
      <c r="O638" s="84"/>
      <c r="P638" s="84"/>
      <c r="Q638" s="84"/>
      <c r="R638" s="84"/>
    </row>
    <row r="639" ht="15.75" customHeight="1">
      <c r="A639" s="129">
        <v>1.202901E7</v>
      </c>
      <c r="B639" s="106" t="s">
        <v>1799</v>
      </c>
      <c r="C639" s="59"/>
      <c r="D639" s="133"/>
      <c r="E639" s="187"/>
      <c r="F639" s="172"/>
      <c r="G639" s="159"/>
      <c r="H639" s="133"/>
      <c r="I639" s="99"/>
      <c r="K639" s="84"/>
      <c r="L639" s="99">
        <f t="shared" ref="L639:M639" si="606">COUNTIF(A639:A1809,A639)</f>
        <v>1</v>
      </c>
      <c r="M639" s="99">
        <f t="shared" si="606"/>
        <v>1</v>
      </c>
      <c r="N639" s="84"/>
      <c r="O639" s="84"/>
      <c r="P639" s="84"/>
      <c r="Q639" s="84"/>
      <c r="R639" s="84"/>
    </row>
    <row r="640" ht="15.75" customHeight="1">
      <c r="A640" s="129">
        <v>1.2029E7</v>
      </c>
      <c r="B640" s="106" t="s">
        <v>1800</v>
      </c>
      <c r="C640" s="59"/>
      <c r="D640" s="133"/>
      <c r="E640" s="172"/>
      <c r="F640" s="172"/>
      <c r="G640" s="159"/>
      <c r="H640" s="133"/>
      <c r="I640" s="99"/>
      <c r="K640" s="84"/>
      <c r="L640" s="99">
        <f t="shared" ref="L640:M640" si="607">COUNTIF(A640:A1810,A640)</f>
        <v>1</v>
      </c>
      <c r="M640" s="99">
        <f t="shared" si="607"/>
        <v>1</v>
      </c>
      <c r="N640" s="84"/>
      <c r="O640" s="84"/>
      <c r="P640" s="84"/>
      <c r="Q640" s="84"/>
      <c r="R640" s="84"/>
    </row>
    <row r="641" ht="15.75" customHeight="1">
      <c r="A641" s="129">
        <v>1.2029002E7</v>
      </c>
      <c r="B641" s="106" t="s">
        <v>1801</v>
      </c>
      <c r="C641" s="59"/>
      <c r="D641" s="133"/>
      <c r="E641" s="172"/>
      <c r="F641" s="172"/>
      <c r="G641" s="159"/>
      <c r="H641" s="133"/>
      <c r="I641" s="99"/>
      <c r="K641" s="84"/>
      <c r="L641" s="99">
        <f t="shared" ref="L641:M641" si="608">COUNTIF(A641:A1811,A641)</f>
        <v>1</v>
      </c>
      <c r="M641" s="99">
        <f t="shared" si="608"/>
        <v>1</v>
      </c>
      <c r="N641" s="84"/>
      <c r="O641" s="84"/>
      <c r="P641" s="84"/>
      <c r="Q641" s="84"/>
      <c r="R641" s="84"/>
    </row>
    <row r="642" ht="15.75" customHeight="1">
      <c r="A642" s="129">
        <v>1.2029003E7</v>
      </c>
      <c r="B642" s="106" t="s">
        <v>1802</v>
      </c>
      <c r="C642" s="59"/>
      <c r="D642" s="133"/>
      <c r="E642" s="178"/>
      <c r="F642" s="178"/>
      <c r="G642" s="159"/>
      <c r="H642" s="133"/>
      <c r="I642" s="99"/>
      <c r="K642" s="84"/>
      <c r="L642" s="99">
        <f t="shared" ref="L642:M642" si="609">COUNTIF(A642:A1812,A642)</f>
        <v>1</v>
      </c>
      <c r="M642" s="99">
        <f t="shared" si="609"/>
        <v>1</v>
      </c>
      <c r="N642" s="84"/>
      <c r="O642" s="84"/>
      <c r="P642" s="84"/>
      <c r="Q642" s="84"/>
      <c r="R642" s="84"/>
    </row>
    <row r="643" ht="15.75" customHeight="1">
      <c r="A643" s="129">
        <v>1.2029004E7</v>
      </c>
      <c r="B643" s="106" t="s">
        <v>1803</v>
      </c>
      <c r="C643" s="59"/>
      <c r="D643" s="133"/>
      <c r="E643" s="178"/>
      <c r="F643" s="178"/>
      <c r="G643" s="159"/>
      <c r="H643" s="133"/>
      <c r="I643" s="99"/>
      <c r="K643" s="84"/>
      <c r="L643" s="99">
        <f t="shared" ref="L643:M643" si="610">COUNTIF(A643:A1813,A643)</f>
        <v>1</v>
      </c>
      <c r="M643" s="99">
        <f t="shared" si="610"/>
        <v>1</v>
      </c>
      <c r="N643" s="84"/>
      <c r="O643" s="84"/>
      <c r="P643" s="84"/>
      <c r="Q643" s="84"/>
      <c r="R643" s="84"/>
    </row>
    <row r="644" ht="15.75" customHeight="1">
      <c r="A644" s="129">
        <v>1.2029005E7</v>
      </c>
      <c r="B644" s="106" t="s">
        <v>1804</v>
      </c>
      <c r="C644" s="59"/>
      <c r="D644" s="133"/>
      <c r="E644" s="178"/>
      <c r="F644" s="178"/>
      <c r="G644" s="159"/>
      <c r="H644" s="133"/>
      <c r="I644" s="99"/>
      <c r="K644" s="84"/>
      <c r="L644" s="99">
        <f t="shared" ref="L644:M644" si="611">COUNTIF(A644:A1814,A644)</f>
        <v>1</v>
      </c>
      <c r="M644" s="99">
        <f t="shared" si="611"/>
        <v>1</v>
      </c>
      <c r="N644" s="84"/>
      <c r="O644" s="84"/>
      <c r="P644" s="84"/>
      <c r="Q644" s="84"/>
      <c r="R644" s="84"/>
    </row>
    <row r="645" ht="15.75" customHeight="1">
      <c r="A645" s="129">
        <v>1.2029006E7</v>
      </c>
      <c r="B645" s="106" t="s">
        <v>1805</v>
      </c>
      <c r="C645" s="59"/>
      <c r="D645" s="133"/>
      <c r="E645" s="178"/>
      <c r="F645" s="178"/>
      <c r="G645" s="159"/>
      <c r="H645" s="133"/>
      <c r="I645" s="99"/>
      <c r="K645" s="84"/>
      <c r="L645" s="99">
        <f t="shared" ref="L645:M645" si="612">COUNTIF(A645:A1815,A645)</f>
        <v>1</v>
      </c>
      <c r="M645" s="99">
        <f t="shared" si="612"/>
        <v>1</v>
      </c>
      <c r="N645" s="84"/>
      <c r="O645" s="84"/>
      <c r="P645" s="84"/>
      <c r="Q645" s="84"/>
      <c r="R645" s="84"/>
    </row>
    <row r="646" ht="15.75" customHeight="1">
      <c r="A646" s="129">
        <v>1.2029007E7</v>
      </c>
      <c r="B646" s="106" t="s">
        <v>1806</v>
      </c>
      <c r="C646" s="59"/>
      <c r="D646" s="133"/>
      <c r="E646" s="178"/>
      <c r="F646" s="178"/>
      <c r="G646" s="159"/>
      <c r="H646" s="133"/>
      <c r="I646" s="99"/>
      <c r="K646" s="84"/>
      <c r="L646" s="99">
        <f t="shared" ref="L646:M646" si="613">COUNTIF(A646:A1816,A646)</f>
        <v>1</v>
      </c>
      <c r="M646" s="99">
        <f t="shared" si="613"/>
        <v>1</v>
      </c>
      <c r="N646" s="84"/>
      <c r="O646" s="84"/>
      <c r="P646" s="84"/>
      <c r="Q646" s="84"/>
      <c r="R646" s="84"/>
    </row>
    <row r="647" ht="15.75" customHeight="1">
      <c r="A647" s="129">
        <v>1.2029008E7</v>
      </c>
      <c r="B647" s="106" t="s">
        <v>1807</v>
      </c>
      <c r="C647" s="59"/>
      <c r="D647" s="133"/>
      <c r="E647" s="178"/>
      <c r="F647" s="178"/>
      <c r="G647" s="159"/>
      <c r="H647" s="133"/>
      <c r="I647" s="99"/>
      <c r="K647" s="84"/>
      <c r="L647" s="99">
        <f t="shared" ref="L647:M647" si="614">COUNTIF(A647:A1817,A647)</f>
        <v>1</v>
      </c>
      <c r="M647" s="99">
        <f t="shared" si="614"/>
        <v>1</v>
      </c>
      <c r="N647" s="84"/>
      <c r="O647" s="84"/>
      <c r="P647" s="84"/>
      <c r="Q647" s="84"/>
      <c r="R647" s="84"/>
    </row>
    <row r="648" ht="15.75" customHeight="1">
      <c r="A648" s="129">
        <v>3.0010102E7</v>
      </c>
      <c r="B648" s="106" t="s">
        <v>1808</v>
      </c>
      <c r="C648" s="59"/>
      <c r="D648" s="133"/>
      <c r="E648" s="178"/>
      <c r="F648" s="172"/>
      <c r="G648" s="154"/>
      <c r="H648" s="133"/>
      <c r="I648" s="99"/>
      <c r="K648" s="84"/>
      <c r="L648" s="99">
        <f t="shared" ref="L648:M648" si="615">COUNTIF(A648:A1818,A648)</f>
        <v>1</v>
      </c>
      <c r="M648" s="99">
        <f t="shared" si="615"/>
        <v>1</v>
      </c>
      <c r="N648" s="84"/>
      <c r="O648" s="84"/>
      <c r="P648" s="84"/>
      <c r="Q648" s="84"/>
      <c r="R648" s="84"/>
    </row>
    <row r="649" ht="15.75" customHeight="1">
      <c r="A649" s="129">
        <v>1.2029009E7</v>
      </c>
      <c r="B649" s="106" t="s">
        <v>1809</v>
      </c>
      <c r="C649" s="59"/>
      <c r="D649" s="133"/>
      <c r="E649" s="178"/>
      <c r="F649" s="178"/>
      <c r="G649" s="154"/>
      <c r="H649" s="133"/>
      <c r="I649" s="99"/>
      <c r="K649" s="84"/>
      <c r="L649" s="99">
        <f t="shared" ref="L649:M649" si="616">COUNTIF(A649:A1819,A649)</f>
        <v>1</v>
      </c>
      <c r="M649" s="99">
        <f t="shared" si="616"/>
        <v>1</v>
      </c>
      <c r="N649" s="84"/>
      <c r="O649" s="84"/>
      <c r="P649" s="84"/>
      <c r="Q649" s="84"/>
      <c r="R649" s="84"/>
    </row>
    <row r="650" ht="15.75" customHeight="1">
      <c r="A650" s="129">
        <v>1.2030001E7</v>
      </c>
      <c r="B650" s="106" t="s">
        <v>1810</v>
      </c>
      <c r="C650" s="59"/>
      <c r="D650" s="133"/>
      <c r="E650" s="178"/>
      <c r="F650" s="178"/>
      <c r="G650" s="189" t="s">
        <v>428</v>
      </c>
      <c r="H650" s="133"/>
      <c r="I650" s="99"/>
      <c r="K650" s="84"/>
      <c r="L650" s="99">
        <f t="shared" ref="L650:M650" si="617">COUNTIF(A650:A1820,A650)</f>
        <v>1</v>
      </c>
      <c r="M650" s="99">
        <f t="shared" si="617"/>
        <v>1</v>
      </c>
      <c r="N650" s="84"/>
      <c r="O650" s="84"/>
      <c r="P650" s="84"/>
      <c r="Q650" s="84"/>
      <c r="R650" s="84"/>
    </row>
    <row r="651" ht="15.75" customHeight="1">
      <c r="A651" s="129">
        <v>1.2030002E7</v>
      </c>
      <c r="B651" s="106" t="s">
        <v>1811</v>
      </c>
      <c r="C651" s="59"/>
      <c r="D651" s="133"/>
      <c r="E651" s="178"/>
      <c r="F651" s="178"/>
      <c r="G651" s="154"/>
      <c r="H651" s="133"/>
      <c r="I651" s="99"/>
      <c r="K651" s="84"/>
      <c r="L651" s="99">
        <f t="shared" ref="L651:M651" si="618">COUNTIF(A651:A1821,A651)</f>
        <v>1</v>
      </c>
      <c r="M651" s="99">
        <f t="shared" si="618"/>
        <v>1</v>
      </c>
      <c r="N651" s="84"/>
      <c r="O651" s="84"/>
      <c r="P651" s="84"/>
      <c r="Q651" s="84"/>
      <c r="R651" s="84"/>
    </row>
    <row r="652" ht="15.75" customHeight="1">
      <c r="A652" s="129">
        <v>1.2030003E7</v>
      </c>
      <c r="B652" s="106" t="s">
        <v>1812</v>
      </c>
      <c r="C652" s="59"/>
      <c r="D652" s="133"/>
      <c r="E652" s="178"/>
      <c r="F652" s="178"/>
      <c r="G652" s="159"/>
      <c r="H652" s="133"/>
      <c r="I652" s="99"/>
      <c r="K652" s="84"/>
      <c r="L652" s="99">
        <f t="shared" ref="L652:M652" si="619">COUNTIF(A652:A1822,A652)</f>
        <v>1</v>
      </c>
      <c r="M652" s="99">
        <f t="shared" si="619"/>
        <v>1</v>
      </c>
      <c r="N652" s="84"/>
      <c r="O652" s="84"/>
      <c r="P652" s="84"/>
      <c r="Q652" s="84"/>
      <c r="R652" s="84"/>
    </row>
    <row r="653" ht="15.75" customHeight="1">
      <c r="A653" s="129">
        <v>1.2030004E7</v>
      </c>
      <c r="B653" s="106" t="s">
        <v>1813</v>
      </c>
      <c r="C653" s="59"/>
      <c r="D653" s="133"/>
      <c r="E653" s="178"/>
      <c r="F653" s="178"/>
      <c r="G653" s="159"/>
      <c r="H653" s="133"/>
      <c r="I653" s="99"/>
      <c r="K653" s="84"/>
      <c r="L653" s="99">
        <f t="shared" ref="L653:M653" si="620">COUNTIF(A653:A1823,A653)</f>
        <v>1</v>
      </c>
      <c r="M653" s="99">
        <f t="shared" si="620"/>
        <v>1</v>
      </c>
      <c r="N653" s="84"/>
      <c r="O653" s="84"/>
      <c r="P653" s="84"/>
      <c r="Q653" s="84"/>
      <c r="R653" s="84"/>
    </row>
    <row r="654" ht="15.75" customHeight="1">
      <c r="A654" s="129">
        <v>1.2030005E7</v>
      </c>
      <c r="B654" s="106" t="s">
        <v>1814</v>
      </c>
      <c r="C654" s="59"/>
      <c r="D654" s="133"/>
      <c r="E654" s="178"/>
      <c r="F654" s="178"/>
      <c r="G654" s="159"/>
      <c r="H654" s="133"/>
      <c r="I654" s="99"/>
      <c r="K654" s="84"/>
      <c r="L654" s="99">
        <f t="shared" ref="L654:M654" si="621">COUNTIF(A654:A1824,A654)</f>
        <v>1</v>
      </c>
      <c r="M654" s="99">
        <f t="shared" si="621"/>
        <v>1</v>
      </c>
      <c r="N654" s="84"/>
      <c r="O654" s="84"/>
      <c r="P654" s="84"/>
      <c r="Q654" s="84"/>
      <c r="R654" s="84"/>
    </row>
    <row r="655" ht="15.75" customHeight="1">
      <c r="A655" s="129">
        <v>1.2030006E7</v>
      </c>
      <c r="B655" s="106" t="s">
        <v>1815</v>
      </c>
      <c r="C655" s="59"/>
      <c r="D655" s="133"/>
      <c r="E655" s="178"/>
      <c r="F655" s="178"/>
      <c r="G655" s="159"/>
      <c r="H655" s="133"/>
      <c r="I655" s="99"/>
      <c r="K655" s="84"/>
      <c r="L655" s="99">
        <f t="shared" ref="L655:M655" si="622">COUNTIF(A655:A1825,A655)</f>
        <v>1</v>
      </c>
      <c r="M655" s="99">
        <f t="shared" si="622"/>
        <v>1</v>
      </c>
      <c r="N655" s="84"/>
      <c r="O655" s="84"/>
      <c r="P655" s="84"/>
      <c r="Q655" s="84"/>
      <c r="R655" s="84"/>
    </row>
    <row r="656" ht="15.75" customHeight="1">
      <c r="A656" s="129">
        <v>1.2030007E7</v>
      </c>
      <c r="B656" s="106" t="s">
        <v>1816</v>
      </c>
      <c r="C656" s="59"/>
      <c r="D656" s="133"/>
      <c r="E656" s="178"/>
      <c r="F656" s="178"/>
      <c r="G656" s="159"/>
      <c r="H656" s="133"/>
      <c r="I656" s="99"/>
      <c r="K656" s="84"/>
      <c r="L656" s="99">
        <f t="shared" ref="L656:M656" si="623">COUNTIF(A656:A1826,A656)</f>
        <v>1</v>
      </c>
      <c r="M656" s="99">
        <f t="shared" si="623"/>
        <v>1</v>
      </c>
      <c r="N656" s="84"/>
      <c r="O656" s="84"/>
      <c r="P656" s="84"/>
      <c r="Q656" s="84"/>
      <c r="R656" s="84"/>
    </row>
    <row r="657" ht="15.75" customHeight="1">
      <c r="A657" s="129">
        <v>1.2030008E7</v>
      </c>
      <c r="B657" s="106" t="s">
        <v>1817</v>
      </c>
      <c r="C657" s="59"/>
      <c r="D657" s="133"/>
      <c r="E657" s="178"/>
      <c r="F657" s="178"/>
      <c r="G657" s="189" t="s">
        <v>428</v>
      </c>
      <c r="H657" s="133"/>
      <c r="I657" s="99"/>
      <c r="K657" s="84"/>
      <c r="L657" s="99">
        <f t="shared" ref="L657:M657" si="624">COUNTIF(A657:A1827,A657)</f>
        <v>1</v>
      </c>
      <c r="M657" s="99">
        <f t="shared" si="624"/>
        <v>1</v>
      </c>
      <c r="N657" s="84"/>
      <c r="O657" s="84"/>
      <c r="P657" s="84"/>
      <c r="Q657" s="84"/>
      <c r="R657" s="84"/>
    </row>
    <row r="658" ht="15.75" customHeight="1">
      <c r="A658" s="129">
        <v>1.2030009E7</v>
      </c>
      <c r="B658" s="106" t="s">
        <v>1818</v>
      </c>
      <c r="C658" s="59"/>
      <c r="D658" s="133"/>
      <c r="E658" s="178"/>
      <c r="F658" s="178"/>
      <c r="G658" s="159"/>
      <c r="H658" s="133"/>
      <c r="I658" s="99"/>
      <c r="K658" s="84"/>
      <c r="L658" s="99">
        <f t="shared" ref="L658:M658" si="625">COUNTIF(A658:A1828,A658)</f>
        <v>1</v>
      </c>
      <c r="M658" s="99">
        <f t="shared" si="625"/>
        <v>1</v>
      </c>
      <c r="N658" s="84"/>
      <c r="O658" s="84"/>
      <c r="P658" s="84"/>
      <c r="Q658" s="84"/>
      <c r="R658" s="84"/>
    </row>
    <row r="659" ht="15.75" customHeight="1">
      <c r="A659" s="129">
        <v>1.203001E7</v>
      </c>
      <c r="B659" s="106" t="s">
        <v>1819</v>
      </c>
      <c r="C659" s="59"/>
      <c r="D659" s="133"/>
      <c r="E659" s="178"/>
      <c r="F659" s="178"/>
      <c r="G659" s="159"/>
      <c r="H659" s="133"/>
      <c r="I659" s="99"/>
      <c r="K659" s="84"/>
      <c r="L659" s="99">
        <f t="shared" ref="L659:M659" si="626">COUNTIF(A659:A1829,A659)</f>
        <v>1</v>
      </c>
      <c r="M659" s="99">
        <f t="shared" si="626"/>
        <v>1</v>
      </c>
      <c r="N659" s="84"/>
      <c r="O659" s="84"/>
      <c r="P659" s="84"/>
      <c r="Q659" s="84"/>
      <c r="R659" s="84"/>
    </row>
    <row r="660" ht="15.75" customHeight="1">
      <c r="A660" s="129">
        <v>1.2030011E7</v>
      </c>
      <c r="B660" s="106" t="s">
        <v>1820</v>
      </c>
      <c r="C660" s="59"/>
      <c r="D660" s="133"/>
      <c r="E660" s="178"/>
      <c r="F660" s="178"/>
      <c r="G660" s="159"/>
      <c r="H660" s="133"/>
      <c r="I660" s="99"/>
      <c r="K660" s="84"/>
      <c r="L660" s="99">
        <f t="shared" ref="L660:M660" si="627">COUNTIF(A660:A1830,A660)</f>
        <v>1</v>
      </c>
      <c r="M660" s="99">
        <f t="shared" si="627"/>
        <v>1</v>
      </c>
      <c r="N660" s="84"/>
      <c r="O660" s="84"/>
      <c r="P660" s="84"/>
      <c r="Q660" s="84"/>
      <c r="R660" s="84"/>
    </row>
    <row r="661" ht="15.75" customHeight="1">
      <c r="A661" s="129">
        <v>1.2030012E7</v>
      </c>
      <c r="B661" s="106" t="s">
        <v>1821</v>
      </c>
      <c r="C661" s="59"/>
      <c r="D661" s="133"/>
      <c r="E661" s="178"/>
      <c r="F661" s="172"/>
      <c r="G661" s="159"/>
      <c r="H661" s="133"/>
      <c r="I661" s="99"/>
      <c r="K661" s="84"/>
      <c r="L661" s="99">
        <f t="shared" ref="L661:M661" si="628">COUNTIF(A661:A1831,A661)</f>
        <v>1</v>
      </c>
      <c r="M661" s="99">
        <f t="shared" si="628"/>
        <v>1</v>
      </c>
      <c r="N661" s="84"/>
      <c r="O661" s="84"/>
      <c r="P661" s="84"/>
      <c r="Q661" s="84"/>
      <c r="R661" s="84"/>
    </row>
    <row r="662" ht="15.75" customHeight="1">
      <c r="A662" s="129">
        <v>1.2052011E7</v>
      </c>
      <c r="B662" s="106" t="s">
        <v>1822</v>
      </c>
      <c r="C662" s="59"/>
      <c r="D662" s="133"/>
      <c r="E662" s="178"/>
      <c r="F662" s="178"/>
      <c r="G662" s="159"/>
      <c r="H662" s="133"/>
      <c r="I662" s="99"/>
      <c r="K662" s="84"/>
      <c r="L662" s="99">
        <f t="shared" ref="L662:M662" si="629">COUNTIF(A662:A1832,A662)</f>
        <v>1</v>
      </c>
      <c r="M662" s="99">
        <f t="shared" si="629"/>
        <v>1</v>
      </c>
      <c r="N662" s="84"/>
      <c r="O662" s="84"/>
      <c r="P662" s="84"/>
      <c r="Q662" s="84"/>
      <c r="R662" s="84"/>
    </row>
    <row r="663" ht="15.75" customHeight="1">
      <c r="A663" s="190">
        <v>1.2052012E7</v>
      </c>
      <c r="B663" s="106" t="s">
        <v>1823</v>
      </c>
      <c r="C663" s="59"/>
      <c r="D663" s="133"/>
      <c r="E663" s="178"/>
      <c r="F663" s="178"/>
      <c r="G663" s="159"/>
      <c r="H663" s="133"/>
      <c r="I663" s="99"/>
      <c r="K663" s="84"/>
      <c r="L663" s="99">
        <f t="shared" ref="L663:M663" si="630">COUNTIF(A663:A1833,A663)</f>
        <v>1</v>
      </c>
      <c r="M663" s="99">
        <f t="shared" si="630"/>
        <v>1</v>
      </c>
      <c r="N663" s="84"/>
      <c r="O663" s="84"/>
      <c r="P663" s="84"/>
      <c r="Q663" s="84"/>
      <c r="R663" s="84"/>
    </row>
    <row r="664" ht="15.75" customHeight="1">
      <c r="A664" s="194"/>
      <c r="B664" s="134"/>
      <c r="C664" s="59"/>
      <c r="D664" s="133"/>
      <c r="E664" s="178"/>
      <c r="F664" s="172"/>
      <c r="G664" s="159"/>
      <c r="H664" s="133"/>
      <c r="I664" s="99"/>
      <c r="K664" s="84"/>
      <c r="L664" s="99">
        <f t="shared" ref="L664:M664" si="631">COUNTIF(A664:A1834,A664)</f>
        <v>0</v>
      </c>
      <c r="M664" s="99">
        <f t="shared" si="631"/>
        <v>0</v>
      </c>
      <c r="N664" s="84"/>
      <c r="O664" s="84"/>
      <c r="P664" s="84"/>
      <c r="Q664" s="84"/>
      <c r="R664" s="84"/>
    </row>
    <row r="665" ht="15.75" customHeight="1">
      <c r="A665" s="129">
        <v>1.203701E7</v>
      </c>
      <c r="B665" s="106" t="s">
        <v>1824</v>
      </c>
      <c r="C665" s="59"/>
      <c r="D665" s="133"/>
      <c r="E665" s="187"/>
      <c r="F665" s="172"/>
      <c r="G665" s="159"/>
      <c r="H665" s="133"/>
      <c r="I665" s="99"/>
      <c r="K665" s="84"/>
      <c r="L665" s="99">
        <f t="shared" ref="L665:M665" si="632">COUNTIF(A665:A1835,A665)</f>
        <v>1</v>
      </c>
      <c r="M665" s="99">
        <f t="shared" si="632"/>
        <v>1</v>
      </c>
      <c r="N665" s="84"/>
      <c r="O665" s="84"/>
      <c r="P665" s="84"/>
      <c r="Q665" s="84"/>
      <c r="R665" s="84"/>
    </row>
    <row r="666" ht="15.75" customHeight="1">
      <c r="A666" s="129">
        <v>1.2037E7</v>
      </c>
      <c r="B666" s="106" t="s">
        <v>1825</v>
      </c>
      <c r="C666" s="59"/>
      <c r="D666" s="133"/>
      <c r="E666" s="172"/>
      <c r="F666" s="172"/>
      <c r="G666" s="159"/>
      <c r="H666" s="133"/>
      <c r="I666" s="99"/>
      <c r="K666" s="84"/>
      <c r="L666" s="99">
        <f t="shared" ref="L666:M666" si="633">COUNTIF(A666:A1836,A666)</f>
        <v>1</v>
      </c>
      <c r="M666" s="99">
        <f t="shared" si="633"/>
        <v>1</v>
      </c>
      <c r="N666" s="84"/>
      <c r="O666" s="84"/>
      <c r="P666" s="84"/>
      <c r="Q666" s="84"/>
      <c r="R666" s="84"/>
    </row>
    <row r="667" ht="15.75" customHeight="1">
      <c r="A667" s="129">
        <v>1.2037002E7</v>
      </c>
      <c r="B667" s="106" t="s">
        <v>1826</v>
      </c>
      <c r="C667" s="59"/>
      <c r="D667" s="133"/>
      <c r="E667" s="172"/>
      <c r="F667" s="172"/>
      <c r="G667" s="159"/>
      <c r="H667" s="133"/>
      <c r="I667" s="99"/>
      <c r="K667" s="84"/>
      <c r="L667" s="99">
        <f t="shared" ref="L667:M667" si="634">COUNTIF(A667:A1837,A667)</f>
        <v>1</v>
      </c>
      <c r="M667" s="99">
        <f t="shared" si="634"/>
        <v>1</v>
      </c>
      <c r="N667" s="84"/>
      <c r="O667" s="84"/>
      <c r="P667" s="84"/>
      <c r="Q667" s="84"/>
      <c r="R667" s="84"/>
    </row>
    <row r="668" ht="15.75" customHeight="1">
      <c r="A668" s="129">
        <v>1.2037003E7</v>
      </c>
      <c r="B668" s="106" t="s">
        <v>1827</v>
      </c>
      <c r="C668" s="59"/>
      <c r="D668" s="133"/>
      <c r="E668" s="178"/>
      <c r="F668" s="178"/>
      <c r="G668" s="159"/>
      <c r="H668" s="133"/>
      <c r="I668" s="99"/>
      <c r="K668" s="84"/>
      <c r="L668" s="99">
        <f t="shared" ref="L668:M668" si="635">COUNTIF(A668:A1838,A668)</f>
        <v>1</v>
      </c>
      <c r="M668" s="99">
        <f t="shared" si="635"/>
        <v>1</v>
      </c>
      <c r="N668" s="84"/>
      <c r="O668" s="84"/>
      <c r="P668" s="84"/>
      <c r="Q668" s="84"/>
      <c r="R668" s="84"/>
    </row>
    <row r="669" ht="15.75" customHeight="1">
      <c r="A669" s="129">
        <v>1.2037004E7</v>
      </c>
      <c r="B669" s="106" t="s">
        <v>1828</v>
      </c>
      <c r="C669" s="59"/>
      <c r="D669" s="133"/>
      <c r="E669" s="178"/>
      <c r="F669" s="178"/>
      <c r="G669" s="159"/>
      <c r="H669" s="133"/>
      <c r="I669" s="99"/>
      <c r="K669" s="84"/>
      <c r="L669" s="99">
        <f t="shared" ref="L669:M669" si="636">COUNTIF(A669:A1839,A669)</f>
        <v>1</v>
      </c>
      <c r="M669" s="99">
        <f t="shared" si="636"/>
        <v>1</v>
      </c>
      <c r="N669" s="84"/>
      <c r="O669" s="84"/>
      <c r="P669" s="84"/>
      <c r="Q669" s="84"/>
      <c r="R669" s="84"/>
    </row>
    <row r="670" ht="15.75" customHeight="1">
      <c r="A670" s="129">
        <v>1.2037005E7</v>
      </c>
      <c r="B670" s="106" t="s">
        <v>1829</v>
      </c>
      <c r="C670" s="59"/>
      <c r="D670" s="133"/>
      <c r="E670" s="178"/>
      <c r="F670" s="178"/>
      <c r="G670" s="159"/>
      <c r="H670" s="133"/>
      <c r="I670" s="99"/>
      <c r="K670" s="84"/>
      <c r="L670" s="99">
        <f t="shared" ref="L670:M670" si="637">COUNTIF(A670:A1840,A670)</f>
        <v>1</v>
      </c>
      <c r="M670" s="99">
        <f t="shared" si="637"/>
        <v>1</v>
      </c>
      <c r="N670" s="84"/>
      <c r="O670" s="84"/>
      <c r="P670" s="84"/>
      <c r="Q670" s="84"/>
      <c r="R670" s="84"/>
    </row>
    <row r="671" ht="15.75" customHeight="1">
      <c r="A671" s="129">
        <v>1.2037006E7</v>
      </c>
      <c r="B671" s="106" t="s">
        <v>1830</v>
      </c>
      <c r="C671" s="59"/>
      <c r="D671" s="133"/>
      <c r="E671" s="178"/>
      <c r="F671" s="178"/>
      <c r="G671" s="159"/>
      <c r="H671" s="133"/>
      <c r="I671" s="99"/>
      <c r="K671" s="84"/>
      <c r="L671" s="99">
        <f t="shared" ref="L671:M671" si="638">COUNTIF(A671:A1841,A671)</f>
        <v>1</v>
      </c>
      <c r="M671" s="99">
        <f t="shared" si="638"/>
        <v>1</v>
      </c>
      <c r="N671" s="84"/>
      <c r="O671" s="84"/>
      <c r="P671" s="84"/>
      <c r="Q671" s="84"/>
      <c r="R671" s="84"/>
    </row>
    <row r="672" ht="15.75" customHeight="1">
      <c r="A672" s="129">
        <v>1.2037007E7</v>
      </c>
      <c r="B672" s="106" t="s">
        <v>1831</v>
      </c>
      <c r="C672" s="59"/>
      <c r="D672" s="133"/>
      <c r="E672" s="178"/>
      <c r="F672" s="178"/>
      <c r="G672" s="159"/>
      <c r="H672" s="133"/>
      <c r="I672" s="99"/>
      <c r="K672" s="84"/>
      <c r="L672" s="99">
        <f t="shared" ref="L672:M672" si="639">COUNTIF(A672:A1842,A672)</f>
        <v>1</v>
      </c>
      <c r="M672" s="99">
        <f t="shared" si="639"/>
        <v>1</v>
      </c>
      <c r="N672" s="84"/>
      <c r="O672" s="84"/>
      <c r="P672" s="84"/>
      <c r="Q672" s="84"/>
      <c r="R672" s="84"/>
    </row>
    <row r="673" ht="15.75" customHeight="1">
      <c r="A673" s="129">
        <v>1.2037008E7</v>
      </c>
      <c r="B673" s="106" t="s">
        <v>1832</v>
      </c>
      <c r="C673" s="59"/>
      <c r="D673" s="133"/>
      <c r="E673" s="178"/>
      <c r="F673" s="178"/>
      <c r="G673" s="159"/>
      <c r="H673" s="133"/>
      <c r="I673" s="99"/>
      <c r="K673" s="84"/>
      <c r="L673" s="99">
        <f t="shared" ref="L673:M673" si="640">COUNTIF(A673:A1843,A673)</f>
        <v>1</v>
      </c>
      <c r="M673" s="99">
        <f t="shared" si="640"/>
        <v>1</v>
      </c>
      <c r="N673" s="84"/>
      <c r="O673" s="84"/>
      <c r="P673" s="84"/>
      <c r="Q673" s="84"/>
      <c r="R673" s="84"/>
    </row>
    <row r="674" ht="15.75" customHeight="1">
      <c r="A674" s="129">
        <v>3.0010103E7</v>
      </c>
      <c r="B674" s="106" t="s">
        <v>1833</v>
      </c>
      <c r="C674" s="59"/>
      <c r="D674" s="133"/>
      <c r="E674" s="178"/>
      <c r="F674" s="172"/>
      <c r="G674" s="154"/>
      <c r="H674" s="133"/>
      <c r="I674" s="99"/>
      <c r="K674" s="84"/>
      <c r="L674" s="99">
        <f t="shared" ref="L674:M674" si="641">COUNTIF(A674:A1844,A674)</f>
        <v>1</v>
      </c>
      <c r="M674" s="99">
        <f t="shared" si="641"/>
        <v>1</v>
      </c>
      <c r="N674" s="84"/>
      <c r="O674" s="84"/>
      <c r="P674" s="84"/>
      <c r="Q674" s="84"/>
      <c r="R674" s="84"/>
    </row>
    <row r="675" ht="15.75" customHeight="1">
      <c r="A675" s="129">
        <v>1.2037009E7</v>
      </c>
      <c r="B675" s="106" t="s">
        <v>1834</v>
      </c>
      <c r="C675" s="59"/>
      <c r="D675" s="133"/>
      <c r="E675" s="178"/>
      <c r="F675" s="178"/>
      <c r="G675" s="154"/>
      <c r="H675" s="133"/>
      <c r="I675" s="99"/>
      <c r="K675" s="84"/>
      <c r="L675" s="99">
        <f t="shared" ref="L675:M675" si="642">COUNTIF(A675:A1845,A675)</f>
        <v>1</v>
      </c>
      <c r="M675" s="99">
        <f t="shared" si="642"/>
        <v>1</v>
      </c>
      <c r="N675" s="84"/>
      <c r="O675" s="84"/>
      <c r="P675" s="84"/>
      <c r="Q675" s="84"/>
      <c r="R675" s="84"/>
    </row>
    <row r="676" ht="15.75" customHeight="1">
      <c r="A676" s="129">
        <v>1.2038001E7</v>
      </c>
      <c r="B676" s="106" t="s">
        <v>1835</v>
      </c>
      <c r="C676" s="59"/>
      <c r="D676" s="133"/>
      <c r="E676" s="178"/>
      <c r="F676" s="178"/>
      <c r="G676" s="189" t="s">
        <v>428</v>
      </c>
      <c r="H676" s="133"/>
      <c r="I676" s="99"/>
      <c r="K676" s="84"/>
      <c r="L676" s="99">
        <f t="shared" ref="L676:M676" si="643">COUNTIF(A676:A1846,A676)</f>
        <v>1</v>
      </c>
      <c r="M676" s="99">
        <f t="shared" si="643"/>
        <v>1</v>
      </c>
      <c r="N676" s="84"/>
      <c r="O676" s="84"/>
      <c r="P676" s="84"/>
      <c r="Q676" s="84"/>
      <c r="R676" s="84"/>
    </row>
    <row r="677" ht="15.75" customHeight="1">
      <c r="A677" s="129">
        <v>1.2038002E7</v>
      </c>
      <c r="B677" s="106" t="s">
        <v>1836</v>
      </c>
      <c r="C677" s="59"/>
      <c r="D677" s="133"/>
      <c r="E677" s="178"/>
      <c r="F677" s="178"/>
      <c r="G677" s="154"/>
      <c r="H677" s="133"/>
      <c r="I677" s="99"/>
      <c r="K677" s="84"/>
      <c r="L677" s="99">
        <f t="shared" ref="L677:M677" si="644">COUNTIF(A677:A1847,A677)</f>
        <v>1</v>
      </c>
      <c r="M677" s="99">
        <f t="shared" si="644"/>
        <v>1</v>
      </c>
      <c r="N677" s="84"/>
      <c r="O677" s="84"/>
      <c r="P677" s="84"/>
      <c r="Q677" s="84"/>
      <c r="R677" s="84"/>
    </row>
    <row r="678" ht="15.75" customHeight="1">
      <c r="A678" s="129">
        <v>1.2038003E7</v>
      </c>
      <c r="B678" s="106" t="s">
        <v>1837</v>
      </c>
      <c r="C678" s="59"/>
      <c r="D678" s="133"/>
      <c r="E678" s="178"/>
      <c r="F678" s="178"/>
      <c r="G678" s="159"/>
      <c r="H678" s="133"/>
      <c r="I678" s="99"/>
      <c r="K678" s="84"/>
      <c r="L678" s="99">
        <f t="shared" ref="L678:M678" si="645">COUNTIF(A678:A1848,A678)</f>
        <v>1</v>
      </c>
      <c r="M678" s="99">
        <f t="shared" si="645"/>
        <v>1</v>
      </c>
      <c r="N678" s="84"/>
      <c r="O678" s="84"/>
      <c r="P678" s="84"/>
      <c r="Q678" s="84"/>
      <c r="R678" s="84"/>
    </row>
    <row r="679" ht="15.75" customHeight="1">
      <c r="A679" s="129">
        <v>1.2038004E7</v>
      </c>
      <c r="B679" s="106" t="s">
        <v>1838</v>
      </c>
      <c r="C679" s="59"/>
      <c r="D679" s="133"/>
      <c r="E679" s="178"/>
      <c r="F679" s="178"/>
      <c r="G679" s="159"/>
      <c r="H679" s="133"/>
      <c r="I679" s="99"/>
      <c r="K679" s="84"/>
      <c r="L679" s="99">
        <f t="shared" ref="L679:M679" si="646">COUNTIF(A679:A1849,A679)</f>
        <v>1</v>
      </c>
      <c r="M679" s="99">
        <f t="shared" si="646"/>
        <v>1</v>
      </c>
      <c r="N679" s="84"/>
      <c r="O679" s="84"/>
      <c r="P679" s="84"/>
      <c r="Q679" s="84"/>
      <c r="R679" s="84"/>
    </row>
    <row r="680" ht="15.75" customHeight="1">
      <c r="A680" s="129">
        <v>1.2038005E7</v>
      </c>
      <c r="B680" s="106" t="s">
        <v>1839</v>
      </c>
      <c r="C680" s="59"/>
      <c r="D680" s="133"/>
      <c r="E680" s="178"/>
      <c r="F680" s="178"/>
      <c r="G680" s="159"/>
      <c r="H680" s="133"/>
      <c r="I680" s="99"/>
      <c r="K680" s="84"/>
      <c r="L680" s="99">
        <f t="shared" ref="L680:M680" si="647">COUNTIF(A680:A1850,A680)</f>
        <v>1</v>
      </c>
      <c r="M680" s="99">
        <f t="shared" si="647"/>
        <v>1</v>
      </c>
      <c r="N680" s="84"/>
      <c r="O680" s="84"/>
      <c r="P680" s="84"/>
      <c r="Q680" s="84"/>
      <c r="R680" s="84"/>
    </row>
    <row r="681" ht="15.75" customHeight="1">
      <c r="A681" s="129">
        <v>1.2038006E7</v>
      </c>
      <c r="B681" s="106" t="s">
        <v>1840</v>
      </c>
      <c r="C681" s="59"/>
      <c r="D681" s="133"/>
      <c r="E681" s="178"/>
      <c r="F681" s="178"/>
      <c r="G681" s="159"/>
      <c r="H681" s="133"/>
      <c r="I681" s="99"/>
      <c r="K681" s="84"/>
      <c r="L681" s="99">
        <f t="shared" ref="L681:M681" si="648">COUNTIF(A681:A1851,A681)</f>
        <v>1</v>
      </c>
      <c r="M681" s="99">
        <f t="shared" si="648"/>
        <v>1</v>
      </c>
      <c r="N681" s="84"/>
      <c r="O681" s="84"/>
      <c r="P681" s="84"/>
      <c r="Q681" s="84"/>
      <c r="R681" s="84"/>
    </row>
    <row r="682" ht="15.75" customHeight="1">
      <c r="A682" s="129">
        <v>1.2038007E7</v>
      </c>
      <c r="B682" s="106" t="s">
        <v>1841</v>
      </c>
      <c r="C682" s="59"/>
      <c r="D682" s="133"/>
      <c r="E682" s="178"/>
      <c r="F682" s="178"/>
      <c r="G682" s="159"/>
      <c r="H682" s="133"/>
      <c r="I682" s="99"/>
      <c r="K682" s="84"/>
      <c r="L682" s="99">
        <f t="shared" ref="L682:M682" si="649">COUNTIF(A682:A1852,A682)</f>
        <v>1</v>
      </c>
      <c r="M682" s="99">
        <f t="shared" si="649"/>
        <v>1</v>
      </c>
      <c r="N682" s="84"/>
      <c r="O682" s="84"/>
      <c r="P682" s="84"/>
      <c r="Q682" s="84"/>
      <c r="R682" s="84"/>
    </row>
    <row r="683" ht="15.75" customHeight="1">
      <c r="A683" s="129">
        <v>1.2038008E7</v>
      </c>
      <c r="B683" s="106" t="s">
        <v>1842</v>
      </c>
      <c r="C683" s="59"/>
      <c r="D683" s="133"/>
      <c r="E683" s="178"/>
      <c r="F683" s="178"/>
      <c r="G683" s="189" t="s">
        <v>428</v>
      </c>
      <c r="H683" s="133"/>
      <c r="I683" s="99"/>
      <c r="K683" s="84"/>
      <c r="L683" s="99">
        <f t="shared" ref="L683:M683" si="650">COUNTIF(A683:A1853,A683)</f>
        <v>1</v>
      </c>
      <c r="M683" s="99">
        <f t="shared" si="650"/>
        <v>1</v>
      </c>
      <c r="N683" s="84"/>
      <c r="O683" s="84"/>
      <c r="P683" s="84"/>
      <c r="Q683" s="84"/>
      <c r="R683" s="84"/>
    </row>
    <row r="684" ht="15.75" customHeight="1">
      <c r="A684" s="129">
        <v>1.2038009E7</v>
      </c>
      <c r="B684" s="106" t="s">
        <v>1843</v>
      </c>
      <c r="C684" s="59"/>
      <c r="D684" s="133"/>
      <c r="E684" s="178"/>
      <c r="F684" s="178"/>
      <c r="G684" s="159"/>
      <c r="H684" s="133"/>
      <c r="I684" s="99"/>
      <c r="K684" s="84"/>
      <c r="L684" s="99">
        <f t="shared" ref="L684:M684" si="651">COUNTIF(A684:A1854,A684)</f>
        <v>1</v>
      </c>
      <c r="M684" s="99">
        <f t="shared" si="651"/>
        <v>1</v>
      </c>
      <c r="N684" s="84"/>
      <c r="O684" s="84"/>
      <c r="P684" s="84"/>
      <c r="Q684" s="84"/>
      <c r="R684" s="84"/>
    </row>
    <row r="685" ht="15.75" customHeight="1">
      <c r="A685" s="129">
        <v>1.203801E7</v>
      </c>
      <c r="B685" s="106" t="s">
        <v>1844</v>
      </c>
      <c r="C685" s="59"/>
      <c r="D685" s="133"/>
      <c r="E685" s="178"/>
      <c r="F685" s="178"/>
      <c r="G685" s="159"/>
      <c r="H685" s="133"/>
      <c r="I685" s="99"/>
      <c r="K685" s="84"/>
      <c r="L685" s="99">
        <f t="shared" ref="L685:M685" si="652">COUNTIF(A685:A1855,A685)</f>
        <v>1</v>
      </c>
      <c r="M685" s="99">
        <f t="shared" si="652"/>
        <v>1</v>
      </c>
      <c r="N685" s="84"/>
      <c r="O685" s="84"/>
      <c r="P685" s="84"/>
      <c r="Q685" s="84"/>
      <c r="R685" s="84"/>
    </row>
    <row r="686" ht="15.75" customHeight="1">
      <c r="A686" s="129">
        <v>1.2038011E7</v>
      </c>
      <c r="B686" s="106" t="s">
        <v>1845</v>
      </c>
      <c r="C686" s="59"/>
      <c r="D686" s="133"/>
      <c r="E686" s="178"/>
      <c r="F686" s="178"/>
      <c r="G686" s="159"/>
      <c r="H686" s="133"/>
      <c r="I686" s="99"/>
      <c r="K686" s="84"/>
      <c r="L686" s="99">
        <f t="shared" ref="L686:M686" si="653">COUNTIF(A686:A1856,A686)</f>
        <v>1</v>
      </c>
      <c r="M686" s="99">
        <f t="shared" si="653"/>
        <v>1</v>
      </c>
      <c r="N686" s="84"/>
      <c r="O686" s="84"/>
      <c r="P686" s="84"/>
      <c r="Q686" s="84"/>
      <c r="R686" s="84"/>
    </row>
    <row r="687" ht="15.75" customHeight="1">
      <c r="A687" s="129">
        <v>1.2038012E7</v>
      </c>
      <c r="B687" s="106" t="s">
        <v>1846</v>
      </c>
      <c r="C687" s="59"/>
      <c r="D687" s="133"/>
      <c r="E687" s="178"/>
      <c r="F687" s="172"/>
      <c r="G687" s="159"/>
      <c r="H687" s="133"/>
      <c r="I687" s="99"/>
      <c r="K687" s="84"/>
      <c r="L687" s="99">
        <f t="shared" ref="L687:M687" si="654">COUNTIF(A687:A1857,A687)</f>
        <v>1</v>
      </c>
      <c r="M687" s="99">
        <f t="shared" si="654"/>
        <v>1</v>
      </c>
      <c r="N687" s="84"/>
      <c r="O687" s="84"/>
      <c r="P687" s="84"/>
      <c r="Q687" s="84"/>
      <c r="R687" s="84"/>
    </row>
    <row r="688" ht="15.75" customHeight="1">
      <c r="A688" s="129">
        <v>1.2053001E7</v>
      </c>
      <c r="B688" s="106" t="s">
        <v>1847</v>
      </c>
      <c r="C688" s="59"/>
      <c r="D688" s="133"/>
      <c r="E688" s="178"/>
      <c r="F688" s="178"/>
      <c r="G688" s="159"/>
      <c r="H688" s="133"/>
      <c r="I688" s="99"/>
      <c r="K688" s="84"/>
      <c r="L688" s="99">
        <f t="shared" ref="L688:M688" si="655">COUNTIF(A688:A1858,A688)</f>
        <v>1</v>
      </c>
      <c r="M688" s="99">
        <f t="shared" si="655"/>
        <v>1</v>
      </c>
      <c r="N688" s="84"/>
      <c r="O688" s="84"/>
      <c r="P688" s="84"/>
      <c r="Q688" s="84"/>
      <c r="R688" s="84"/>
    </row>
    <row r="689" ht="15.75" customHeight="1">
      <c r="A689" s="190">
        <v>1.2053002E7</v>
      </c>
      <c r="B689" s="106" t="s">
        <v>1848</v>
      </c>
      <c r="C689" s="73"/>
      <c r="D689" s="133"/>
      <c r="E689" s="178"/>
      <c r="F689" s="178"/>
      <c r="G689" s="159"/>
      <c r="H689" s="133"/>
      <c r="I689" s="99"/>
      <c r="K689" s="84"/>
      <c r="L689" s="99">
        <f t="shared" ref="L689:M689" si="656">COUNTIF(A689:A1859,A689)</f>
        <v>1</v>
      </c>
      <c r="M689" s="99">
        <f t="shared" si="656"/>
        <v>1</v>
      </c>
      <c r="N689" s="84"/>
      <c r="O689" s="84"/>
      <c r="P689" s="84"/>
      <c r="Q689" s="84"/>
      <c r="R689" s="84"/>
    </row>
    <row r="690" ht="15.75" customHeight="1">
      <c r="A690" s="194"/>
      <c r="B690" s="134"/>
      <c r="C690" s="195"/>
      <c r="D690" s="196"/>
      <c r="E690" s="187"/>
      <c r="F690" s="172"/>
      <c r="G690" s="154"/>
      <c r="H690" s="196"/>
      <c r="I690" s="99"/>
      <c r="K690" s="84"/>
      <c r="L690" s="99">
        <f t="shared" ref="L690:M690" si="657">COUNTIF(A690:A1860,A690)</f>
        <v>0</v>
      </c>
      <c r="M690" s="99">
        <f t="shared" si="657"/>
        <v>0</v>
      </c>
      <c r="N690" s="84"/>
      <c r="O690" s="84"/>
      <c r="P690" s="84"/>
      <c r="Q690" s="84"/>
      <c r="R690" s="84"/>
    </row>
    <row r="691" ht="15.75" customHeight="1">
      <c r="A691" s="129">
        <v>1.202111E7</v>
      </c>
      <c r="B691" s="106" t="s">
        <v>1849</v>
      </c>
      <c r="C691" s="59"/>
      <c r="D691" s="196"/>
      <c r="E691" s="187"/>
      <c r="F691" s="172"/>
      <c r="G691" s="154"/>
      <c r="H691" s="196"/>
      <c r="I691" s="99"/>
      <c r="K691" s="84"/>
      <c r="L691" s="99">
        <f t="shared" ref="L691:M691" si="658">COUNTIF(A691:A1861,A691)</f>
        <v>1</v>
      </c>
      <c r="M691" s="99">
        <f t="shared" si="658"/>
        <v>1</v>
      </c>
      <c r="N691" s="84"/>
      <c r="O691" s="84"/>
      <c r="P691" s="84"/>
      <c r="Q691" s="84"/>
      <c r="R691" s="84"/>
    </row>
    <row r="692" ht="15.75" customHeight="1">
      <c r="A692" s="129">
        <v>1.20211E7</v>
      </c>
      <c r="B692" s="106" t="s">
        <v>1850</v>
      </c>
      <c r="C692" s="59"/>
      <c r="D692" s="196"/>
      <c r="E692" s="172"/>
      <c r="F692" s="172"/>
      <c r="G692" s="154"/>
      <c r="H692" s="196"/>
      <c r="I692" s="99"/>
      <c r="K692" s="84"/>
      <c r="L692" s="99">
        <f t="shared" ref="L692:M692" si="659">COUNTIF(A692:A1862,A692)</f>
        <v>1</v>
      </c>
      <c r="M692" s="99">
        <f t="shared" si="659"/>
        <v>1</v>
      </c>
      <c r="N692" s="84"/>
      <c r="O692" s="84"/>
      <c r="P692" s="84"/>
      <c r="Q692" s="84"/>
      <c r="R692" s="84"/>
    </row>
    <row r="693" ht="15.75" customHeight="1">
      <c r="A693" s="129">
        <v>1.2021102E7</v>
      </c>
      <c r="B693" s="106" t="s">
        <v>1851</v>
      </c>
      <c r="C693" s="59"/>
      <c r="D693" s="196"/>
      <c r="E693" s="176" t="s">
        <v>247</v>
      </c>
      <c r="F693" s="176" t="s">
        <v>247</v>
      </c>
      <c r="G693" s="154"/>
      <c r="H693" s="196"/>
      <c r="I693" s="99"/>
      <c r="K693" s="84"/>
      <c r="L693" s="99">
        <f t="shared" ref="L693:M693" si="660">COUNTIF(A693:A1863,A693)</f>
        <v>1</v>
      </c>
      <c r="M693" s="99">
        <f t="shared" si="660"/>
        <v>1</v>
      </c>
      <c r="N693" s="84"/>
      <c r="O693" s="84"/>
      <c r="P693" s="84"/>
      <c r="Q693" s="84"/>
      <c r="R693" s="84"/>
    </row>
    <row r="694" ht="15.75" customHeight="1">
      <c r="A694" s="129">
        <v>1.2021103E7</v>
      </c>
      <c r="B694" s="106" t="s">
        <v>1852</v>
      </c>
      <c r="C694" s="59"/>
      <c r="D694" s="196"/>
      <c r="E694" s="187"/>
      <c r="F694" s="187"/>
      <c r="G694" s="154"/>
      <c r="H694" s="196"/>
      <c r="I694" s="99"/>
      <c r="K694" s="84"/>
      <c r="L694" s="99">
        <f t="shared" ref="L694:M694" si="661">COUNTIF(A694:A1864,A694)</f>
        <v>1</v>
      </c>
      <c r="M694" s="99">
        <f t="shared" si="661"/>
        <v>1</v>
      </c>
      <c r="N694" s="84"/>
      <c r="O694" s="84"/>
      <c r="P694" s="84"/>
      <c r="Q694" s="84"/>
      <c r="R694" s="84"/>
    </row>
    <row r="695" ht="15.75" customHeight="1">
      <c r="A695" s="129">
        <v>1.2021104E7</v>
      </c>
      <c r="B695" s="106" t="s">
        <v>1853</v>
      </c>
      <c r="C695" s="59"/>
      <c r="D695" s="196"/>
      <c r="E695" s="187"/>
      <c r="F695" s="187"/>
      <c r="G695" s="154"/>
      <c r="H695" s="196"/>
      <c r="I695" s="99"/>
      <c r="K695" s="84"/>
      <c r="L695" s="99">
        <f t="shared" ref="L695:M695" si="662">COUNTIF(A695:A1865,A695)</f>
        <v>1</v>
      </c>
      <c r="M695" s="99">
        <f t="shared" si="662"/>
        <v>1</v>
      </c>
      <c r="N695" s="84"/>
      <c r="O695" s="84"/>
      <c r="P695" s="84"/>
      <c r="Q695" s="84"/>
      <c r="R695" s="84"/>
    </row>
    <row r="696" ht="15.75" customHeight="1">
      <c r="A696" s="129">
        <v>1.2021105E7</v>
      </c>
      <c r="B696" s="106" t="s">
        <v>1854</v>
      </c>
      <c r="C696" s="59"/>
      <c r="D696" s="196"/>
      <c r="E696" s="187"/>
      <c r="F696" s="187"/>
      <c r="G696" s="154"/>
      <c r="H696" s="196"/>
      <c r="I696" s="99"/>
      <c r="K696" s="84"/>
      <c r="L696" s="99">
        <f t="shared" ref="L696:M696" si="663">COUNTIF(A696:A1866,A696)</f>
        <v>1</v>
      </c>
      <c r="M696" s="99">
        <f t="shared" si="663"/>
        <v>1</v>
      </c>
      <c r="N696" s="84"/>
      <c r="O696" s="84"/>
      <c r="P696" s="84"/>
      <c r="Q696" s="84"/>
      <c r="R696" s="84"/>
    </row>
    <row r="697" ht="15.75" customHeight="1">
      <c r="A697" s="129">
        <v>1.2021106E7</v>
      </c>
      <c r="B697" s="106" t="s">
        <v>1855</v>
      </c>
      <c r="C697" s="59"/>
      <c r="D697" s="196"/>
      <c r="E697" s="187"/>
      <c r="F697" s="187"/>
      <c r="G697" s="154"/>
      <c r="H697" s="196"/>
      <c r="I697" s="99"/>
      <c r="K697" s="84"/>
      <c r="L697" s="99">
        <f t="shared" ref="L697:M697" si="664">COUNTIF(A697:A1867,A697)</f>
        <v>1</v>
      </c>
      <c r="M697" s="99">
        <f t="shared" si="664"/>
        <v>1</v>
      </c>
      <c r="N697" s="84"/>
      <c r="O697" s="84"/>
      <c r="P697" s="84"/>
      <c r="Q697" s="84"/>
      <c r="R697" s="84"/>
    </row>
    <row r="698" ht="15.75" customHeight="1">
      <c r="A698" s="129">
        <v>1.2021107E7</v>
      </c>
      <c r="B698" s="106" t="s">
        <v>1856</v>
      </c>
      <c r="C698" s="59"/>
      <c r="D698" s="196"/>
      <c r="E698" s="187"/>
      <c r="F698" s="187"/>
      <c r="G698" s="154"/>
      <c r="H698" s="196"/>
      <c r="I698" s="99"/>
      <c r="K698" s="84"/>
      <c r="L698" s="99">
        <f t="shared" ref="L698:M698" si="665">COUNTIF(A698:A1868,A698)</f>
        <v>1</v>
      </c>
      <c r="M698" s="99">
        <f t="shared" si="665"/>
        <v>1</v>
      </c>
      <c r="N698" s="84"/>
      <c r="O698" s="84"/>
      <c r="P698" s="84"/>
      <c r="Q698" s="84"/>
      <c r="R698" s="84"/>
    </row>
    <row r="699" ht="15.75" customHeight="1">
      <c r="A699" s="129">
        <v>1.2021108E7</v>
      </c>
      <c r="B699" s="106" t="s">
        <v>1857</v>
      </c>
      <c r="C699" s="59"/>
      <c r="D699" s="196"/>
      <c r="E699" s="176" t="s">
        <v>359</v>
      </c>
      <c r="F699" s="197" t="s">
        <v>359</v>
      </c>
      <c r="G699" s="154"/>
      <c r="H699" s="196"/>
      <c r="I699" s="99"/>
      <c r="K699" s="84"/>
      <c r="L699" s="99">
        <f t="shared" ref="L699:M699" si="666">COUNTIF(A699:A1869,A699)</f>
        <v>1</v>
      </c>
      <c r="M699" s="99">
        <f t="shared" si="666"/>
        <v>1</v>
      </c>
      <c r="N699" s="84"/>
      <c r="O699" s="84"/>
      <c r="P699" s="84"/>
      <c r="Q699" s="84"/>
      <c r="R699" s="84"/>
    </row>
    <row r="700" ht="15.75" customHeight="1">
      <c r="A700" s="129">
        <v>3.0010111E7</v>
      </c>
      <c r="B700" s="106" t="s">
        <v>1858</v>
      </c>
      <c r="C700" s="59"/>
      <c r="D700" s="196"/>
      <c r="E700" s="188" t="s">
        <v>247</v>
      </c>
      <c r="F700" s="176" t="s">
        <v>247</v>
      </c>
      <c r="G700" s="154"/>
      <c r="H700" s="196"/>
      <c r="I700" s="99"/>
      <c r="K700" s="84"/>
      <c r="L700" s="99">
        <f t="shared" ref="L700:M700" si="667">COUNTIF(A700:A1870,A700)</f>
        <v>1</v>
      </c>
      <c r="M700" s="99">
        <f t="shared" si="667"/>
        <v>1</v>
      </c>
      <c r="N700" s="84"/>
      <c r="O700" s="84"/>
      <c r="P700" s="84"/>
      <c r="Q700" s="84"/>
      <c r="R700" s="84"/>
    </row>
    <row r="701" ht="15.75" customHeight="1">
      <c r="A701" s="129">
        <v>1.2021109E7</v>
      </c>
      <c r="B701" s="106" t="s">
        <v>1859</v>
      </c>
      <c r="C701" s="59"/>
      <c r="D701" s="196"/>
      <c r="E701" s="187"/>
      <c r="F701" s="187"/>
      <c r="G701" s="154"/>
      <c r="H701" s="196"/>
      <c r="I701" s="99"/>
      <c r="K701" s="84"/>
      <c r="L701" s="99">
        <f t="shared" ref="L701:M701" si="668">COUNTIF(A701:A1871,A701)</f>
        <v>1</v>
      </c>
      <c r="M701" s="99">
        <f t="shared" si="668"/>
        <v>1</v>
      </c>
      <c r="N701" s="84"/>
      <c r="O701" s="84"/>
      <c r="P701" s="84"/>
      <c r="Q701" s="84"/>
      <c r="R701" s="84"/>
    </row>
    <row r="702" ht="15.75" customHeight="1">
      <c r="A702" s="129">
        <v>1.2022101E7</v>
      </c>
      <c r="B702" s="106" t="s">
        <v>1860</v>
      </c>
      <c r="C702" s="59"/>
      <c r="D702" s="196"/>
      <c r="E702" s="187"/>
      <c r="F702" s="187"/>
      <c r="G702" s="154"/>
      <c r="H702" s="189">
        <v>50.0</v>
      </c>
      <c r="I702" s="99"/>
      <c r="K702" s="84"/>
      <c r="L702" s="99">
        <f t="shared" ref="L702:M702" si="669">COUNTIF(A702:A1872,A702)</f>
        <v>1</v>
      </c>
      <c r="M702" s="99">
        <f t="shared" si="669"/>
        <v>1</v>
      </c>
      <c r="N702" s="84"/>
      <c r="O702" s="84"/>
      <c r="P702" s="84"/>
      <c r="Q702" s="84"/>
      <c r="R702" s="84"/>
    </row>
    <row r="703" ht="15.75" customHeight="1">
      <c r="A703" s="129">
        <v>1.2022102E7</v>
      </c>
      <c r="B703" s="106" t="s">
        <v>1861</v>
      </c>
      <c r="C703" s="59"/>
      <c r="D703" s="196"/>
      <c r="E703" s="187"/>
      <c r="F703" s="178"/>
      <c r="G703" s="189" t="s">
        <v>428</v>
      </c>
      <c r="H703" s="189">
        <v>0.015</v>
      </c>
      <c r="I703" s="99"/>
      <c r="K703" s="84"/>
      <c r="L703" s="99">
        <f t="shared" ref="L703:M703" si="670">COUNTIF(A703:A1873,A703)</f>
        <v>1</v>
      </c>
      <c r="M703" s="99">
        <f t="shared" si="670"/>
        <v>1</v>
      </c>
      <c r="N703" s="84"/>
      <c r="O703" s="84"/>
      <c r="P703" s="84"/>
      <c r="Q703" s="84"/>
      <c r="R703" s="84"/>
    </row>
    <row r="704" ht="15.75" customHeight="1">
      <c r="A704" s="129">
        <v>1.2022103E7</v>
      </c>
      <c r="B704" s="106" t="s">
        <v>1862</v>
      </c>
      <c r="C704" s="59"/>
      <c r="D704" s="196"/>
      <c r="E704" s="187"/>
      <c r="F704" s="178"/>
      <c r="G704" s="154"/>
      <c r="H704" s="189">
        <v>0.0</v>
      </c>
      <c r="I704" s="99"/>
      <c r="K704" s="84"/>
      <c r="L704" s="99">
        <f t="shared" ref="L704:M704" si="671">COUNTIF(A704:A1874,A704)</f>
        <v>1</v>
      </c>
      <c r="M704" s="99">
        <f t="shared" si="671"/>
        <v>1</v>
      </c>
      <c r="N704" s="84"/>
      <c r="O704" s="84"/>
      <c r="P704" s="84"/>
      <c r="Q704" s="84"/>
      <c r="R704" s="84"/>
    </row>
    <row r="705" ht="15.75" customHeight="1">
      <c r="A705" s="129">
        <v>1.2022104E7</v>
      </c>
      <c r="B705" s="106" t="s">
        <v>1863</v>
      </c>
      <c r="C705" s="59"/>
      <c r="D705" s="196"/>
      <c r="E705" s="187"/>
      <c r="F705" s="187"/>
      <c r="G705" s="154"/>
      <c r="H705" s="196"/>
      <c r="I705" s="99"/>
      <c r="K705" s="84"/>
      <c r="L705" s="99">
        <f t="shared" ref="L705:M705" si="672">COUNTIF(A705:A1875,A705)</f>
        <v>1</v>
      </c>
      <c r="M705" s="99">
        <f t="shared" si="672"/>
        <v>1</v>
      </c>
      <c r="N705" s="84"/>
      <c r="O705" s="84"/>
      <c r="P705" s="84"/>
      <c r="Q705" s="84"/>
      <c r="R705" s="84"/>
    </row>
    <row r="706" ht="15.75" customHeight="1">
      <c r="A706" s="129">
        <v>1.2022105E7</v>
      </c>
      <c r="B706" s="106" t="s">
        <v>1864</v>
      </c>
      <c r="C706" s="59"/>
      <c r="D706" s="196"/>
      <c r="E706" s="187"/>
      <c r="F706" s="187"/>
      <c r="G706" s="154"/>
      <c r="H706" s="196"/>
      <c r="I706" s="99"/>
      <c r="K706" s="84"/>
      <c r="L706" s="99">
        <f t="shared" ref="L706:M706" si="673">COUNTIF(A706:A1876,A706)</f>
        <v>1</v>
      </c>
      <c r="M706" s="99">
        <f t="shared" si="673"/>
        <v>1</v>
      </c>
      <c r="N706" s="84"/>
      <c r="O706" s="84"/>
      <c r="P706" s="84"/>
      <c r="Q706" s="84"/>
      <c r="R706" s="84"/>
    </row>
    <row r="707" ht="15.75" customHeight="1">
      <c r="A707" s="129">
        <v>1.2022106E7</v>
      </c>
      <c r="B707" s="106" t="s">
        <v>1865</v>
      </c>
      <c r="C707" s="59"/>
      <c r="D707" s="196"/>
      <c r="E707" s="187"/>
      <c r="F707" s="187"/>
      <c r="G707" s="154"/>
      <c r="H707" s="196"/>
      <c r="I707" s="99"/>
      <c r="K707" s="84"/>
      <c r="L707" s="99">
        <f t="shared" ref="L707:M707" si="674">COUNTIF(A707:A1877,A707)</f>
        <v>1</v>
      </c>
      <c r="M707" s="99">
        <f t="shared" si="674"/>
        <v>1</v>
      </c>
      <c r="N707" s="84"/>
      <c r="O707" s="84"/>
      <c r="P707" s="84"/>
      <c r="Q707" s="84"/>
      <c r="R707" s="84"/>
    </row>
    <row r="708" ht="15.75" customHeight="1">
      <c r="A708" s="129">
        <v>1.2022107E7</v>
      </c>
      <c r="B708" s="106" t="s">
        <v>1866</v>
      </c>
      <c r="C708" s="59"/>
      <c r="D708" s="196"/>
      <c r="E708" s="187"/>
      <c r="F708" s="155"/>
      <c r="G708" s="154"/>
      <c r="H708" s="196"/>
      <c r="I708" s="99"/>
      <c r="K708" s="84"/>
      <c r="L708" s="99">
        <f t="shared" ref="L708:M708" si="675">COUNTIF(A708:A1878,A708)</f>
        <v>1</v>
      </c>
      <c r="M708" s="99">
        <f t="shared" si="675"/>
        <v>1</v>
      </c>
      <c r="N708" s="84"/>
      <c r="O708" s="84"/>
      <c r="P708" s="84"/>
      <c r="Q708" s="84"/>
      <c r="R708" s="84"/>
    </row>
    <row r="709" ht="15.75" customHeight="1">
      <c r="A709" s="129">
        <v>1.2022108E7</v>
      </c>
      <c r="B709" s="106" t="s">
        <v>1867</v>
      </c>
      <c r="C709" s="59"/>
      <c r="D709" s="196"/>
      <c r="E709" s="187"/>
      <c r="F709" s="187"/>
      <c r="G709" s="154"/>
      <c r="H709" s="198" t="s">
        <v>1868</v>
      </c>
      <c r="I709" s="99"/>
      <c r="K709" s="84"/>
      <c r="L709" s="99">
        <f t="shared" ref="L709:M709" si="676">COUNTIF(A709:A1879,A709)</f>
        <v>1</v>
      </c>
      <c r="M709" s="99">
        <f t="shared" si="676"/>
        <v>1</v>
      </c>
      <c r="N709" s="84"/>
      <c r="O709" s="84"/>
      <c r="P709" s="84"/>
      <c r="Q709" s="84"/>
      <c r="R709" s="84"/>
    </row>
    <row r="710" ht="15.75" customHeight="1">
      <c r="A710" s="129">
        <v>1.2022109E7</v>
      </c>
      <c r="B710" s="106" t="s">
        <v>1869</v>
      </c>
      <c r="C710" s="59"/>
      <c r="D710" s="196"/>
      <c r="E710" s="155"/>
      <c r="F710" s="181"/>
      <c r="G710" s="189" t="s">
        <v>428</v>
      </c>
      <c r="H710" s="189">
        <v>0.01</v>
      </c>
      <c r="I710" s="99"/>
      <c r="K710" s="84"/>
      <c r="L710" s="99">
        <f t="shared" ref="L710:M710" si="677">COUNTIF(A710:A1880,A710)</f>
        <v>1</v>
      </c>
      <c r="M710" s="99">
        <f t="shared" si="677"/>
        <v>1</v>
      </c>
      <c r="N710" s="84"/>
      <c r="O710" s="84"/>
      <c r="P710" s="84"/>
      <c r="Q710" s="84"/>
      <c r="R710" s="84"/>
    </row>
    <row r="711" ht="15.75" customHeight="1">
      <c r="A711" s="129">
        <v>1.202211E7</v>
      </c>
      <c r="B711" s="106" t="s">
        <v>1870</v>
      </c>
      <c r="C711" s="59"/>
      <c r="D711" s="196"/>
      <c r="E711" s="187"/>
      <c r="F711" s="187"/>
      <c r="G711" s="154"/>
      <c r="H711" s="196"/>
      <c r="I711" s="99"/>
      <c r="K711" s="84"/>
      <c r="L711" s="99">
        <f t="shared" ref="L711:M711" si="678">COUNTIF(A711:A1881,A711)</f>
        <v>1</v>
      </c>
      <c r="M711" s="99">
        <f t="shared" si="678"/>
        <v>1</v>
      </c>
      <c r="N711" s="84"/>
      <c r="O711" s="84"/>
      <c r="P711" s="84"/>
      <c r="Q711" s="84"/>
      <c r="R711" s="84"/>
    </row>
    <row r="712" ht="15.75" customHeight="1">
      <c r="A712" s="129">
        <v>1.2022111E7</v>
      </c>
      <c r="B712" s="106" t="s">
        <v>1871</v>
      </c>
      <c r="C712" s="59"/>
      <c r="D712" s="196"/>
      <c r="E712" s="187"/>
      <c r="F712" s="187"/>
      <c r="G712" s="154"/>
      <c r="H712" s="196"/>
      <c r="I712" s="99"/>
      <c r="K712" s="84"/>
      <c r="L712" s="99">
        <f t="shared" ref="L712:M712" si="679">COUNTIF(A712:A1882,A712)</f>
        <v>1</v>
      </c>
      <c r="M712" s="99">
        <f t="shared" si="679"/>
        <v>1</v>
      </c>
      <c r="N712" s="84"/>
      <c r="O712" s="84"/>
      <c r="P712" s="84"/>
      <c r="Q712" s="84"/>
      <c r="R712" s="84"/>
    </row>
    <row r="713" ht="15.75" customHeight="1">
      <c r="A713" s="129">
        <v>1.2022112E7</v>
      </c>
      <c r="B713" s="106" t="s">
        <v>1872</v>
      </c>
      <c r="C713" s="59"/>
      <c r="D713" s="196"/>
      <c r="E713" s="187"/>
      <c r="F713" s="187"/>
      <c r="G713" s="154"/>
      <c r="H713" s="196"/>
      <c r="I713" s="99"/>
      <c r="K713" s="84"/>
      <c r="L713" s="99">
        <f t="shared" ref="L713:M713" si="680">COUNTIF(A713:A1883,A713)</f>
        <v>1</v>
      </c>
      <c r="M713" s="99">
        <f t="shared" si="680"/>
        <v>1</v>
      </c>
      <c r="N713" s="84"/>
      <c r="O713" s="84"/>
      <c r="P713" s="84"/>
      <c r="Q713" s="84"/>
      <c r="R713" s="84"/>
    </row>
    <row r="714" ht="15.75" customHeight="1">
      <c r="A714" s="129">
        <v>1.2051011E7</v>
      </c>
      <c r="B714" s="106" t="s">
        <v>1873</v>
      </c>
      <c r="C714" s="59"/>
      <c r="D714" s="196"/>
      <c r="E714" s="187"/>
      <c r="F714" s="187"/>
      <c r="G714" s="154"/>
      <c r="H714" s="196"/>
      <c r="I714" s="99"/>
      <c r="K714" s="84"/>
      <c r="L714" s="99">
        <f t="shared" ref="L714:M714" si="681">COUNTIF(A714:A1884,A714)</f>
        <v>1</v>
      </c>
      <c r="M714" s="99">
        <f t="shared" si="681"/>
        <v>1</v>
      </c>
      <c r="N714" s="84"/>
      <c r="O714" s="84"/>
      <c r="P714" s="84"/>
      <c r="Q714" s="84"/>
      <c r="R714" s="84"/>
    </row>
    <row r="715" ht="15.75" customHeight="1">
      <c r="A715" s="190">
        <v>1.2051012E7</v>
      </c>
      <c r="B715" s="106" t="s">
        <v>1874</v>
      </c>
      <c r="C715" s="59"/>
      <c r="D715" s="196"/>
      <c r="E715" s="187"/>
      <c r="F715" s="187"/>
      <c r="G715" s="154"/>
      <c r="H715" s="196"/>
      <c r="I715" s="99"/>
      <c r="K715" s="84"/>
      <c r="L715" s="99">
        <f t="shared" ref="L715:M715" si="682">COUNTIF(A715:A1885,A715)</f>
        <v>1</v>
      </c>
      <c r="M715" s="99">
        <f t="shared" si="682"/>
        <v>1</v>
      </c>
      <c r="N715" s="84"/>
      <c r="O715" s="84"/>
      <c r="P715" s="84"/>
      <c r="Q715" s="84"/>
      <c r="R715" s="84"/>
    </row>
    <row r="716" ht="15.75" customHeight="1">
      <c r="A716" s="194"/>
      <c r="B716" s="134"/>
      <c r="C716" s="59"/>
      <c r="D716" s="196"/>
      <c r="E716" s="187"/>
      <c r="F716" s="172"/>
      <c r="G716" s="154"/>
      <c r="H716" s="196"/>
      <c r="I716" s="99"/>
      <c r="K716" s="84"/>
      <c r="L716" s="99">
        <f t="shared" ref="L716:M716" si="683">COUNTIF(A716:A1886,A716)</f>
        <v>0</v>
      </c>
      <c r="M716" s="99">
        <f t="shared" si="683"/>
        <v>0</v>
      </c>
      <c r="N716" s="84"/>
      <c r="O716" s="84"/>
      <c r="P716" s="84"/>
      <c r="Q716" s="84"/>
      <c r="R716" s="84"/>
    </row>
    <row r="717" ht="15.75" customHeight="1">
      <c r="A717" s="129">
        <v>1.202911E7</v>
      </c>
      <c r="B717" s="106" t="s">
        <v>1875</v>
      </c>
      <c r="C717" s="59"/>
      <c r="D717" s="196"/>
      <c r="E717" s="187"/>
      <c r="F717" s="172"/>
      <c r="G717" s="154"/>
      <c r="H717" s="196"/>
      <c r="I717" s="99"/>
      <c r="K717" s="84"/>
      <c r="L717" s="99">
        <f t="shared" ref="L717:M717" si="684">COUNTIF(A717:A1887,A717)</f>
        <v>1</v>
      </c>
      <c r="M717" s="99">
        <f t="shared" si="684"/>
        <v>1</v>
      </c>
      <c r="N717" s="84"/>
      <c r="O717" s="84"/>
      <c r="P717" s="84"/>
      <c r="Q717" s="84"/>
      <c r="R717" s="84"/>
    </row>
    <row r="718" ht="15.75" customHeight="1">
      <c r="A718" s="129">
        <v>1.20291E7</v>
      </c>
      <c r="B718" s="106" t="s">
        <v>1876</v>
      </c>
      <c r="C718" s="59"/>
      <c r="D718" s="196"/>
      <c r="E718" s="172"/>
      <c r="F718" s="172"/>
      <c r="G718" s="154"/>
      <c r="H718" s="196"/>
      <c r="I718" s="99"/>
      <c r="K718" s="84"/>
      <c r="L718" s="99">
        <f t="shared" ref="L718:M718" si="685">COUNTIF(A718:A1888,A718)</f>
        <v>1</v>
      </c>
      <c r="M718" s="99">
        <f t="shared" si="685"/>
        <v>1</v>
      </c>
      <c r="N718" s="84"/>
      <c r="O718" s="84"/>
      <c r="P718" s="84"/>
      <c r="Q718" s="84"/>
      <c r="R718" s="84"/>
    </row>
    <row r="719" ht="15.75" customHeight="1">
      <c r="A719" s="129">
        <v>1.2029102E7</v>
      </c>
      <c r="B719" s="106" t="s">
        <v>1877</v>
      </c>
      <c r="C719" s="59"/>
      <c r="D719" s="196"/>
      <c r="E719" s="176" t="s">
        <v>247</v>
      </c>
      <c r="F719" s="176" t="s">
        <v>247</v>
      </c>
      <c r="G719" s="154"/>
      <c r="H719" s="196"/>
      <c r="I719" s="99"/>
      <c r="K719" s="84"/>
      <c r="L719" s="99">
        <f t="shared" ref="L719:M719" si="686">COUNTIF(A719:A1889,A719)</f>
        <v>1</v>
      </c>
      <c r="M719" s="99">
        <f t="shared" si="686"/>
        <v>1</v>
      </c>
      <c r="N719" s="84"/>
      <c r="O719" s="84"/>
      <c r="P719" s="84"/>
      <c r="Q719" s="84"/>
      <c r="R719" s="84"/>
    </row>
    <row r="720" ht="15.75" customHeight="1">
      <c r="A720" s="129">
        <v>1.2029103E7</v>
      </c>
      <c r="B720" s="106" t="s">
        <v>1878</v>
      </c>
      <c r="C720" s="59"/>
      <c r="D720" s="196"/>
      <c r="E720" s="187"/>
      <c r="F720" s="187"/>
      <c r="G720" s="154"/>
      <c r="H720" s="196"/>
      <c r="I720" s="99"/>
      <c r="K720" s="84"/>
      <c r="L720" s="99">
        <f t="shared" ref="L720:M720" si="687">COUNTIF(A720:A1890,A720)</f>
        <v>1</v>
      </c>
      <c r="M720" s="99">
        <f t="shared" si="687"/>
        <v>1</v>
      </c>
      <c r="N720" s="84"/>
      <c r="O720" s="84"/>
      <c r="P720" s="84"/>
      <c r="Q720" s="84"/>
      <c r="R720" s="84"/>
    </row>
    <row r="721" ht="15.75" customHeight="1">
      <c r="A721" s="129">
        <v>1.2029104E7</v>
      </c>
      <c r="B721" s="106" t="s">
        <v>1879</v>
      </c>
      <c r="C721" s="59"/>
      <c r="D721" s="196"/>
      <c r="E721" s="187"/>
      <c r="F721" s="187"/>
      <c r="G721" s="154"/>
      <c r="H721" s="196"/>
      <c r="I721" s="99"/>
      <c r="K721" s="84"/>
      <c r="L721" s="99">
        <f t="shared" ref="L721:M721" si="688">COUNTIF(A721:A1891,A721)</f>
        <v>1</v>
      </c>
      <c r="M721" s="99">
        <f t="shared" si="688"/>
        <v>1</v>
      </c>
      <c r="N721" s="84"/>
      <c r="O721" s="84"/>
      <c r="P721" s="84"/>
      <c r="Q721" s="84"/>
      <c r="R721" s="84"/>
    </row>
    <row r="722" ht="15.75" customHeight="1">
      <c r="A722" s="129">
        <v>1.2029105E7</v>
      </c>
      <c r="B722" s="106" t="s">
        <v>1880</v>
      </c>
      <c r="C722" s="59"/>
      <c r="D722" s="196"/>
      <c r="E722" s="187"/>
      <c r="F722" s="187"/>
      <c r="G722" s="154"/>
      <c r="H722" s="196"/>
      <c r="I722" s="99"/>
      <c r="K722" s="84"/>
      <c r="L722" s="99">
        <f t="shared" ref="L722:M722" si="689">COUNTIF(A722:A1892,A722)</f>
        <v>1</v>
      </c>
      <c r="M722" s="99">
        <f t="shared" si="689"/>
        <v>1</v>
      </c>
      <c r="N722" s="84"/>
      <c r="O722" s="84"/>
      <c r="P722" s="84"/>
      <c r="Q722" s="84"/>
      <c r="R722" s="84"/>
    </row>
    <row r="723" ht="15.75" customHeight="1">
      <c r="A723" s="129">
        <v>1.2029106E7</v>
      </c>
      <c r="B723" s="106" t="s">
        <v>1881</v>
      </c>
      <c r="C723" s="59"/>
      <c r="D723" s="196"/>
      <c r="E723" s="187"/>
      <c r="F723" s="187"/>
      <c r="G723" s="154"/>
      <c r="H723" s="196"/>
      <c r="I723" s="99"/>
      <c r="K723" s="84"/>
      <c r="L723" s="99">
        <f t="shared" ref="L723:M723" si="690">COUNTIF(A723:A1893,A723)</f>
        <v>1</v>
      </c>
      <c r="M723" s="99">
        <f t="shared" si="690"/>
        <v>1</v>
      </c>
      <c r="N723" s="84"/>
      <c r="O723" s="84"/>
      <c r="P723" s="84"/>
      <c r="Q723" s="84"/>
      <c r="R723" s="84"/>
    </row>
    <row r="724" ht="15.75" customHeight="1">
      <c r="A724" s="129">
        <v>1.2029107E7</v>
      </c>
      <c r="B724" s="106" t="s">
        <v>1882</v>
      </c>
      <c r="C724" s="59"/>
      <c r="D724" s="196"/>
      <c r="E724" s="187"/>
      <c r="F724" s="187"/>
      <c r="G724" s="154"/>
      <c r="H724" s="196"/>
      <c r="I724" s="99"/>
      <c r="K724" s="84"/>
      <c r="L724" s="99">
        <f t="shared" ref="L724:M724" si="691">COUNTIF(A724:A1894,A724)</f>
        <v>1</v>
      </c>
      <c r="M724" s="99">
        <f t="shared" si="691"/>
        <v>1</v>
      </c>
      <c r="N724" s="84"/>
      <c r="O724" s="84"/>
      <c r="P724" s="84"/>
      <c r="Q724" s="84"/>
      <c r="R724" s="84"/>
    </row>
    <row r="725" ht="15.75" customHeight="1">
      <c r="A725" s="129">
        <v>1.2029108E7</v>
      </c>
      <c r="B725" s="106" t="s">
        <v>1883</v>
      </c>
      <c r="C725" s="59"/>
      <c r="D725" s="196"/>
      <c r="E725" s="197" t="s">
        <v>1448</v>
      </c>
      <c r="F725" s="197" t="s">
        <v>1448</v>
      </c>
      <c r="G725" s="154"/>
      <c r="H725" s="196"/>
      <c r="I725" s="99"/>
      <c r="K725" s="84"/>
      <c r="L725" s="99">
        <f t="shared" ref="L725:M725" si="692">COUNTIF(A725:A1895,A725)</f>
        <v>1</v>
      </c>
      <c r="M725" s="99">
        <f t="shared" si="692"/>
        <v>1</v>
      </c>
      <c r="N725" s="84"/>
      <c r="O725" s="84"/>
      <c r="P725" s="84"/>
      <c r="Q725" s="84"/>
      <c r="R725" s="84"/>
    </row>
    <row r="726" ht="15.75" customHeight="1">
      <c r="A726" s="129">
        <v>3.0010112E7</v>
      </c>
      <c r="B726" s="106" t="s">
        <v>1884</v>
      </c>
      <c r="C726" s="59"/>
      <c r="D726" s="196"/>
      <c r="E726" s="176" t="s">
        <v>247</v>
      </c>
      <c r="F726" s="176" t="s">
        <v>247</v>
      </c>
      <c r="G726" s="154"/>
      <c r="H726" s="196"/>
      <c r="I726" s="99"/>
      <c r="K726" s="84"/>
      <c r="L726" s="99">
        <f t="shared" ref="L726:M726" si="693">COUNTIF(A726:A1896,A726)</f>
        <v>1</v>
      </c>
      <c r="M726" s="99">
        <f t="shared" si="693"/>
        <v>1</v>
      </c>
      <c r="N726" s="84"/>
      <c r="O726" s="84"/>
      <c r="P726" s="84"/>
      <c r="Q726" s="84"/>
      <c r="R726" s="84"/>
    </row>
    <row r="727" ht="15.75" customHeight="1">
      <c r="A727" s="129">
        <v>1.2029109E7</v>
      </c>
      <c r="B727" s="106" t="s">
        <v>1885</v>
      </c>
      <c r="C727" s="59"/>
      <c r="D727" s="196"/>
      <c r="E727" s="187"/>
      <c r="F727" s="187"/>
      <c r="G727" s="154"/>
      <c r="H727" s="196"/>
      <c r="I727" s="99"/>
      <c r="K727" s="84"/>
      <c r="L727" s="99">
        <f t="shared" ref="L727:M727" si="694">COUNTIF(A727:A1897,A727)</f>
        <v>1</v>
      </c>
      <c r="M727" s="99">
        <f t="shared" si="694"/>
        <v>1</v>
      </c>
      <c r="N727" s="84"/>
      <c r="O727" s="84"/>
      <c r="P727" s="84"/>
      <c r="Q727" s="84"/>
      <c r="R727" s="84"/>
    </row>
    <row r="728" ht="15.75" customHeight="1">
      <c r="A728" s="129">
        <v>1.2030101E7</v>
      </c>
      <c r="B728" s="106" t="s">
        <v>1886</v>
      </c>
      <c r="C728" s="59"/>
      <c r="D728" s="196"/>
      <c r="E728" s="187"/>
      <c r="F728" s="187"/>
      <c r="G728" s="154"/>
      <c r="H728" s="189">
        <v>50.0</v>
      </c>
      <c r="I728" s="99"/>
      <c r="K728" s="84"/>
      <c r="L728" s="99">
        <f t="shared" ref="L728:M728" si="695">COUNTIF(A728:A1898,A728)</f>
        <v>1</v>
      </c>
      <c r="M728" s="99">
        <f t="shared" si="695"/>
        <v>1</v>
      </c>
      <c r="N728" s="84"/>
      <c r="O728" s="84"/>
      <c r="P728" s="84"/>
      <c r="Q728" s="84"/>
      <c r="R728" s="84"/>
    </row>
    <row r="729" ht="15.75" customHeight="1">
      <c r="A729" s="129">
        <v>1.2030102E7</v>
      </c>
      <c r="B729" s="106" t="s">
        <v>1887</v>
      </c>
      <c r="C729" s="59"/>
      <c r="D729" s="196"/>
      <c r="E729" s="187"/>
      <c r="F729" s="187"/>
      <c r="G729" s="189" t="s">
        <v>428</v>
      </c>
      <c r="H729" s="189">
        <v>0.015</v>
      </c>
      <c r="I729" s="99"/>
      <c r="K729" s="84"/>
      <c r="L729" s="99">
        <f t="shared" ref="L729:M729" si="696">COUNTIF(A729:A1899,A729)</f>
        <v>1</v>
      </c>
      <c r="M729" s="99">
        <f t="shared" si="696"/>
        <v>1</v>
      </c>
      <c r="N729" s="84"/>
      <c r="O729" s="84"/>
      <c r="P729" s="84"/>
      <c r="Q729" s="84"/>
      <c r="R729" s="84"/>
    </row>
    <row r="730" ht="15.75" customHeight="1">
      <c r="A730" s="129">
        <v>1.2030103E7</v>
      </c>
      <c r="B730" s="106" t="s">
        <v>1888</v>
      </c>
      <c r="C730" s="59"/>
      <c r="D730" s="196"/>
      <c r="E730" s="187"/>
      <c r="F730" s="187"/>
      <c r="G730" s="154"/>
      <c r="H730" s="189">
        <v>0.0</v>
      </c>
      <c r="I730" s="99"/>
      <c r="K730" s="84"/>
      <c r="L730" s="99">
        <f t="shared" ref="L730:M730" si="697">COUNTIF(A730:A1900,A730)</f>
        <v>1</v>
      </c>
      <c r="M730" s="99">
        <f t="shared" si="697"/>
        <v>1</v>
      </c>
      <c r="N730" s="84"/>
      <c r="O730" s="84"/>
      <c r="P730" s="84"/>
      <c r="Q730" s="84"/>
      <c r="R730" s="84"/>
    </row>
    <row r="731" ht="15.75" customHeight="1">
      <c r="A731" s="129">
        <v>1.2030104E7</v>
      </c>
      <c r="B731" s="106" t="s">
        <v>1889</v>
      </c>
      <c r="C731" s="59"/>
      <c r="D731" s="196"/>
      <c r="E731" s="187"/>
      <c r="F731" s="187"/>
      <c r="G731" s="154"/>
      <c r="H731" s="196"/>
      <c r="I731" s="99"/>
      <c r="K731" s="84"/>
      <c r="L731" s="99">
        <f t="shared" ref="L731:M731" si="698">COUNTIF(A731:A1901,A731)</f>
        <v>1</v>
      </c>
      <c r="M731" s="99">
        <f t="shared" si="698"/>
        <v>1</v>
      </c>
      <c r="N731" s="84"/>
      <c r="O731" s="84"/>
      <c r="P731" s="84"/>
      <c r="Q731" s="84"/>
      <c r="R731" s="84"/>
    </row>
    <row r="732" ht="15.75" customHeight="1">
      <c r="A732" s="129">
        <v>1.2030105E7</v>
      </c>
      <c r="B732" s="106" t="s">
        <v>1890</v>
      </c>
      <c r="C732" s="59"/>
      <c r="D732" s="196"/>
      <c r="E732" s="187"/>
      <c r="F732" s="187"/>
      <c r="G732" s="154"/>
      <c r="H732" s="196"/>
      <c r="I732" s="99"/>
      <c r="K732" s="84"/>
      <c r="L732" s="99">
        <f t="shared" ref="L732:M732" si="699">COUNTIF(A732:A1902,A732)</f>
        <v>1</v>
      </c>
      <c r="M732" s="99">
        <f t="shared" si="699"/>
        <v>1</v>
      </c>
      <c r="N732" s="84"/>
      <c r="O732" s="84"/>
      <c r="P732" s="84"/>
      <c r="Q732" s="84"/>
      <c r="R732" s="84"/>
    </row>
    <row r="733" ht="15.75" customHeight="1">
      <c r="A733" s="129">
        <v>1.2030106E7</v>
      </c>
      <c r="B733" s="106" t="s">
        <v>1891</v>
      </c>
      <c r="C733" s="59"/>
      <c r="D733" s="196"/>
      <c r="E733" s="187"/>
      <c r="F733" s="187"/>
      <c r="G733" s="154"/>
      <c r="H733" s="196"/>
      <c r="I733" s="99"/>
      <c r="K733" s="84"/>
      <c r="L733" s="99">
        <f t="shared" ref="L733:M733" si="700">COUNTIF(A733:A1903,A733)</f>
        <v>1</v>
      </c>
      <c r="M733" s="99">
        <f t="shared" si="700"/>
        <v>1</v>
      </c>
      <c r="N733" s="84"/>
      <c r="O733" s="84"/>
      <c r="P733" s="84"/>
      <c r="Q733" s="84"/>
      <c r="R733" s="84"/>
    </row>
    <row r="734" ht="15.75" customHeight="1">
      <c r="A734" s="129">
        <v>1.2030107E7</v>
      </c>
      <c r="B734" s="106" t="s">
        <v>1892</v>
      </c>
      <c r="C734" s="59"/>
      <c r="D734" s="196"/>
      <c r="E734" s="187"/>
      <c r="F734" s="187"/>
      <c r="G734" s="154"/>
      <c r="H734" s="196"/>
      <c r="I734" s="99"/>
      <c r="K734" s="84"/>
      <c r="L734" s="99">
        <f t="shared" ref="L734:M734" si="701">COUNTIF(A734:A1904,A734)</f>
        <v>1</v>
      </c>
      <c r="M734" s="99">
        <f t="shared" si="701"/>
        <v>1</v>
      </c>
      <c r="N734" s="84"/>
      <c r="O734" s="84"/>
      <c r="P734" s="84"/>
      <c r="Q734" s="84"/>
      <c r="R734" s="84"/>
    </row>
    <row r="735" ht="15.75" customHeight="1">
      <c r="A735" s="129">
        <v>1.2030108E7</v>
      </c>
      <c r="B735" s="106" t="s">
        <v>1893</v>
      </c>
      <c r="C735" s="59"/>
      <c r="D735" s="196"/>
      <c r="E735" s="187"/>
      <c r="F735" s="187"/>
      <c r="G735" s="154"/>
      <c r="H735" s="154"/>
      <c r="I735" s="99"/>
      <c r="K735" s="84"/>
      <c r="L735" s="99">
        <f t="shared" ref="L735:M735" si="702">COUNTIF(A735:A1905,A735)</f>
        <v>1</v>
      </c>
      <c r="M735" s="99">
        <f t="shared" si="702"/>
        <v>1</v>
      </c>
      <c r="N735" s="84"/>
      <c r="O735" s="84"/>
      <c r="P735" s="84"/>
      <c r="Q735" s="84"/>
      <c r="R735" s="84"/>
    </row>
    <row r="736" ht="15.75" customHeight="1">
      <c r="A736" s="129">
        <v>1.2030109E7</v>
      </c>
      <c r="B736" s="106" t="s">
        <v>1894</v>
      </c>
      <c r="C736" s="59"/>
      <c r="D736" s="196"/>
      <c r="E736" s="187"/>
      <c r="F736" s="178"/>
      <c r="G736" s="189" t="s">
        <v>428</v>
      </c>
      <c r="H736" s="198" t="s">
        <v>1895</v>
      </c>
      <c r="I736" s="99"/>
      <c r="K736" s="84"/>
      <c r="L736" s="99">
        <f t="shared" ref="L736:M736" si="703">COUNTIF(A736:A1906,A736)</f>
        <v>1</v>
      </c>
      <c r="M736" s="99">
        <f t="shared" si="703"/>
        <v>1</v>
      </c>
      <c r="N736" s="84"/>
      <c r="O736" s="84"/>
      <c r="P736" s="84"/>
      <c r="Q736" s="84"/>
      <c r="R736" s="84"/>
    </row>
    <row r="737" ht="15.75" customHeight="1">
      <c r="A737" s="129">
        <v>1.203011E7</v>
      </c>
      <c r="B737" s="106" t="s">
        <v>1896</v>
      </c>
      <c r="C737" s="59"/>
      <c r="D737" s="196"/>
      <c r="E737" s="187"/>
      <c r="F737" s="187"/>
      <c r="G737" s="154"/>
      <c r="H737" s="196"/>
      <c r="I737" s="99"/>
      <c r="K737" s="84"/>
      <c r="L737" s="99">
        <f t="shared" ref="L737:M737" si="704">COUNTIF(A737:A1907,A737)</f>
        <v>1</v>
      </c>
      <c r="M737" s="99">
        <f t="shared" si="704"/>
        <v>1</v>
      </c>
      <c r="N737" s="84"/>
      <c r="O737" s="84"/>
      <c r="P737" s="84"/>
      <c r="Q737" s="84"/>
      <c r="R737" s="84"/>
    </row>
    <row r="738" ht="15.75" customHeight="1">
      <c r="A738" s="129">
        <v>1.2030111E7</v>
      </c>
      <c r="B738" s="106" t="s">
        <v>1897</v>
      </c>
      <c r="C738" s="59"/>
      <c r="D738" s="196"/>
      <c r="E738" s="187"/>
      <c r="F738" s="187"/>
      <c r="G738" s="154"/>
      <c r="H738" s="196"/>
      <c r="I738" s="99"/>
      <c r="K738" s="84"/>
      <c r="L738" s="99">
        <f t="shared" ref="L738:M738" si="705">COUNTIF(A738:A1908,A738)</f>
        <v>1</v>
      </c>
      <c r="M738" s="99">
        <f t="shared" si="705"/>
        <v>1</v>
      </c>
      <c r="N738" s="84"/>
      <c r="O738" s="84"/>
      <c r="P738" s="84"/>
      <c r="Q738" s="84"/>
      <c r="R738" s="84"/>
    </row>
    <row r="739" ht="15.75" customHeight="1">
      <c r="A739" s="129">
        <v>1.2030112E7</v>
      </c>
      <c r="B739" s="106" t="s">
        <v>1898</v>
      </c>
      <c r="C739" s="59"/>
      <c r="D739" s="196"/>
      <c r="E739" s="187"/>
      <c r="F739" s="187"/>
      <c r="G739" s="154"/>
      <c r="H739" s="196"/>
      <c r="I739" s="99"/>
      <c r="K739" s="84"/>
      <c r="L739" s="99">
        <f t="shared" ref="L739:M739" si="706">COUNTIF(A739:A1909,A739)</f>
        <v>1</v>
      </c>
      <c r="M739" s="99">
        <f t="shared" si="706"/>
        <v>1</v>
      </c>
      <c r="N739" s="84"/>
      <c r="O739" s="84"/>
      <c r="P739" s="84"/>
      <c r="Q739" s="84"/>
      <c r="R739" s="84"/>
    </row>
    <row r="740" ht="15.75" customHeight="1">
      <c r="A740" s="129">
        <v>1.2051013E7</v>
      </c>
      <c r="B740" s="106" t="s">
        <v>1899</v>
      </c>
      <c r="C740" s="59"/>
      <c r="D740" s="196"/>
      <c r="E740" s="187"/>
      <c r="F740" s="187"/>
      <c r="G740" s="154"/>
      <c r="H740" s="196"/>
      <c r="I740" s="99"/>
      <c r="K740" s="84"/>
      <c r="L740" s="99">
        <f t="shared" ref="L740:M740" si="707">COUNTIF(A740:A1910,A740)</f>
        <v>1</v>
      </c>
      <c r="M740" s="99">
        <f t="shared" si="707"/>
        <v>1</v>
      </c>
      <c r="N740" s="84"/>
      <c r="O740" s="84"/>
      <c r="P740" s="84"/>
      <c r="Q740" s="84"/>
      <c r="R740" s="84"/>
    </row>
    <row r="741" ht="15.75" customHeight="1">
      <c r="A741" s="190">
        <v>1.2051014E7</v>
      </c>
      <c r="B741" s="106" t="s">
        <v>1900</v>
      </c>
      <c r="C741" s="59"/>
      <c r="D741" s="196"/>
      <c r="E741" s="187"/>
      <c r="F741" s="187"/>
      <c r="G741" s="154"/>
      <c r="H741" s="196"/>
      <c r="I741" s="99"/>
      <c r="K741" s="84"/>
      <c r="L741" s="99">
        <f t="shared" ref="L741:M741" si="708">COUNTIF(A741:A1911,A741)</f>
        <v>1</v>
      </c>
      <c r="M741" s="99">
        <f t="shared" si="708"/>
        <v>1</v>
      </c>
      <c r="N741" s="84"/>
      <c r="O741" s="84"/>
      <c r="P741" s="84"/>
      <c r="Q741" s="84"/>
      <c r="R741" s="84"/>
    </row>
    <row r="742" ht="15.75" customHeight="1">
      <c r="A742" s="194"/>
      <c r="B742" s="134"/>
      <c r="C742" s="59"/>
      <c r="D742" s="196"/>
      <c r="E742" s="187"/>
      <c r="F742" s="172"/>
      <c r="G742" s="154"/>
      <c r="H742" s="196"/>
      <c r="I742" s="99"/>
      <c r="K742" s="84"/>
      <c r="L742" s="99">
        <f t="shared" ref="L742:M742" si="709">COUNTIF(A742:A1912,A742)</f>
        <v>0</v>
      </c>
      <c r="M742" s="99">
        <f t="shared" si="709"/>
        <v>0</v>
      </c>
      <c r="N742" s="84"/>
      <c r="O742" s="84"/>
      <c r="P742" s="84"/>
      <c r="Q742" s="84"/>
      <c r="R742" s="84"/>
    </row>
    <row r="743" ht="15.75" customHeight="1">
      <c r="A743" s="129">
        <v>1.203711E7</v>
      </c>
      <c r="B743" s="106" t="s">
        <v>1901</v>
      </c>
      <c r="C743" s="59"/>
      <c r="D743" s="196"/>
      <c r="E743" s="172"/>
      <c r="F743" s="172"/>
      <c r="G743" s="154"/>
      <c r="H743" s="196"/>
      <c r="I743" s="99"/>
      <c r="K743" s="84"/>
      <c r="L743" s="99">
        <f t="shared" ref="L743:M743" si="710">COUNTIF(A743:A1913,A743)</f>
        <v>1</v>
      </c>
      <c r="M743" s="99">
        <f t="shared" si="710"/>
        <v>1</v>
      </c>
      <c r="N743" s="84"/>
      <c r="O743" s="84"/>
      <c r="P743" s="84"/>
      <c r="Q743" s="84"/>
      <c r="R743" s="84"/>
    </row>
    <row r="744" ht="15.75" customHeight="1">
      <c r="A744" s="129">
        <v>1.20371E7</v>
      </c>
      <c r="B744" s="106" t="s">
        <v>1902</v>
      </c>
      <c r="C744" s="59"/>
      <c r="D744" s="196"/>
      <c r="E744" s="187"/>
      <c r="F744" s="187"/>
      <c r="G744" s="154"/>
      <c r="H744" s="196"/>
      <c r="I744" s="99"/>
      <c r="K744" s="84"/>
      <c r="L744" s="99">
        <f t="shared" ref="L744:M744" si="711">COUNTIF(A744:A1914,A744)</f>
        <v>1</v>
      </c>
      <c r="M744" s="99">
        <f t="shared" si="711"/>
        <v>1</v>
      </c>
      <c r="N744" s="84"/>
      <c r="O744" s="84"/>
      <c r="P744" s="84"/>
      <c r="Q744" s="84"/>
      <c r="R744" s="84"/>
    </row>
    <row r="745" ht="15.75" customHeight="1">
      <c r="A745" s="129">
        <v>1.2037102E7</v>
      </c>
      <c r="B745" s="106" t="s">
        <v>1903</v>
      </c>
      <c r="C745" s="59"/>
      <c r="D745" s="196"/>
      <c r="E745" s="176" t="s">
        <v>247</v>
      </c>
      <c r="F745" s="176" t="s">
        <v>247</v>
      </c>
      <c r="G745" s="154"/>
      <c r="H745" s="196"/>
      <c r="I745" s="99"/>
      <c r="K745" s="84"/>
      <c r="L745" s="99">
        <f t="shared" ref="L745:M745" si="712">COUNTIF(A745:A1915,A745)</f>
        <v>1</v>
      </c>
      <c r="M745" s="99">
        <f t="shared" si="712"/>
        <v>1</v>
      </c>
      <c r="N745" s="84"/>
      <c r="O745" s="84"/>
      <c r="P745" s="84"/>
      <c r="Q745" s="84"/>
      <c r="R745" s="84"/>
    </row>
    <row r="746" ht="15.75" customHeight="1">
      <c r="A746" s="129">
        <v>1.2037103E7</v>
      </c>
      <c r="B746" s="106" t="s">
        <v>1904</v>
      </c>
      <c r="C746" s="59"/>
      <c r="D746" s="196"/>
      <c r="E746" s="187"/>
      <c r="F746" s="187"/>
      <c r="G746" s="154"/>
      <c r="H746" s="196"/>
      <c r="I746" s="99"/>
      <c r="K746" s="84"/>
      <c r="L746" s="99">
        <f t="shared" ref="L746:M746" si="713">COUNTIF(A746:A1916,A746)</f>
        <v>1</v>
      </c>
      <c r="M746" s="99">
        <f t="shared" si="713"/>
        <v>1</v>
      </c>
      <c r="N746" s="84"/>
      <c r="O746" s="84"/>
      <c r="P746" s="84"/>
      <c r="Q746" s="84"/>
      <c r="R746" s="84"/>
    </row>
    <row r="747" ht="15.75" customHeight="1">
      <c r="A747" s="129">
        <v>1.2037104E7</v>
      </c>
      <c r="B747" s="106" t="s">
        <v>1905</v>
      </c>
      <c r="C747" s="59"/>
      <c r="D747" s="196"/>
      <c r="E747" s="187"/>
      <c r="F747" s="187"/>
      <c r="G747" s="154"/>
      <c r="H747" s="196"/>
      <c r="I747" s="99"/>
      <c r="K747" s="84"/>
      <c r="L747" s="99">
        <f t="shared" ref="L747:M747" si="714">COUNTIF(A747:A1917,A747)</f>
        <v>1</v>
      </c>
      <c r="M747" s="99">
        <f t="shared" si="714"/>
        <v>1</v>
      </c>
      <c r="N747" s="84"/>
      <c r="O747" s="84"/>
      <c r="P747" s="84"/>
      <c r="Q747" s="84"/>
      <c r="R747" s="84"/>
    </row>
    <row r="748" ht="15.75" customHeight="1">
      <c r="A748" s="129">
        <v>1.2037105E7</v>
      </c>
      <c r="B748" s="106" t="s">
        <v>1906</v>
      </c>
      <c r="C748" s="59"/>
      <c r="D748" s="196"/>
      <c r="E748" s="187"/>
      <c r="F748" s="187"/>
      <c r="G748" s="154"/>
      <c r="H748" s="196"/>
      <c r="I748" s="99"/>
      <c r="K748" s="84"/>
      <c r="L748" s="99">
        <f t="shared" ref="L748:M748" si="715">COUNTIF(A748:A1918,A748)</f>
        <v>1</v>
      </c>
      <c r="M748" s="99">
        <f t="shared" si="715"/>
        <v>1</v>
      </c>
      <c r="N748" s="84"/>
      <c r="O748" s="84"/>
      <c r="P748" s="84"/>
      <c r="Q748" s="84"/>
      <c r="R748" s="84"/>
    </row>
    <row r="749" ht="15.75" customHeight="1">
      <c r="A749" s="129">
        <v>1.2037106E7</v>
      </c>
      <c r="B749" s="106" t="s">
        <v>1907</v>
      </c>
      <c r="C749" s="59"/>
      <c r="D749" s="196"/>
      <c r="E749" s="187"/>
      <c r="F749" s="187"/>
      <c r="G749" s="154"/>
      <c r="H749" s="196"/>
      <c r="I749" s="99"/>
      <c r="K749" s="84"/>
      <c r="L749" s="99">
        <f t="shared" ref="L749:M749" si="716">COUNTIF(A749:A1919,A749)</f>
        <v>1</v>
      </c>
      <c r="M749" s="99">
        <f t="shared" si="716"/>
        <v>1</v>
      </c>
      <c r="N749" s="84"/>
      <c r="O749" s="84"/>
      <c r="P749" s="84"/>
      <c r="Q749" s="84"/>
      <c r="R749" s="84"/>
    </row>
    <row r="750" ht="15.75" customHeight="1">
      <c r="A750" s="129">
        <v>1.2037107E7</v>
      </c>
      <c r="B750" s="106" t="s">
        <v>1908</v>
      </c>
      <c r="C750" s="59"/>
      <c r="D750" s="196"/>
      <c r="E750" s="187"/>
      <c r="F750" s="187"/>
      <c r="G750" s="154"/>
      <c r="H750" s="196"/>
      <c r="I750" s="99"/>
      <c r="K750" s="84"/>
      <c r="L750" s="99">
        <f t="shared" ref="L750:M750" si="717">COUNTIF(A750:A1920,A750)</f>
        <v>1</v>
      </c>
      <c r="M750" s="99">
        <f t="shared" si="717"/>
        <v>1</v>
      </c>
      <c r="N750" s="84"/>
      <c r="O750" s="84"/>
      <c r="P750" s="84"/>
      <c r="Q750" s="84"/>
      <c r="R750" s="84"/>
    </row>
    <row r="751" ht="15.75" customHeight="1">
      <c r="A751" s="129">
        <v>1.2037108E7</v>
      </c>
      <c r="B751" s="106" t="s">
        <v>1909</v>
      </c>
      <c r="C751" s="59"/>
      <c r="D751" s="196"/>
      <c r="E751" s="197" t="s">
        <v>1649</v>
      </c>
      <c r="F751" s="197" t="s">
        <v>1649</v>
      </c>
      <c r="G751" s="154"/>
      <c r="H751" s="196"/>
      <c r="I751" s="99"/>
      <c r="K751" s="84"/>
      <c r="L751" s="99">
        <f t="shared" ref="L751:M751" si="718">COUNTIF(A751:A1921,A751)</f>
        <v>1</v>
      </c>
      <c r="M751" s="99">
        <f t="shared" si="718"/>
        <v>1</v>
      </c>
      <c r="N751" s="84"/>
      <c r="O751" s="84"/>
      <c r="P751" s="84"/>
      <c r="Q751" s="84"/>
      <c r="R751" s="84"/>
    </row>
    <row r="752" ht="15.75" customHeight="1">
      <c r="A752" s="129">
        <v>3.0010113E7</v>
      </c>
      <c r="B752" s="106" t="s">
        <v>1910</v>
      </c>
      <c r="C752" s="59"/>
      <c r="D752" s="196"/>
      <c r="E752" s="176" t="s">
        <v>247</v>
      </c>
      <c r="F752" s="176" t="s">
        <v>247</v>
      </c>
      <c r="G752" s="154"/>
      <c r="H752" s="196"/>
      <c r="I752" s="99"/>
      <c r="K752" s="84"/>
      <c r="L752" s="99">
        <f t="shared" ref="L752:M752" si="719">COUNTIF(A752:A1922,A752)</f>
        <v>1</v>
      </c>
      <c r="M752" s="99">
        <f t="shared" si="719"/>
        <v>1</v>
      </c>
      <c r="N752" s="84"/>
      <c r="O752" s="84"/>
      <c r="P752" s="84"/>
      <c r="Q752" s="84"/>
      <c r="R752" s="84"/>
    </row>
    <row r="753" ht="15.75" customHeight="1">
      <c r="A753" s="129">
        <v>1.2037109E7</v>
      </c>
      <c r="B753" s="106" t="s">
        <v>1911</v>
      </c>
      <c r="C753" s="59"/>
      <c r="D753" s="196"/>
      <c r="E753" s="187"/>
      <c r="F753" s="187"/>
      <c r="G753" s="154"/>
      <c r="H753" s="196"/>
      <c r="I753" s="99"/>
      <c r="K753" s="84"/>
      <c r="L753" s="99">
        <f t="shared" ref="L753:M753" si="720">COUNTIF(A753:A1923,A753)</f>
        <v>1</v>
      </c>
      <c r="M753" s="99">
        <f t="shared" si="720"/>
        <v>1</v>
      </c>
      <c r="N753" s="84"/>
      <c r="O753" s="84"/>
      <c r="P753" s="84"/>
      <c r="Q753" s="84"/>
      <c r="R753" s="84"/>
    </row>
    <row r="754" ht="15.75" customHeight="1">
      <c r="A754" s="129">
        <v>1.2038101E7</v>
      </c>
      <c r="B754" s="106" t="s">
        <v>1912</v>
      </c>
      <c r="C754" s="59"/>
      <c r="D754" s="196"/>
      <c r="E754" s="187"/>
      <c r="F754" s="187"/>
      <c r="G754" s="154"/>
      <c r="H754" s="189">
        <v>50.0</v>
      </c>
      <c r="I754" s="99"/>
      <c r="K754" s="84"/>
      <c r="L754" s="99">
        <f t="shared" ref="L754:M754" si="721">COUNTIF(A754:A1924,A754)</f>
        <v>1</v>
      </c>
      <c r="M754" s="99">
        <f t="shared" si="721"/>
        <v>1</v>
      </c>
      <c r="N754" s="84"/>
      <c r="O754" s="84"/>
      <c r="P754" s="84"/>
      <c r="Q754" s="84"/>
      <c r="R754" s="84"/>
    </row>
    <row r="755" ht="15.75" customHeight="1">
      <c r="A755" s="129">
        <v>1.2038102E7</v>
      </c>
      <c r="B755" s="106" t="s">
        <v>1913</v>
      </c>
      <c r="C755" s="59"/>
      <c r="D755" s="196"/>
      <c r="E755" s="187"/>
      <c r="F755" s="187"/>
      <c r="G755" s="189" t="s">
        <v>428</v>
      </c>
      <c r="H755" s="189">
        <v>0.01</v>
      </c>
      <c r="I755" s="99"/>
      <c r="K755" s="84"/>
      <c r="L755" s="99">
        <f t="shared" ref="L755:M755" si="722">COUNTIF(A755:A1925,A755)</f>
        <v>1</v>
      </c>
      <c r="M755" s="99">
        <f t="shared" si="722"/>
        <v>1</v>
      </c>
      <c r="N755" s="84"/>
      <c r="O755" s="84"/>
      <c r="P755" s="84"/>
      <c r="Q755" s="84"/>
      <c r="R755" s="84"/>
    </row>
    <row r="756" ht="15.75" customHeight="1">
      <c r="A756" s="129">
        <v>1.2038103E7</v>
      </c>
      <c r="B756" s="106" t="s">
        <v>1914</v>
      </c>
      <c r="C756" s="59"/>
      <c r="D756" s="196"/>
      <c r="E756" s="187"/>
      <c r="F756" s="187"/>
      <c r="G756" s="154"/>
      <c r="H756" s="189">
        <v>0.0</v>
      </c>
      <c r="I756" s="99"/>
      <c r="K756" s="84"/>
      <c r="L756" s="99">
        <f t="shared" ref="L756:M756" si="723">COUNTIF(A756:A1926,A756)</f>
        <v>1</v>
      </c>
      <c r="M756" s="99">
        <f t="shared" si="723"/>
        <v>1</v>
      </c>
      <c r="N756" s="84"/>
      <c r="O756" s="84"/>
      <c r="P756" s="84"/>
      <c r="Q756" s="84"/>
      <c r="R756" s="84"/>
    </row>
    <row r="757" ht="15.75" customHeight="1">
      <c r="A757" s="129">
        <v>1.2038104E7</v>
      </c>
      <c r="B757" s="106" t="s">
        <v>1915</v>
      </c>
      <c r="C757" s="59"/>
      <c r="D757" s="196"/>
      <c r="E757" s="187"/>
      <c r="F757" s="187"/>
      <c r="G757" s="154"/>
      <c r="H757" s="196"/>
      <c r="I757" s="99"/>
      <c r="K757" s="84"/>
      <c r="L757" s="99">
        <f t="shared" ref="L757:M757" si="724">COUNTIF(A757:A1927,A757)</f>
        <v>1</v>
      </c>
      <c r="M757" s="99">
        <f t="shared" si="724"/>
        <v>1</v>
      </c>
      <c r="N757" s="84"/>
      <c r="O757" s="84"/>
      <c r="P757" s="84"/>
      <c r="Q757" s="84"/>
      <c r="R757" s="84"/>
    </row>
    <row r="758" ht="15.75" customHeight="1">
      <c r="A758" s="129">
        <v>1.2038105E7</v>
      </c>
      <c r="B758" s="106" t="s">
        <v>1916</v>
      </c>
      <c r="C758" s="59"/>
      <c r="D758" s="196"/>
      <c r="E758" s="187"/>
      <c r="F758" s="187"/>
      <c r="G758" s="154"/>
      <c r="H758" s="196"/>
      <c r="I758" s="99"/>
      <c r="K758" s="84"/>
      <c r="L758" s="99">
        <f t="shared" ref="L758:M758" si="725">COUNTIF(A758:A1928,A758)</f>
        <v>1</v>
      </c>
      <c r="M758" s="99">
        <f t="shared" si="725"/>
        <v>1</v>
      </c>
      <c r="N758" s="84"/>
      <c r="O758" s="84"/>
      <c r="P758" s="84"/>
      <c r="Q758" s="84"/>
      <c r="R758" s="84"/>
    </row>
    <row r="759" ht="15.75" customHeight="1">
      <c r="A759" s="129">
        <v>1.2038106E7</v>
      </c>
      <c r="B759" s="106" t="s">
        <v>1917</v>
      </c>
      <c r="C759" s="59"/>
      <c r="D759" s="196"/>
      <c r="E759" s="187"/>
      <c r="F759" s="187"/>
      <c r="G759" s="154"/>
      <c r="H759" s="196"/>
      <c r="I759" s="99"/>
      <c r="K759" s="84"/>
      <c r="L759" s="99">
        <f t="shared" ref="L759:M759" si="726">COUNTIF(A759:A1929,A759)</f>
        <v>1</v>
      </c>
      <c r="M759" s="99">
        <f t="shared" si="726"/>
        <v>1</v>
      </c>
      <c r="N759" s="84"/>
      <c r="O759" s="84"/>
      <c r="P759" s="84"/>
      <c r="Q759" s="84"/>
      <c r="R759" s="84"/>
    </row>
    <row r="760" ht="15.75" customHeight="1">
      <c r="A760" s="129">
        <v>1.2038107E7</v>
      </c>
      <c r="B760" s="106" t="s">
        <v>1918</v>
      </c>
      <c r="C760" s="59"/>
      <c r="D760" s="196"/>
      <c r="E760" s="187"/>
      <c r="F760" s="187"/>
      <c r="G760" s="154"/>
      <c r="H760" s="196"/>
      <c r="I760" s="99"/>
      <c r="K760" s="84"/>
      <c r="L760" s="99">
        <f t="shared" ref="L760:M760" si="727">COUNTIF(A760:A1930,A760)</f>
        <v>1</v>
      </c>
      <c r="M760" s="99">
        <f t="shared" si="727"/>
        <v>1</v>
      </c>
      <c r="N760" s="84"/>
      <c r="O760" s="84"/>
      <c r="P760" s="84"/>
      <c r="Q760" s="84"/>
      <c r="R760" s="84"/>
    </row>
    <row r="761" ht="15.75" customHeight="1">
      <c r="A761" s="129">
        <v>1.2038108E7</v>
      </c>
      <c r="B761" s="106" t="s">
        <v>1919</v>
      </c>
      <c r="C761" s="59"/>
      <c r="D761" s="196"/>
      <c r="E761" s="187"/>
      <c r="F761" s="187"/>
      <c r="G761" s="154"/>
      <c r="H761" s="154"/>
      <c r="I761" s="99"/>
      <c r="K761" s="84"/>
      <c r="L761" s="99">
        <f t="shared" ref="L761:M761" si="728">COUNTIF(A761:A1931,A761)</f>
        <v>1</v>
      </c>
      <c r="M761" s="99">
        <f t="shared" si="728"/>
        <v>1</v>
      </c>
      <c r="N761" s="84"/>
      <c r="O761" s="84"/>
      <c r="P761" s="84"/>
      <c r="Q761" s="84"/>
      <c r="R761" s="84"/>
    </row>
    <row r="762" ht="15.75" customHeight="1">
      <c r="A762" s="129">
        <v>1.2038109E7</v>
      </c>
      <c r="B762" s="106" t="s">
        <v>1920</v>
      </c>
      <c r="C762" s="59"/>
      <c r="D762" s="196"/>
      <c r="E762" s="187"/>
      <c r="F762" s="178"/>
      <c r="G762" s="189" t="s">
        <v>428</v>
      </c>
      <c r="H762" s="198" t="s">
        <v>1895</v>
      </c>
      <c r="I762" s="99"/>
      <c r="K762" s="84"/>
      <c r="L762" s="99">
        <f t="shared" ref="L762:M762" si="729">COUNTIF(A762:A1932,A762)</f>
        <v>1</v>
      </c>
      <c r="M762" s="99">
        <f t="shared" si="729"/>
        <v>1</v>
      </c>
      <c r="N762" s="84"/>
      <c r="O762" s="84"/>
      <c r="P762" s="84"/>
      <c r="Q762" s="84"/>
      <c r="R762" s="84"/>
    </row>
    <row r="763" ht="15.75" customHeight="1">
      <c r="A763" s="129">
        <v>1.203811E7</v>
      </c>
      <c r="B763" s="106" t="s">
        <v>1921</v>
      </c>
      <c r="C763" s="59"/>
      <c r="D763" s="196"/>
      <c r="E763" s="187"/>
      <c r="F763" s="187"/>
      <c r="G763" s="154"/>
      <c r="H763" s="196"/>
      <c r="I763" s="99"/>
      <c r="K763" s="84"/>
      <c r="L763" s="99">
        <f t="shared" ref="L763:M763" si="730">COUNTIF(A763:A1933,A763)</f>
        <v>1</v>
      </c>
      <c r="M763" s="99">
        <f t="shared" si="730"/>
        <v>1</v>
      </c>
      <c r="N763" s="84"/>
      <c r="O763" s="84"/>
      <c r="P763" s="84"/>
      <c r="Q763" s="84"/>
      <c r="R763" s="84"/>
    </row>
    <row r="764" ht="15.75" customHeight="1">
      <c r="A764" s="129">
        <v>1.2038111E7</v>
      </c>
      <c r="B764" s="106" t="s">
        <v>1922</v>
      </c>
      <c r="C764" s="59"/>
      <c r="D764" s="196"/>
      <c r="E764" s="187"/>
      <c r="F764" s="187"/>
      <c r="G764" s="154"/>
      <c r="H764" s="196"/>
      <c r="I764" s="99"/>
      <c r="K764" s="84"/>
      <c r="L764" s="99">
        <f t="shared" ref="L764:M764" si="731">COUNTIF(A764:A1934,A764)</f>
        <v>1</v>
      </c>
      <c r="M764" s="99">
        <f t="shared" si="731"/>
        <v>1</v>
      </c>
      <c r="N764" s="84"/>
      <c r="O764" s="84"/>
      <c r="P764" s="84"/>
      <c r="Q764" s="84"/>
      <c r="R764" s="84"/>
    </row>
    <row r="765" ht="15.75" customHeight="1">
      <c r="A765" s="129">
        <v>1.2038112E7</v>
      </c>
      <c r="B765" s="106" t="s">
        <v>1923</v>
      </c>
      <c r="C765" s="59"/>
      <c r="D765" s="196"/>
      <c r="E765" s="187"/>
      <c r="F765" s="187"/>
      <c r="G765" s="154"/>
      <c r="H765" s="196"/>
      <c r="I765" s="99"/>
      <c r="K765" s="84"/>
      <c r="L765" s="99">
        <f t="shared" ref="L765:M765" si="732">COUNTIF(A765:A1935,A765)</f>
        <v>1</v>
      </c>
      <c r="M765" s="99">
        <f t="shared" si="732"/>
        <v>1</v>
      </c>
      <c r="N765" s="84"/>
      <c r="O765" s="84"/>
      <c r="P765" s="84"/>
      <c r="Q765" s="84"/>
      <c r="R765" s="84"/>
    </row>
    <row r="766" ht="15.75" customHeight="1">
      <c r="A766" s="129">
        <v>1.2051015E7</v>
      </c>
      <c r="B766" s="106" t="s">
        <v>1924</v>
      </c>
      <c r="C766" s="59"/>
      <c r="D766" s="196"/>
      <c r="E766" s="187"/>
      <c r="F766" s="187"/>
      <c r="G766" s="154"/>
      <c r="H766" s="196"/>
      <c r="I766" s="99"/>
      <c r="K766" s="84"/>
      <c r="L766" s="99">
        <f t="shared" ref="L766:M766" si="733">COUNTIF(A766:A1936,A766)</f>
        <v>1</v>
      </c>
      <c r="M766" s="99">
        <f t="shared" si="733"/>
        <v>1</v>
      </c>
      <c r="N766" s="84"/>
      <c r="O766" s="84"/>
      <c r="P766" s="84"/>
      <c r="Q766" s="84"/>
      <c r="R766" s="84"/>
    </row>
    <row r="767" ht="15.75" customHeight="1">
      <c r="A767" s="190">
        <v>1.2051016E7</v>
      </c>
      <c r="B767" s="106" t="s">
        <v>1925</v>
      </c>
      <c r="C767" s="73"/>
      <c r="D767" s="196"/>
      <c r="E767" s="187"/>
      <c r="F767" s="187"/>
      <c r="G767" s="154"/>
      <c r="H767" s="196"/>
      <c r="I767" s="99"/>
      <c r="K767" s="84"/>
      <c r="L767" s="99">
        <f t="shared" ref="L767:M767" si="734">COUNTIF(A767:A1937,A767)</f>
        <v>1</v>
      </c>
      <c r="M767" s="99">
        <f t="shared" si="734"/>
        <v>1</v>
      </c>
      <c r="N767" s="84"/>
      <c r="O767" s="84"/>
      <c r="P767" s="84"/>
      <c r="Q767" s="84"/>
      <c r="R767" s="84"/>
    </row>
    <row r="768" ht="15.75" customHeight="1">
      <c r="A768" s="129">
        <v>1.2099101E7</v>
      </c>
      <c r="B768" s="106" t="s">
        <v>1926</v>
      </c>
      <c r="C768" s="130" t="s">
        <v>1927</v>
      </c>
      <c r="D768" s="133"/>
      <c r="E768" s="188" t="s">
        <v>247</v>
      </c>
      <c r="F768" s="188" t="s">
        <v>247</v>
      </c>
      <c r="G768" s="159"/>
      <c r="H768" s="133"/>
      <c r="I768" s="99"/>
      <c r="K768" s="84"/>
      <c r="L768" s="99">
        <f t="shared" ref="L768:M768" si="735">COUNTIF(A768:A1938,A768)</f>
        <v>1</v>
      </c>
      <c r="M768" s="99">
        <f t="shared" si="735"/>
        <v>1</v>
      </c>
      <c r="N768" s="84"/>
      <c r="O768" s="84"/>
      <c r="P768" s="84"/>
      <c r="Q768" s="84"/>
      <c r="R768" s="84"/>
    </row>
    <row r="769" ht="15.75" customHeight="1">
      <c r="A769" s="129">
        <v>1.2099102E7</v>
      </c>
      <c r="B769" s="106" t="s">
        <v>1928</v>
      </c>
      <c r="C769" s="59"/>
      <c r="D769" s="133"/>
      <c r="E769" s="188" t="s">
        <v>359</v>
      </c>
      <c r="F769" s="188" t="s">
        <v>359</v>
      </c>
      <c r="G769" s="159"/>
      <c r="H769" s="133"/>
      <c r="I769" s="99"/>
      <c r="K769" s="84"/>
      <c r="L769" s="99">
        <f t="shared" ref="L769:M769" si="736">COUNTIF(A769:A1939,A769)</f>
        <v>1</v>
      </c>
      <c r="M769" s="99">
        <f t="shared" si="736"/>
        <v>1</v>
      </c>
      <c r="N769" s="84"/>
      <c r="O769" s="84"/>
      <c r="P769" s="84"/>
      <c r="Q769" s="84"/>
      <c r="R769" s="84"/>
    </row>
    <row r="770" ht="15.75" customHeight="1">
      <c r="A770" s="129">
        <v>1.2061001E7</v>
      </c>
      <c r="B770" s="106" t="s">
        <v>1929</v>
      </c>
      <c r="C770" s="59"/>
      <c r="D770" s="133"/>
      <c r="E770" s="176" t="s">
        <v>247</v>
      </c>
      <c r="F770" s="176" t="s">
        <v>235</v>
      </c>
      <c r="G770" s="159"/>
      <c r="H770" s="133"/>
      <c r="I770" s="99"/>
      <c r="K770" s="84"/>
      <c r="L770" s="99">
        <f t="shared" ref="L770:M770" si="737">COUNTIF(A770:A1940,A770)</f>
        <v>1</v>
      </c>
      <c r="M770" s="99">
        <f t="shared" si="737"/>
        <v>1</v>
      </c>
      <c r="N770" s="84"/>
      <c r="O770" s="84"/>
      <c r="P770" s="84"/>
      <c r="Q770" s="84"/>
      <c r="R770" s="84"/>
    </row>
    <row r="771" ht="15.75" customHeight="1">
      <c r="A771" s="129">
        <v>1.2061002E7</v>
      </c>
      <c r="B771" s="106" t="s">
        <v>1930</v>
      </c>
      <c r="C771" s="59"/>
      <c r="D771" s="133"/>
      <c r="E771" s="188" t="s">
        <v>247</v>
      </c>
      <c r="F771" s="176" t="s">
        <v>248</v>
      </c>
      <c r="G771" s="159"/>
      <c r="H771" s="133"/>
      <c r="I771" s="99"/>
      <c r="K771" s="84"/>
      <c r="L771" s="99">
        <f t="shared" ref="L771:M771" si="738">COUNTIF(A771:A1941,A771)</f>
        <v>1</v>
      </c>
      <c r="M771" s="99">
        <f t="shared" si="738"/>
        <v>1</v>
      </c>
      <c r="N771" s="84"/>
      <c r="O771" s="84"/>
      <c r="P771" s="84"/>
      <c r="Q771" s="84"/>
      <c r="R771" s="84"/>
    </row>
    <row r="772" ht="15.75" customHeight="1">
      <c r="A772" s="129">
        <v>1.2061003E7</v>
      </c>
      <c r="B772" s="106" t="s">
        <v>1931</v>
      </c>
      <c r="C772" s="59"/>
      <c r="D772" s="133"/>
      <c r="E772" s="176" t="s">
        <v>247</v>
      </c>
      <c r="F772" s="188" t="s">
        <v>247</v>
      </c>
      <c r="G772" s="159"/>
      <c r="H772" s="133"/>
      <c r="I772" s="99"/>
      <c r="K772" s="84"/>
      <c r="L772" s="99">
        <f t="shared" ref="L772:M772" si="739">COUNTIF(A772:A1942,A772)</f>
        <v>1</v>
      </c>
      <c r="M772" s="99">
        <f t="shared" si="739"/>
        <v>1</v>
      </c>
      <c r="N772" s="84"/>
      <c r="O772" s="84"/>
      <c r="P772" s="84"/>
      <c r="Q772" s="84"/>
      <c r="R772" s="84"/>
    </row>
    <row r="773" ht="15.75" customHeight="1">
      <c r="A773" s="129">
        <v>1.2061004E7</v>
      </c>
      <c r="B773" s="106" t="s">
        <v>1932</v>
      </c>
      <c r="C773" s="59"/>
      <c r="D773" s="133"/>
      <c r="E773" s="188" t="s">
        <v>235</v>
      </c>
      <c r="F773" s="176" t="s">
        <v>1302</v>
      </c>
      <c r="G773" s="159"/>
      <c r="H773" s="133"/>
      <c r="I773" s="99"/>
      <c r="K773" s="84"/>
      <c r="L773" s="99">
        <f t="shared" ref="L773:M773" si="740">COUNTIF(A773:A1943,A773)</f>
        <v>1</v>
      </c>
      <c r="M773" s="99">
        <f t="shared" si="740"/>
        <v>1</v>
      </c>
      <c r="N773" s="84"/>
      <c r="O773" s="84"/>
      <c r="P773" s="84"/>
      <c r="Q773" s="84"/>
      <c r="R773" s="84"/>
    </row>
    <row r="774" ht="15.75" customHeight="1">
      <c r="A774" s="129">
        <v>1.2061005E7</v>
      </c>
      <c r="B774" s="106" t="s">
        <v>1933</v>
      </c>
      <c r="C774" s="59"/>
      <c r="D774" s="133"/>
      <c r="E774" s="176" t="s">
        <v>339</v>
      </c>
      <c r="F774" s="178"/>
      <c r="G774" s="106" t="s">
        <v>428</v>
      </c>
      <c r="H774" s="133"/>
      <c r="I774" s="99"/>
      <c r="K774" s="84"/>
      <c r="L774" s="99">
        <f t="shared" ref="L774:M774" si="741">COUNTIF(A774:A1944,A774)</f>
        <v>1</v>
      </c>
      <c r="M774" s="99">
        <f t="shared" si="741"/>
        <v>1</v>
      </c>
      <c r="N774" s="84"/>
      <c r="O774" s="84"/>
      <c r="P774" s="84"/>
      <c r="Q774" s="84"/>
      <c r="R774" s="84"/>
    </row>
    <row r="775" ht="15.75" customHeight="1">
      <c r="A775" s="129">
        <v>1.2061006E7</v>
      </c>
      <c r="B775" s="106" t="s">
        <v>1934</v>
      </c>
      <c r="C775" s="59"/>
      <c r="D775" s="133"/>
      <c r="E775" s="176" t="s">
        <v>339</v>
      </c>
      <c r="F775" s="178"/>
      <c r="G775" s="106" t="s">
        <v>428</v>
      </c>
      <c r="H775" s="133"/>
      <c r="I775" s="99"/>
      <c r="K775" s="84"/>
      <c r="L775" s="99">
        <f t="shared" ref="L775:M775" si="742">COUNTIF(A775:A1945,A775)</f>
        <v>1</v>
      </c>
      <c r="M775" s="99">
        <f t="shared" si="742"/>
        <v>1</v>
      </c>
      <c r="N775" s="84"/>
      <c r="O775" s="84"/>
      <c r="P775" s="84"/>
      <c r="Q775" s="84"/>
      <c r="R775" s="84"/>
    </row>
    <row r="776" ht="15.75" customHeight="1">
      <c r="A776" s="129">
        <v>1.2061007E7</v>
      </c>
      <c r="B776" s="106" t="s">
        <v>1935</v>
      </c>
      <c r="C776" s="59"/>
      <c r="D776" s="133"/>
      <c r="E776" s="176" t="s">
        <v>339</v>
      </c>
      <c r="F776" s="178"/>
      <c r="G776" s="106" t="s">
        <v>428</v>
      </c>
      <c r="H776" s="133"/>
      <c r="I776" s="99"/>
      <c r="K776" s="84"/>
      <c r="L776" s="99">
        <f t="shared" ref="L776:M776" si="743">COUNTIF(A776:A1946,A776)</f>
        <v>1</v>
      </c>
      <c r="M776" s="99">
        <f t="shared" si="743"/>
        <v>1</v>
      </c>
      <c r="N776" s="84"/>
      <c r="O776" s="84"/>
      <c r="P776" s="84"/>
      <c r="Q776" s="84"/>
      <c r="R776" s="84"/>
    </row>
    <row r="777" ht="15.75" customHeight="1">
      <c r="A777" s="129">
        <v>1.2061008E7</v>
      </c>
      <c r="B777" s="106" t="s">
        <v>1936</v>
      </c>
      <c r="C777" s="59"/>
      <c r="D777" s="133"/>
      <c r="E777" s="176" t="s">
        <v>339</v>
      </c>
      <c r="F777" s="178"/>
      <c r="G777" s="106" t="s">
        <v>428</v>
      </c>
      <c r="H777" s="133"/>
      <c r="I777" s="99"/>
      <c r="K777" s="84"/>
      <c r="L777" s="99">
        <f t="shared" ref="L777:M777" si="744">COUNTIF(A777:A1947,A777)</f>
        <v>1</v>
      </c>
      <c r="M777" s="99">
        <f t="shared" si="744"/>
        <v>1</v>
      </c>
      <c r="N777" s="84"/>
      <c r="O777" s="84"/>
      <c r="P777" s="84"/>
      <c r="Q777" s="84"/>
      <c r="R777" s="84"/>
    </row>
    <row r="778" ht="15.75" customHeight="1">
      <c r="A778" s="129">
        <v>1.2061009E7</v>
      </c>
      <c r="B778" s="106" t="s">
        <v>1937</v>
      </c>
      <c r="C778" s="59"/>
      <c r="D778" s="133"/>
      <c r="E778" s="176" t="s">
        <v>339</v>
      </c>
      <c r="F778" s="178"/>
      <c r="G778" s="106" t="s">
        <v>428</v>
      </c>
      <c r="H778" s="133"/>
      <c r="I778" s="99"/>
      <c r="K778" s="84"/>
      <c r="L778" s="99">
        <f t="shared" ref="L778:M778" si="745">COUNTIF(A778:A1948,A778)</f>
        <v>1</v>
      </c>
      <c r="M778" s="99">
        <f t="shared" si="745"/>
        <v>1</v>
      </c>
      <c r="N778" s="84"/>
      <c r="O778" s="84"/>
      <c r="P778" s="84"/>
      <c r="Q778" s="84"/>
      <c r="R778" s="84"/>
    </row>
    <row r="779" ht="15.75" customHeight="1">
      <c r="A779" s="129">
        <v>1.206101E7</v>
      </c>
      <c r="B779" s="106" t="s">
        <v>1938</v>
      </c>
      <c r="C779" s="59"/>
      <c r="D779" s="133"/>
      <c r="E779" s="176" t="s">
        <v>339</v>
      </c>
      <c r="F779" s="178"/>
      <c r="G779" s="106" t="s">
        <v>428</v>
      </c>
      <c r="H779" s="133"/>
      <c r="I779" s="99"/>
      <c r="K779" s="84"/>
      <c r="L779" s="99">
        <f t="shared" ref="L779:M779" si="746">COUNTIF(A779:A1949,A779)</f>
        <v>1</v>
      </c>
      <c r="M779" s="99">
        <f t="shared" si="746"/>
        <v>1</v>
      </c>
      <c r="N779" s="84"/>
      <c r="O779" s="84"/>
      <c r="P779" s="84"/>
      <c r="Q779" s="84"/>
      <c r="R779" s="84"/>
    </row>
    <row r="780" ht="15.75" customHeight="1">
      <c r="A780" s="129">
        <v>1.2061011E7</v>
      </c>
      <c r="B780" s="106" t="s">
        <v>1939</v>
      </c>
      <c r="C780" s="59"/>
      <c r="D780" s="133"/>
      <c r="E780" s="176" t="s">
        <v>339</v>
      </c>
      <c r="F780" s="178"/>
      <c r="G780" s="106" t="s">
        <v>428</v>
      </c>
      <c r="H780" s="133"/>
      <c r="I780" s="99"/>
      <c r="K780" s="84"/>
      <c r="L780" s="99">
        <f t="shared" ref="L780:M780" si="747">COUNTIF(A780:A1950,A780)</f>
        <v>1</v>
      </c>
      <c r="M780" s="99">
        <f t="shared" si="747"/>
        <v>1</v>
      </c>
      <c r="N780" s="84"/>
      <c r="O780" s="84"/>
      <c r="P780" s="84"/>
      <c r="Q780" s="84"/>
      <c r="R780" s="84"/>
    </row>
    <row r="781" ht="15.75" customHeight="1">
      <c r="A781" s="129">
        <v>1.2061012E7</v>
      </c>
      <c r="B781" s="106" t="s">
        <v>1940</v>
      </c>
      <c r="C781" s="59"/>
      <c r="D781" s="133"/>
      <c r="E781" s="176" t="s">
        <v>339</v>
      </c>
      <c r="F781" s="178"/>
      <c r="G781" s="106" t="s">
        <v>428</v>
      </c>
      <c r="H781" s="133"/>
      <c r="I781" s="99"/>
      <c r="K781" s="84"/>
      <c r="L781" s="99">
        <f t="shared" ref="L781:M781" si="748">COUNTIF(A781:A1951,A781)</f>
        <v>1</v>
      </c>
      <c r="M781" s="99">
        <f t="shared" si="748"/>
        <v>1</v>
      </c>
      <c r="N781" s="84"/>
      <c r="O781" s="84"/>
      <c r="P781" s="84"/>
      <c r="Q781" s="84"/>
      <c r="R781" s="84"/>
    </row>
    <row r="782" ht="15.75" customHeight="1">
      <c r="A782" s="129">
        <v>1.2061013E7</v>
      </c>
      <c r="B782" s="106" t="s">
        <v>1941</v>
      </c>
      <c r="C782" s="59"/>
      <c r="D782" s="133"/>
      <c r="E782" s="176" t="s">
        <v>339</v>
      </c>
      <c r="F782" s="178"/>
      <c r="G782" s="106" t="s">
        <v>428</v>
      </c>
      <c r="H782" s="133"/>
      <c r="I782" s="99"/>
      <c r="K782" s="84"/>
      <c r="L782" s="99">
        <f t="shared" ref="L782:M782" si="749">COUNTIF(A782:A1952,A782)</f>
        <v>1</v>
      </c>
      <c r="M782" s="99">
        <f t="shared" si="749"/>
        <v>1</v>
      </c>
      <c r="N782" s="84"/>
      <c r="O782" s="84"/>
      <c r="P782" s="84"/>
      <c r="Q782" s="84"/>
      <c r="R782" s="84"/>
    </row>
    <row r="783" ht="15.75" customHeight="1">
      <c r="A783" s="129">
        <v>1.2061014E7</v>
      </c>
      <c r="B783" s="106" t="s">
        <v>1942</v>
      </c>
      <c r="C783" s="59"/>
      <c r="D783" s="133"/>
      <c r="E783" s="176" t="s">
        <v>339</v>
      </c>
      <c r="F783" s="178"/>
      <c r="G783" s="106" t="s">
        <v>428</v>
      </c>
      <c r="H783" s="133"/>
      <c r="I783" s="99"/>
      <c r="K783" s="84"/>
      <c r="L783" s="99">
        <f t="shared" ref="L783:M783" si="750">COUNTIF(A783:A1953,A783)</f>
        <v>1</v>
      </c>
      <c r="M783" s="99">
        <f t="shared" si="750"/>
        <v>1</v>
      </c>
      <c r="N783" s="84"/>
      <c r="O783" s="84"/>
      <c r="P783" s="84"/>
      <c r="Q783" s="84"/>
      <c r="R783" s="84"/>
    </row>
    <row r="784" ht="15.75" customHeight="1">
      <c r="A784" s="129">
        <v>1.2061015E7</v>
      </c>
      <c r="B784" s="106" t="s">
        <v>1943</v>
      </c>
      <c r="C784" s="59"/>
      <c r="D784" s="133"/>
      <c r="E784" s="176" t="s">
        <v>339</v>
      </c>
      <c r="F784" s="178"/>
      <c r="G784" s="106" t="s">
        <v>428</v>
      </c>
      <c r="H784" s="133"/>
      <c r="I784" s="99"/>
      <c r="K784" s="84"/>
      <c r="L784" s="99">
        <f t="shared" ref="L784:M784" si="751">COUNTIF(A784:A1954,A784)</f>
        <v>1</v>
      </c>
      <c r="M784" s="99">
        <f t="shared" si="751"/>
        <v>1</v>
      </c>
      <c r="N784" s="84"/>
      <c r="O784" s="84"/>
      <c r="P784" s="84"/>
      <c r="Q784" s="84"/>
      <c r="R784" s="84"/>
    </row>
    <row r="785" ht="15.75" customHeight="1">
      <c r="A785" s="129">
        <v>1.2061016E7</v>
      </c>
      <c r="B785" s="106" t="s">
        <v>1944</v>
      </c>
      <c r="C785" s="59"/>
      <c r="D785" s="133"/>
      <c r="E785" s="176" t="s">
        <v>339</v>
      </c>
      <c r="F785" s="178"/>
      <c r="G785" s="106" t="s">
        <v>428</v>
      </c>
      <c r="H785" s="133"/>
      <c r="I785" s="99"/>
      <c r="K785" s="84"/>
      <c r="L785" s="99">
        <f t="shared" ref="L785:M785" si="752">COUNTIF(A785:A1955,A785)</f>
        <v>1</v>
      </c>
      <c r="M785" s="99">
        <f t="shared" si="752"/>
        <v>1</v>
      </c>
      <c r="N785" s="84"/>
      <c r="O785" s="84"/>
      <c r="P785" s="84"/>
      <c r="Q785" s="84"/>
      <c r="R785" s="84"/>
    </row>
    <row r="786" ht="15.75" customHeight="1">
      <c r="A786" s="129">
        <v>1.2061017E7</v>
      </c>
      <c r="B786" s="106" t="s">
        <v>1945</v>
      </c>
      <c r="C786" s="59"/>
      <c r="D786" s="133"/>
      <c r="E786" s="176" t="s">
        <v>339</v>
      </c>
      <c r="F786" s="178"/>
      <c r="G786" s="106" t="s">
        <v>428</v>
      </c>
      <c r="H786" s="133"/>
      <c r="I786" s="99"/>
      <c r="K786" s="84"/>
      <c r="L786" s="99">
        <f t="shared" ref="L786:M786" si="753">COUNTIF(A786:A1956,A786)</f>
        <v>1</v>
      </c>
      <c r="M786" s="99">
        <f t="shared" si="753"/>
        <v>1</v>
      </c>
      <c r="N786" s="84"/>
      <c r="O786" s="84"/>
      <c r="P786" s="84"/>
      <c r="Q786" s="84"/>
      <c r="R786" s="84"/>
    </row>
    <row r="787" ht="15.75" customHeight="1">
      <c r="A787" s="129">
        <v>1.2061018E7</v>
      </c>
      <c r="B787" s="106" t="s">
        <v>1946</v>
      </c>
      <c r="C787" s="59"/>
      <c r="D787" s="133"/>
      <c r="E787" s="176" t="s">
        <v>339</v>
      </c>
      <c r="F787" s="178"/>
      <c r="G787" s="106" t="s">
        <v>428</v>
      </c>
      <c r="H787" s="133"/>
      <c r="I787" s="99"/>
      <c r="K787" s="84"/>
      <c r="L787" s="99">
        <f t="shared" ref="L787:M787" si="754">COUNTIF(A787:A1957,A787)</f>
        <v>1</v>
      </c>
      <c r="M787" s="99">
        <f t="shared" si="754"/>
        <v>1</v>
      </c>
      <c r="N787" s="84"/>
      <c r="O787" s="84"/>
      <c r="P787" s="84"/>
      <c r="Q787" s="84"/>
      <c r="R787" s="84"/>
    </row>
    <row r="788" ht="15.75" customHeight="1">
      <c r="A788" s="129">
        <v>1.2061019E7</v>
      </c>
      <c r="B788" s="106" t="s">
        <v>1947</v>
      </c>
      <c r="C788" s="59"/>
      <c r="D788" s="133"/>
      <c r="E788" s="176" t="s">
        <v>339</v>
      </c>
      <c r="F788" s="178"/>
      <c r="G788" s="106" t="s">
        <v>428</v>
      </c>
      <c r="H788" s="133"/>
      <c r="I788" s="99"/>
      <c r="K788" s="84"/>
      <c r="L788" s="99">
        <f t="shared" ref="L788:M788" si="755">COUNTIF(A788:A1958,A788)</f>
        <v>1</v>
      </c>
      <c r="M788" s="99">
        <f t="shared" si="755"/>
        <v>1</v>
      </c>
      <c r="N788" s="84"/>
      <c r="O788" s="84"/>
      <c r="P788" s="84"/>
      <c r="Q788" s="84"/>
      <c r="R788" s="84"/>
    </row>
    <row r="789" ht="15.75" customHeight="1">
      <c r="A789" s="129">
        <v>1.206102E7</v>
      </c>
      <c r="B789" s="106" t="s">
        <v>1948</v>
      </c>
      <c r="C789" s="59"/>
      <c r="D789" s="133"/>
      <c r="E789" s="176" t="s">
        <v>339</v>
      </c>
      <c r="F789" s="178"/>
      <c r="G789" s="106" t="s">
        <v>428</v>
      </c>
      <c r="H789" s="133"/>
      <c r="I789" s="99"/>
      <c r="K789" s="84"/>
      <c r="L789" s="99">
        <f t="shared" ref="L789:M789" si="756">COUNTIF(A789:A1959,A789)</f>
        <v>1</v>
      </c>
      <c r="M789" s="99">
        <f t="shared" si="756"/>
        <v>1</v>
      </c>
      <c r="N789" s="84"/>
      <c r="O789" s="84"/>
      <c r="P789" s="84"/>
      <c r="Q789" s="84"/>
      <c r="R789" s="84"/>
    </row>
    <row r="790" ht="15.75" customHeight="1">
      <c r="A790" s="129">
        <v>1.2061021E7</v>
      </c>
      <c r="B790" s="106" t="s">
        <v>1949</v>
      </c>
      <c r="C790" s="59"/>
      <c r="D790" s="133"/>
      <c r="E790" s="176" t="s">
        <v>339</v>
      </c>
      <c r="F790" s="178"/>
      <c r="G790" s="106" t="s">
        <v>428</v>
      </c>
      <c r="H790" s="133"/>
      <c r="I790" s="99"/>
      <c r="K790" s="84"/>
      <c r="L790" s="99">
        <f t="shared" ref="L790:M790" si="757">COUNTIF(A790:A1960,A790)</f>
        <v>1</v>
      </c>
      <c r="M790" s="99">
        <f t="shared" si="757"/>
        <v>1</v>
      </c>
      <c r="N790" s="84"/>
      <c r="O790" s="84"/>
      <c r="P790" s="84"/>
      <c r="Q790" s="84"/>
      <c r="R790" s="84"/>
    </row>
    <row r="791" ht="15.75" customHeight="1">
      <c r="A791" s="129">
        <v>1.2061022E7</v>
      </c>
      <c r="B791" s="106" t="s">
        <v>1950</v>
      </c>
      <c r="C791" s="59"/>
      <c r="D791" s="133"/>
      <c r="E791" s="176" t="s">
        <v>339</v>
      </c>
      <c r="F791" s="178"/>
      <c r="G791" s="106" t="s">
        <v>428</v>
      </c>
      <c r="H791" s="133"/>
      <c r="I791" s="99"/>
      <c r="K791" s="84"/>
      <c r="L791" s="99">
        <f t="shared" ref="L791:M791" si="758">COUNTIF(A791:A1961,A791)</f>
        <v>1</v>
      </c>
      <c r="M791" s="99">
        <f t="shared" si="758"/>
        <v>1</v>
      </c>
      <c r="N791" s="84"/>
      <c r="O791" s="84"/>
      <c r="P791" s="84"/>
      <c r="Q791" s="84"/>
      <c r="R791" s="84"/>
    </row>
    <row r="792" ht="15.75" customHeight="1">
      <c r="A792" s="129">
        <v>1.2061023E7</v>
      </c>
      <c r="B792" s="106" t="s">
        <v>1951</v>
      </c>
      <c r="C792" s="59"/>
      <c r="D792" s="133"/>
      <c r="E792" s="176" t="s">
        <v>339</v>
      </c>
      <c r="F792" s="178"/>
      <c r="G792" s="106" t="s">
        <v>428</v>
      </c>
      <c r="H792" s="133"/>
      <c r="I792" s="99"/>
      <c r="K792" s="84"/>
      <c r="L792" s="99">
        <f t="shared" ref="L792:M792" si="759">COUNTIF(A792:A1962,A792)</f>
        <v>1</v>
      </c>
      <c r="M792" s="99">
        <f t="shared" si="759"/>
        <v>1</v>
      </c>
      <c r="N792" s="84"/>
      <c r="O792" s="84"/>
      <c r="P792" s="84"/>
      <c r="Q792" s="84"/>
      <c r="R792" s="84"/>
    </row>
    <row r="793" ht="15.75" customHeight="1">
      <c r="A793" s="129">
        <v>1.2061024E7</v>
      </c>
      <c r="B793" s="106" t="s">
        <v>1952</v>
      </c>
      <c r="C793" s="59"/>
      <c r="D793" s="133"/>
      <c r="E793" s="176" t="s">
        <v>339</v>
      </c>
      <c r="F793" s="178"/>
      <c r="G793" s="106" t="s">
        <v>428</v>
      </c>
      <c r="H793" s="133"/>
      <c r="I793" s="99"/>
      <c r="K793" s="84"/>
      <c r="L793" s="99">
        <f t="shared" ref="L793:M793" si="760">COUNTIF(A793:A1963,A793)</f>
        <v>1</v>
      </c>
      <c r="M793" s="99">
        <f t="shared" si="760"/>
        <v>1</v>
      </c>
      <c r="N793" s="84"/>
      <c r="O793" s="84"/>
      <c r="P793" s="84"/>
      <c r="Q793" s="84"/>
      <c r="R793" s="84"/>
    </row>
    <row r="794" ht="15.75" customHeight="1">
      <c r="A794" s="129">
        <v>1.2061025E7</v>
      </c>
      <c r="B794" s="106" t="s">
        <v>1953</v>
      </c>
      <c r="C794" s="59"/>
      <c r="D794" s="133"/>
      <c r="E794" s="176" t="s">
        <v>339</v>
      </c>
      <c r="F794" s="178"/>
      <c r="G794" s="106" t="s">
        <v>428</v>
      </c>
      <c r="H794" s="133"/>
      <c r="I794" s="99"/>
      <c r="K794" s="84"/>
      <c r="L794" s="99">
        <f t="shared" ref="L794:M794" si="761">COUNTIF(A794:A1964,A794)</f>
        <v>1</v>
      </c>
      <c r="M794" s="99">
        <f t="shared" si="761"/>
        <v>1</v>
      </c>
      <c r="N794" s="84"/>
      <c r="O794" s="84"/>
      <c r="P794" s="84"/>
      <c r="Q794" s="84"/>
      <c r="R794" s="84"/>
    </row>
    <row r="795" ht="15.75" customHeight="1">
      <c r="A795" s="129">
        <v>1.2061026E7</v>
      </c>
      <c r="B795" s="106" t="s">
        <v>1954</v>
      </c>
      <c r="C795" s="59"/>
      <c r="D795" s="133"/>
      <c r="E795" s="176" t="s">
        <v>339</v>
      </c>
      <c r="F795" s="178"/>
      <c r="G795" s="106" t="s">
        <v>428</v>
      </c>
      <c r="H795" s="133"/>
      <c r="I795" s="99"/>
      <c r="K795" s="84"/>
      <c r="L795" s="99">
        <f t="shared" ref="L795:M795" si="762">COUNTIF(A795:A1965,A795)</f>
        <v>1</v>
      </c>
      <c r="M795" s="99">
        <f t="shared" si="762"/>
        <v>1</v>
      </c>
      <c r="N795" s="84"/>
      <c r="O795" s="84"/>
      <c r="P795" s="84"/>
      <c r="Q795" s="84"/>
      <c r="R795" s="84"/>
    </row>
    <row r="796" ht="15.75" customHeight="1">
      <c r="A796" s="129">
        <v>1.2061027E7</v>
      </c>
      <c r="B796" s="106" t="s">
        <v>1955</v>
      </c>
      <c r="C796" s="59"/>
      <c r="D796" s="133"/>
      <c r="E796" s="176" t="s">
        <v>339</v>
      </c>
      <c r="F796" s="178"/>
      <c r="G796" s="106" t="s">
        <v>428</v>
      </c>
      <c r="H796" s="133"/>
      <c r="I796" s="99"/>
      <c r="K796" s="84"/>
      <c r="L796" s="99">
        <f t="shared" ref="L796:M796" si="763">COUNTIF(A796:A1966,A796)</f>
        <v>1</v>
      </c>
      <c r="M796" s="99">
        <f t="shared" si="763"/>
        <v>1</v>
      </c>
      <c r="N796" s="84"/>
      <c r="O796" s="84"/>
      <c r="P796" s="84"/>
      <c r="Q796" s="84"/>
      <c r="R796" s="84"/>
    </row>
    <row r="797" ht="15.75" customHeight="1">
      <c r="A797" s="129">
        <v>1.2061028E7</v>
      </c>
      <c r="B797" s="106" t="s">
        <v>1956</v>
      </c>
      <c r="C797" s="59"/>
      <c r="D797" s="133"/>
      <c r="E797" s="176" t="s">
        <v>339</v>
      </c>
      <c r="F797" s="178"/>
      <c r="G797" s="106" t="s">
        <v>428</v>
      </c>
      <c r="H797" s="133"/>
      <c r="I797" s="99"/>
      <c r="K797" s="84"/>
      <c r="L797" s="99">
        <f t="shared" ref="L797:M797" si="764">COUNTIF(A797:A1967,A797)</f>
        <v>1</v>
      </c>
      <c r="M797" s="99">
        <f t="shared" si="764"/>
        <v>1</v>
      </c>
      <c r="N797" s="84"/>
      <c r="O797" s="84"/>
      <c r="P797" s="84"/>
      <c r="Q797" s="84"/>
      <c r="R797" s="84"/>
    </row>
    <row r="798" ht="15.75" customHeight="1">
      <c r="A798" s="129">
        <v>1.2061029E7</v>
      </c>
      <c r="B798" s="106" t="s">
        <v>1957</v>
      </c>
      <c r="C798" s="59"/>
      <c r="D798" s="133"/>
      <c r="E798" s="176" t="s">
        <v>339</v>
      </c>
      <c r="F798" s="178"/>
      <c r="G798" s="106" t="s">
        <v>428</v>
      </c>
      <c r="H798" s="133"/>
      <c r="I798" s="99"/>
      <c r="K798" s="84"/>
      <c r="L798" s="99">
        <f t="shared" ref="L798:M798" si="765">COUNTIF(A798:A1968,A798)</f>
        <v>1</v>
      </c>
      <c r="M798" s="99">
        <f t="shared" si="765"/>
        <v>1</v>
      </c>
      <c r="N798" s="84"/>
      <c r="O798" s="84"/>
      <c r="P798" s="84"/>
      <c r="Q798" s="84"/>
      <c r="R798" s="84"/>
    </row>
    <row r="799" ht="15.75" customHeight="1">
      <c r="A799" s="129">
        <v>1.206103E7</v>
      </c>
      <c r="B799" s="106" t="s">
        <v>1958</v>
      </c>
      <c r="C799" s="59"/>
      <c r="D799" s="133"/>
      <c r="E799" s="176" t="s">
        <v>339</v>
      </c>
      <c r="F799" s="178"/>
      <c r="G799" s="106" t="s">
        <v>428</v>
      </c>
      <c r="H799" s="133"/>
      <c r="I799" s="99"/>
      <c r="K799" s="84"/>
      <c r="L799" s="99">
        <f t="shared" ref="L799:M799" si="766">COUNTIF(A799:A1969,A799)</f>
        <v>1</v>
      </c>
      <c r="M799" s="99">
        <f t="shared" si="766"/>
        <v>1</v>
      </c>
      <c r="N799" s="84"/>
      <c r="O799" s="84"/>
      <c r="P799" s="84"/>
      <c r="Q799" s="84"/>
      <c r="R799" s="84"/>
    </row>
    <row r="800" ht="15.75" customHeight="1">
      <c r="A800" s="129">
        <v>1.2061031E7</v>
      </c>
      <c r="B800" s="106" t="s">
        <v>1959</v>
      </c>
      <c r="C800" s="59"/>
      <c r="D800" s="133"/>
      <c r="E800" s="176" t="s">
        <v>339</v>
      </c>
      <c r="F800" s="178"/>
      <c r="G800" s="106" t="s">
        <v>428</v>
      </c>
      <c r="H800" s="133"/>
      <c r="I800" s="99"/>
      <c r="K800" s="84"/>
      <c r="L800" s="99">
        <f t="shared" ref="L800:M800" si="767">COUNTIF(A800:A1970,A800)</f>
        <v>1</v>
      </c>
      <c r="M800" s="99">
        <f t="shared" si="767"/>
        <v>1</v>
      </c>
      <c r="N800" s="84"/>
      <c r="O800" s="84"/>
      <c r="P800" s="84"/>
      <c r="Q800" s="84"/>
      <c r="R800" s="84"/>
    </row>
    <row r="801" ht="15.75" customHeight="1">
      <c r="A801" s="129">
        <v>1.2061032E7</v>
      </c>
      <c r="B801" s="106" t="s">
        <v>1960</v>
      </c>
      <c r="C801" s="59"/>
      <c r="D801" s="133"/>
      <c r="E801" s="176" t="s">
        <v>339</v>
      </c>
      <c r="F801" s="178"/>
      <c r="G801" s="106" t="s">
        <v>428</v>
      </c>
      <c r="H801" s="133"/>
      <c r="I801" s="99"/>
      <c r="K801" s="84"/>
      <c r="L801" s="99">
        <f t="shared" ref="L801:M801" si="768">COUNTIF(A801:A1971,A801)</f>
        <v>1</v>
      </c>
      <c r="M801" s="99">
        <f t="shared" si="768"/>
        <v>1</v>
      </c>
      <c r="N801" s="84"/>
      <c r="O801" s="84"/>
      <c r="P801" s="84"/>
      <c r="Q801" s="84"/>
      <c r="R801" s="84"/>
    </row>
    <row r="802" ht="15.75" customHeight="1">
      <c r="A802" s="129">
        <v>1.2061033E7</v>
      </c>
      <c r="B802" s="106" t="s">
        <v>1961</v>
      </c>
      <c r="C802" s="59"/>
      <c r="D802" s="133"/>
      <c r="E802" s="176" t="s">
        <v>339</v>
      </c>
      <c r="F802" s="178"/>
      <c r="G802" s="106" t="s">
        <v>428</v>
      </c>
      <c r="H802" s="133"/>
      <c r="I802" s="99"/>
      <c r="K802" s="84"/>
      <c r="L802" s="99">
        <f t="shared" ref="L802:M802" si="769">COUNTIF(A802:A1972,A802)</f>
        <v>1</v>
      </c>
      <c r="M802" s="99">
        <f t="shared" si="769"/>
        <v>1</v>
      </c>
      <c r="N802" s="84"/>
      <c r="O802" s="84"/>
      <c r="P802" s="84"/>
      <c r="Q802" s="84"/>
      <c r="R802" s="84"/>
    </row>
    <row r="803" ht="15.75" customHeight="1">
      <c r="A803" s="129">
        <v>1.2061034E7</v>
      </c>
      <c r="B803" s="106" t="s">
        <v>1962</v>
      </c>
      <c r="C803" s="59"/>
      <c r="D803" s="133"/>
      <c r="E803" s="176" t="s">
        <v>339</v>
      </c>
      <c r="F803" s="178"/>
      <c r="G803" s="106" t="s">
        <v>428</v>
      </c>
      <c r="H803" s="133"/>
      <c r="I803" s="99"/>
      <c r="K803" s="84"/>
      <c r="L803" s="99">
        <f t="shared" ref="L803:M803" si="770">COUNTIF(A803:A1973,A803)</f>
        <v>1</v>
      </c>
      <c r="M803" s="99">
        <f t="shared" si="770"/>
        <v>1</v>
      </c>
      <c r="N803" s="84"/>
      <c r="O803" s="84"/>
      <c r="P803" s="84"/>
      <c r="Q803" s="84"/>
      <c r="R803" s="84"/>
    </row>
    <row r="804" ht="15.75" customHeight="1">
      <c r="A804" s="129">
        <v>1.2061035E7</v>
      </c>
      <c r="B804" s="106" t="s">
        <v>1963</v>
      </c>
      <c r="C804" s="59"/>
      <c r="D804" s="133"/>
      <c r="E804" s="176" t="s">
        <v>339</v>
      </c>
      <c r="F804" s="178"/>
      <c r="G804" s="106" t="s">
        <v>428</v>
      </c>
      <c r="H804" s="133"/>
      <c r="I804" s="99"/>
      <c r="K804" s="84"/>
      <c r="L804" s="99">
        <f t="shared" ref="L804:M804" si="771">COUNTIF(A804:A1974,A804)</f>
        <v>1</v>
      </c>
      <c r="M804" s="99">
        <f t="shared" si="771"/>
        <v>1</v>
      </c>
      <c r="N804" s="84"/>
      <c r="O804" s="84"/>
      <c r="P804" s="84"/>
      <c r="Q804" s="84"/>
      <c r="R804" s="84"/>
    </row>
    <row r="805" ht="15.75" customHeight="1">
      <c r="A805" s="129">
        <v>1.2061036E7</v>
      </c>
      <c r="B805" s="106" t="s">
        <v>1964</v>
      </c>
      <c r="C805" s="59"/>
      <c r="D805" s="133"/>
      <c r="E805" s="176" t="s">
        <v>339</v>
      </c>
      <c r="F805" s="178"/>
      <c r="G805" s="106" t="s">
        <v>428</v>
      </c>
      <c r="H805" s="133"/>
      <c r="I805" s="99"/>
      <c r="K805" s="84"/>
      <c r="L805" s="99">
        <f t="shared" ref="L805:M805" si="772">COUNTIF(A805:A1975,A805)</f>
        <v>1</v>
      </c>
      <c r="M805" s="99">
        <f t="shared" si="772"/>
        <v>1</v>
      </c>
      <c r="N805" s="84"/>
      <c r="O805" s="84"/>
      <c r="P805" s="84"/>
      <c r="Q805" s="84"/>
      <c r="R805" s="84"/>
    </row>
    <row r="806" ht="15.75" customHeight="1">
      <c r="A806" s="129">
        <v>1.2061037E7</v>
      </c>
      <c r="B806" s="106" t="s">
        <v>1965</v>
      </c>
      <c r="C806" s="59"/>
      <c r="D806" s="133"/>
      <c r="E806" s="176" t="s">
        <v>339</v>
      </c>
      <c r="F806" s="178"/>
      <c r="G806" s="106" t="s">
        <v>428</v>
      </c>
      <c r="H806" s="133"/>
      <c r="I806" s="99"/>
      <c r="K806" s="84"/>
      <c r="L806" s="99">
        <f t="shared" ref="L806:M806" si="773">COUNTIF(A806:A1976,A806)</f>
        <v>1</v>
      </c>
      <c r="M806" s="99">
        <f t="shared" si="773"/>
        <v>1</v>
      </c>
      <c r="N806" s="84"/>
      <c r="O806" s="84"/>
      <c r="P806" s="84"/>
      <c r="Q806" s="84"/>
      <c r="R806" s="84"/>
    </row>
    <row r="807" ht="15.75" customHeight="1">
      <c r="A807" s="129">
        <v>1.2061038E7</v>
      </c>
      <c r="B807" s="106" t="s">
        <v>1966</v>
      </c>
      <c r="C807" s="59"/>
      <c r="D807" s="133"/>
      <c r="E807" s="176" t="s">
        <v>339</v>
      </c>
      <c r="F807" s="178"/>
      <c r="G807" s="106" t="s">
        <v>428</v>
      </c>
      <c r="H807" s="133"/>
      <c r="I807" s="99"/>
      <c r="K807" s="84"/>
      <c r="L807" s="99">
        <f t="shared" ref="L807:M807" si="774">COUNTIF(A807:A1977,A807)</f>
        <v>1</v>
      </c>
      <c r="M807" s="99">
        <f t="shared" si="774"/>
        <v>1</v>
      </c>
      <c r="N807" s="84"/>
      <c r="O807" s="84"/>
      <c r="P807" s="84"/>
      <c r="Q807" s="84"/>
      <c r="R807" s="84"/>
    </row>
    <row r="808" ht="15.75" customHeight="1">
      <c r="A808" s="129">
        <v>1.2061039E7</v>
      </c>
      <c r="B808" s="106" t="s">
        <v>1967</v>
      </c>
      <c r="C808" s="59"/>
      <c r="D808" s="133"/>
      <c r="E808" s="176" t="s">
        <v>339</v>
      </c>
      <c r="F808" s="178"/>
      <c r="G808" s="106" t="s">
        <v>428</v>
      </c>
      <c r="H808" s="133"/>
      <c r="I808" s="99"/>
      <c r="K808" s="119"/>
      <c r="L808" s="99">
        <f t="shared" ref="L808:M808" si="775">COUNTIF(A808:A1978,A808)</f>
        <v>1</v>
      </c>
      <c r="M808" s="99">
        <f t="shared" si="775"/>
        <v>1</v>
      </c>
      <c r="N808" s="119"/>
      <c r="O808" s="119"/>
      <c r="P808" s="119"/>
      <c r="Q808" s="119"/>
      <c r="R808" s="119"/>
    </row>
    <row r="809" ht="15.75" customHeight="1">
      <c r="A809" s="129">
        <v>1.206104E7</v>
      </c>
      <c r="B809" s="106" t="s">
        <v>1968</v>
      </c>
      <c r="C809" s="59"/>
      <c r="D809" s="133"/>
      <c r="E809" s="176" t="s">
        <v>339</v>
      </c>
      <c r="F809" s="178"/>
      <c r="G809" s="106" t="s">
        <v>428</v>
      </c>
      <c r="H809" s="133"/>
      <c r="I809" s="99"/>
      <c r="K809" s="120"/>
      <c r="L809" s="99">
        <f t="shared" ref="L809:M809" si="776">COUNTIF(A809:A1979,A809)</f>
        <v>1</v>
      </c>
      <c r="M809" s="99">
        <f t="shared" si="776"/>
        <v>1</v>
      </c>
      <c r="N809" s="120"/>
      <c r="O809" s="120"/>
      <c r="P809" s="120"/>
      <c r="Q809" s="120"/>
      <c r="R809" s="120"/>
    </row>
    <row r="810" ht="15.75" customHeight="1">
      <c r="A810" s="194"/>
      <c r="B810" s="134"/>
      <c r="C810" s="59"/>
      <c r="D810" s="133"/>
      <c r="E810" s="172"/>
      <c r="F810" s="178"/>
      <c r="G810" s="134"/>
      <c r="H810" s="133"/>
      <c r="I810" s="99"/>
      <c r="K810" s="84"/>
      <c r="L810" s="99">
        <f t="shared" ref="L810:M810" si="777">COUNTIF(A810:A1980,A810)</f>
        <v>0</v>
      </c>
      <c r="M810" s="99">
        <f t="shared" si="777"/>
        <v>0</v>
      </c>
      <c r="N810" s="84"/>
      <c r="O810" s="84"/>
      <c r="P810" s="84"/>
      <c r="Q810" s="84"/>
      <c r="R810" s="84"/>
    </row>
    <row r="811" ht="15.75" customHeight="1">
      <c r="A811" s="129">
        <v>1.2099103E7</v>
      </c>
      <c r="B811" s="106" t="s">
        <v>1969</v>
      </c>
      <c r="C811" s="59"/>
      <c r="D811" s="133"/>
      <c r="E811" s="188" t="s">
        <v>247</v>
      </c>
      <c r="F811" s="188" t="s">
        <v>247</v>
      </c>
      <c r="G811" s="159"/>
      <c r="H811" s="133"/>
      <c r="I811" s="99"/>
      <c r="K811" s="84"/>
      <c r="L811" s="99">
        <f t="shared" ref="L811:M811" si="778">COUNTIF(A811:A1981,A811)</f>
        <v>1</v>
      </c>
      <c r="M811" s="99">
        <f t="shared" si="778"/>
        <v>1</v>
      </c>
      <c r="N811" s="84"/>
      <c r="O811" s="84"/>
      <c r="P811" s="84"/>
      <c r="Q811" s="84"/>
      <c r="R811" s="84"/>
    </row>
    <row r="812" ht="15.75" customHeight="1">
      <c r="A812" s="129">
        <v>1.2099104E7</v>
      </c>
      <c r="B812" s="106" t="s">
        <v>1970</v>
      </c>
      <c r="C812" s="59"/>
      <c r="D812" s="133"/>
      <c r="E812" s="188" t="s">
        <v>1448</v>
      </c>
      <c r="F812" s="188" t="s">
        <v>1448</v>
      </c>
      <c r="G812" s="159"/>
      <c r="H812" s="133"/>
      <c r="I812" s="99"/>
      <c r="K812" s="84"/>
      <c r="L812" s="99">
        <f t="shared" ref="L812:M812" si="779">COUNTIF(A812:A1982,A812)</f>
        <v>1</v>
      </c>
      <c r="M812" s="99">
        <f t="shared" si="779"/>
        <v>1</v>
      </c>
      <c r="N812" s="84"/>
      <c r="O812" s="84"/>
      <c r="P812" s="84"/>
      <c r="Q812" s="84"/>
      <c r="R812" s="84"/>
    </row>
    <row r="813" ht="15.75" customHeight="1">
      <c r="A813" s="129">
        <v>1.2062001E7</v>
      </c>
      <c r="B813" s="106" t="s">
        <v>1971</v>
      </c>
      <c r="C813" s="59"/>
      <c r="D813" s="133"/>
      <c r="E813" s="176" t="s">
        <v>247</v>
      </c>
      <c r="F813" s="176" t="s">
        <v>235</v>
      </c>
      <c r="G813" s="159"/>
      <c r="H813" s="133"/>
      <c r="I813" s="99"/>
      <c r="K813" s="84"/>
      <c r="L813" s="99">
        <f t="shared" ref="L813:M813" si="780">COUNTIF(A813:A1983,A813)</f>
        <v>1</v>
      </c>
      <c r="M813" s="99">
        <f t="shared" si="780"/>
        <v>1</v>
      </c>
      <c r="N813" s="84"/>
      <c r="O813" s="84"/>
      <c r="P813" s="84"/>
      <c r="Q813" s="84"/>
      <c r="R813" s="84"/>
    </row>
    <row r="814" ht="15.75" customHeight="1">
      <c r="A814" s="129">
        <v>1.2062002E7</v>
      </c>
      <c r="B814" s="106" t="s">
        <v>1972</v>
      </c>
      <c r="C814" s="59"/>
      <c r="D814" s="133"/>
      <c r="E814" s="188" t="s">
        <v>247</v>
      </c>
      <c r="F814" s="176" t="s">
        <v>248</v>
      </c>
      <c r="G814" s="159"/>
      <c r="H814" s="133"/>
      <c r="I814" s="99"/>
      <c r="K814" s="84"/>
      <c r="L814" s="99">
        <f t="shared" ref="L814:M814" si="781">COUNTIF(A814:A1984,A814)</f>
        <v>1</v>
      </c>
      <c r="M814" s="99">
        <f t="shared" si="781"/>
        <v>1</v>
      </c>
      <c r="N814" s="84"/>
      <c r="O814" s="84"/>
      <c r="P814" s="84"/>
      <c r="Q814" s="84"/>
      <c r="R814" s="84"/>
    </row>
    <row r="815" ht="15.75" customHeight="1">
      <c r="A815" s="129">
        <v>1.2062003E7</v>
      </c>
      <c r="B815" s="106" t="s">
        <v>1973</v>
      </c>
      <c r="C815" s="59"/>
      <c r="D815" s="133"/>
      <c r="E815" s="176" t="s">
        <v>247</v>
      </c>
      <c r="F815" s="188" t="s">
        <v>247</v>
      </c>
      <c r="G815" s="134"/>
      <c r="H815" s="133"/>
      <c r="I815" s="99"/>
      <c r="K815" s="84"/>
      <c r="L815" s="99">
        <f t="shared" ref="L815:M815" si="782">COUNTIF(A815:A1985,A815)</f>
        <v>1</v>
      </c>
      <c r="M815" s="99">
        <f t="shared" si="782"/>
        <v>1</v>
      </c>
      <c r="N815" s="84"/>
      <c r="O815" s="84"/>
      <c r="P815" s="84"/>
      <c r="Q815" s="84"/>
      <c r="R815" s="84"/>
    </row>
    <row r="816" ht="15.75" customHeight="1">
      <c r="A816" s="129">
        <v>1.2062004E7</v>
      </c>
      <c r="B816" s="106" t="s">
        <v>1974</v>
      </c>
      <c r="C816" s="59"/>
      <c r="D816" s="133"/>
      <c r="E816" s="188" t="s">
        <v>235</v>
      </c>
      <c r="F816" s="176" t="s">
        <v>1302</v>
      </c>
      <c r="G816" s="159"/>
      <c r="H816" s="133"/>
      <c r="I816" s="99"/>
      <c r="K816" s="84"/>
      <c r="L816" s="99">
        <f t="shared" ref="L816:M816" si="783">COUNTIF(A816:A1986,A816)</f>
        <v>1</v>
      </c>
      <c r="M816" s="99">
        <f t="shared" si="783"/>
        <v>1</v>
      </c>
      <c r="N816" s="84"/>
      <c r="O816" s="84"/>
      <c r="P816" s="84"/>
      <c r="Q816" s="84"/>
      <c r="R816" s="84"/>
    </row>
    <row r="817" ht="15.75" customHeight="1">
      <c r="A817" s="129">
        <v>1.2062005E7</v>
      </c>
      <c r="B817" s="106" t="s">
        <v>1975</v>
      </c>
      <c r="C817" s="59"/>
      <c r="D817" s="133"/>
      <c r="E817" s="176" t="s">
        <v>339</v>
      </c>
      <c r="F817" s="178"/>
      <c r="G817" s="106" t="s">
        <v>428</v>
      </c>
      <c r="H817" s="133"/>
      <c r="I817" s="99"/>
      <c r="K817" s="84"/>
      <c r="L817" s="99">
        <f t="shared" ref="L817:M817" si="784">COUNTIF(A817:A1987,A817)</f>
        <v>1</v>
      </c>
      <c r="M817" s="99">
        <f t="shared" si="784"/>
        <v>1</v>
      </c>
      <c r="N817" s="84"/>
      <c r="O817" s="84"/>
      <c r="P817" s="84"/>
      <c r="Q817" s="84"/>
      <c r="R817" s="84"/>
    </row>
    <row r="818" ht="15.75" customHeight="1">
      <c r="A818" s="129">
        <v>1.2062006E7</v>
      </c>
      <c r="B818" s="106" t="s">
        <v>1976</v>
      </c>
      <c r="C818" s="59"/>
      <c r="D818" s="133"/>
      <c r="E818" s="176" t="s">
        <v>339</v>
      </c>
      <c r="F818" s="178"/>
      <c r="G818" s="106" t="s">
        <v>428</v>
      </c>
      <c r="H818" s="133"/>
      <c r="I818" s="99"/>
      <c r="K818" s="84"/>
      <c r="L818" s="99">
        <f t="shared" ref="L818:M818" si="785">COUNTIF(A818:A1988,A818)</f>
        <v>1</v>
      </c>
      <c r="M818" s="99">
        <f t="shared" si="785"/>
        <v>1</v>
      </c>
      <c r="N818" s="84"/>
      <c r="O818" s="84"/>
      <c r="P818" s="84"/>
      <c r="Q818" s="84"/>
      <c r="R818" s="84"/>
    </row>
    <row r="819" ht="15.75" customHeight="1">
      <c r="A819" s="129">
        <v>1.2062007E7</v>
      </c>
      <c r="B819" s="106" t="s">
        <v>1977</v>
      </c>
      <c r="C819" s="59"/>
      <c r="D819" s="133"/>
      <c r="E819" s="176" t="s">
        <v>339</v>
      </c>
      <c r="F819" s="178"/>
      <c r="G819" s="106" t="s">
        <v>428</v>
      </c>
      <c r="H819" s="133"/>
      <c r="I819" s="99"/>
      <c r="K819" s="84"/>
      <c r="L819" s="99">
        <f t="shared" ref="L819:M819" si="786">COUNTIF(A819:A1989,A819)</f>
        <v>1</v>
      </c>
      <c r="M819" s="99">
        <f t="shared" si="786"/>
        <v>1</v>
      </c>
      <c r="N819" s="84"/>
      <c r="O819" s="84"/>
      <c r="P819" s="84"/>
      <c r="Q819" s="84"/>
      <c r="R819" s="84"/>
    </row>
    <row r="820" ht="15.75" customHeight="1">
      <c r="A820" s="129">
        <v>1.2062008E7</v>
      </c>
      <c r="B820" s="106" t="s">
        <v>1978</v>
      </c>
      <c r="C820" s="59"/>
      <c r="D820" s="133"/>
      <c r="E820" s="176" t="s">
        <v>339</v>
      </c>
      <c r="F820" s="178"/>
      <c r="G820" s="106" t="s">
        <v>428</v>
      </c>
      <c r="H820" s="133"/>
      <c r="I820" s="99"/>
      <c r="K820" s="84"/>
      <c r="L820" s="99">
        <f t="shared" ref="L820:M820" si="787">COUNTIF(A820:A1990,A820)</f>
        <v>1</v>
      </c>
      <c r="M820" s="99">
        <f t="shared" si="787"/>
        <v>1</v>
      </c>
      <c r="N820" s="84"/>
      <c r="O820" s="84"/>
      <c r="P820" s="84"/>
      <c r="Q820" s="84"/>
      <c r="R820" s="84"/>
    </row>
    <row r="821" ht="15.75" customHeight="1">
      <c r="A821" s="129">
        <v>1.2062009E7</v>
      </c>
      <c r="B821" s="106" t="s">
        <v>1979</v>
      </c>
      <c r="C821" s="59"/>
      <c r="D821" s="133"/>
      <c r="E821" s="176" t="s">
        <v>339</v>
      </c>
      <c r="F821" s="178"/>
      <c r="G821" s="106" t="s">
        <v>428</v>
      </c>
      <c r="H821" s="133"/>
      <c r="I821" s="99"/>
      <c r="K821" s="84"/>
      <c r="L821" s="99">
        <f t="shared" ref="L821:M821" si="788">COUNTIF(A821:A1991,A821)</f>
        <v>1</v>
      </c>
      <c r="M821" s="99">
        <f t="shared" si="788"/>
        <v>1</v>
      </c>
      <c r="N821" s="84"/>
      <c r="O821" s="84"/>
      <c r="P821" s="84"/>
      <c r="Q821" s="84"/>
      <c r="R821" s="84"/>
    </row>
    <row r="822" ht="15.75" customHeight="1">
      <c r="A822" s="129">
        <v>1.206201E7</v>
      </c>
      <c r="B822" s="106" t="s">
        <v>1980</v>
      </c>
      <c r="C822" s="59"/>
      <c r="D822" s="133"/>
      <c r="E822" s="176" t="s">
        <v>339</v>
      </c>
      <c r="F822" s="178"/>
      <c r="G822" s="106" t="s">
        <v>428</v>
      </c>
      <c r="H822" s="133"/>
      <c r="I822" s="99"/>
      <c r="K822" s="84"/>
      <c r="L822" s="99">
        <f t="shared" ref="L822:M822" si="789">COUNTIF(A822:A1992,A822)</f>
        <v>1</v>
      </c>
      <c r="M822" s="99">
        <f t="shared" si="789"/>
        <v>1</v>
      </c>
      <c r="N822" s="84"/>
      <c r="O822" s="84"/>
      <c r="P822" s="84"/>
      <c r="Q822" s="84"/>
      <c r="R822" s="84"/>
    </row>
    <row r="823" ht="15.75" customHeight="1">
      <c r="A823" s="129">
        <v>1.2062011E7</v>
      </c>
      <c r="B823" s="106" t="s">
        <v>1981</v>
      </c>
      <c r="C823" s="59"/>
      <c r="D823" s="133"/>
      <c r="E823" s="176" t="s">
        <v>339</v>
      </c>
      <c r="F823" s="178"/>
      <c r="G823" s="106" t="s">
        <v>428</v>
      </c>
      <c r="H823" s="133"/>
      <c r="I823" s="99"/>
      <c r="K823" s="84"/>
      <c r="L823" s="99">
        <f t="shared" ref="L823:M823" si="790">COUNTIF(A823:A1993,A823)</f>
        <v>1</v>
      </c>
      <c r="M823" s="99">
        <f t="shared" si="790"/>
        <v>1</v>
      </c>
      <c r="N823" s="84"/>
      <c r="O823" s="84"/>
      <c r="P823" s="84"/>
      <c r="Q823" s="84"/>
      <c r="R823" s="84"/>
    </row>
    <row r="824" ht="15.75" customHeight="1">
      <c r="A824" s="129">
        <v>1.2062012E7</v>
      </c>
      <c r="B824" s="106" t="s">
        <v>1982</v>
      </c>
      <c r="C824" s="59"/>
      <c r="D824" s="133"/>
      <c r="E824" s="176" t="s">
        <v>339</v>
      </c>
      <c r="F824" s="178"/>
      <c r="G824" s="106" t="s">
        <v>428</v>
      </c>
      <c r="H824" s="133"/>
      <c r="I824" s="99"/>
      <c r="K824" s="84"/>
      <c r="L824" s="99">
        <f t="shared" ref="L824:M824" si="791">COUNTIF(A824:A1994,A824)</f>
        <v>1</v>
      </c>
      <c r="M824" s="99">
        <f t="shared" si="791"/>
        <v>1</v>
      </c>
      <c r="N824" s="84"/>
      <c r="O824" s="84"/>
      <c r="P824" s="84"/>
      <c r="Q824" s="84"/>
      <c r="R824" s="84"/>
    </row>
    <row r="825" ht="15.75" customHeight="1">
      <c r="A825" s="129">
        <v>1.2062013E7</v>
      </c>
      <c r="B825" s="106" t="s">
        <v>1983</v>
      </c>
      <c r="C825" s="59"/>
      <c r="D825" s="133"/>
      <c r="E825" s="176" t="s">
        <v>339</v>
      </c>
      <c r="F825" s="178"/>
      <c r="G825" s="106" t="s">
        <v>428</v>
      </c>
      <c r="H825" s="133"/>
      <c r="I825" s="99"/>
      <c r="K825" s="84"/>
      <c r="L825" s="99">
        <f t="shared" ref="L825:M825" si="792">COUNTIF(A825:A1995,A825)</f>
        <v>1</v>
      </c>
      <c r="M825" s="99">
        <f t="shared" si="792"/>
        <v>1</v>
      </c>
      <c r="N825" s="84"/>
      <c r="O825" s="84"/>
      <c r="P825" s="84"/>
      <c r="Q825" s="84"/>
      <c r="R825" s="84"/>
    </row>
    <row r="826" ht="15.75" customHeight="1">
      <c r="A826" s="129">
        <v>1.2062014E7</v>
      </c>
      <c r="B826" s="106" t="s">
        <v>1984</v>
      </c>
      <c r="C826" s="59"/>
      <c r="D826" s="133"/>
      <c r="E826" s="176" t="s">
        <v>339</v>
      </c>
      <c r="F826" s="178"/>
      <c r="G826" s="106" t="s">
        <v>428</v>
      </c>
      <c r="H826" s="133"/>
      <c r="I826" s="99"/>
      <c r="K826" s="84"/>
      <c r="L826" s="99">
        <f t="shared" ref="L826:M826" si="793">COUNTIF(A826:A1996,A826)</f>
        <v>1</v>
      </c>
      <c r="M826" s="99">
        <f t="shared" si="793"/>
        <v>1</v>
      </c>
      <c r="N826" s="84"/>
      <c r="O826" s="84"/>
      <c r="P826" s="84"/>
      <c r="Q826" s="84"/>
      <c r="R826" s="84"/>
    </row>
    <row r="827" ht="15.75" customHeight="1">
      <c r="A827" s="129">
        <v>1.2062015E7</v>
      </c>
      <c r="B827" s="106" t="s">
        <v>1985</v>
      </c>
      <c r="C827" s="59"/>
      <c r="D827" s="133"/>
      <c r="E827" s="176" t="s">
        <v>339</v>
      </c>
      <c r="F827" s="178"/>
      <c r="G827" s="106" t="s">
        <v>428</v>
      </c>
      <c r="H827" s="133"/>
      <c r="I827" s="99"/>
      <c r="K827" s="121"/>
      <c r="L827" s="99">
        <f t="shared" ref="L827:M827" si="794">COUNTIF(A827:A1997,A827)</f>
        <v>1</v>
      </c>
      <c r="M827" s="99">
        <f t="shared" si="794"/>
        <v>1</v>
      </c>
      <c r="N827" s="121"/>
      <c r="O827" s="121"/>
      <c r="P827" s="121"/>
      <c r="Q827" s="121"/>
      <c r="R827" s="121"/>
    </row>
    <row r="828" ht="15.75" customHeight="1">
      <c r="A828" s="129">
        <v>1.2062016E7</v>
      </c>
      <c r="B828" s="106" t="s">
        <v>1986</v>
      </c>
      <c r="C828" s="59"/>
      <c r="D828" s="133"/>
      <c r="E828" s="176" t="s">
        <v>339</v>
      </c>
      <c r="F828" s="178"/>
      <c r="G828" s="106" t="s">
        <v>428</v>
      </c>
      <c r="H828" s="133"/>
      <c r="I828" s="99"/>
      <c r="K828" s="121"/>
      <c r="L828" s="99">
        <f t="shared" ref="L828:M828" si="795">COUNTIF(A828:A1998,A828)</f>
        <v>1</v>
      </c>
      <c r="M828" s="99">
        <f t="shared" si="795"/>
        <v>1</v>
      </c>
      <c r="N828" s="121"/>
      <c r="O828" s="121"/>
      <c r="P828" s="121"/>
      <c r="Q828" s="121"/>
      <c r="R828" s="121"/>
    </row>
    <row r="829" ht="15.75" customHeight="1">
      <c r="A829" s="129">
        <v>1.2062017E7</v>
      </c>
      <c r="B829" s="106" t="s">
        <v>1987</v>
      </c>
      <c r="C829" s="59"/>
      <c r="D829" s="133"/>
      <c r="E829" s="176" t="s">
        <v>339</v>
      </c>
      <c r="F829" s="178"/>
      <c r="G829" s="106" t="s">
        <v>428</v>
      </c>
      <c r="H829" s="133"/>
      <c r="I829" s="99"/>
      <c r="K829" s="121"/>
      <c r="L829" s="99">
        <f t="shared" ref="L829:M829" si="796">COUNTIF(A829:A1999,A829)</f>
        <v>1</v>
      </c>
      <c r="M829" s="99">
        <f t="shared" si="796"/>
        <v>1</v>
      </c>
      <c r="N829" s="121"/>
      <c r="O829" s="121"/>
      <c r="P829" s="121"/>
      <c r="Q829" s="121"/>
      <c r="R829" s="121"/>
    </row>
    <row r="830" ht="15.75" customHeight="1">
      <c r="A830" s="129">
        <v>1.2062018E7</v>
      </c>
      <c r="B830" s="106" t="s">
        <v>1988</v>
      </c>
      <c r="C830" s="59"/>
      <c r="D830" s="133"/>
      <c r="E830" s="176" t="s">
        <v>339</v>
      </c>
      <c r="F830" s="178"/>
      <c r="G830" s="106" t="s">
        <v>428</v>
      </c>
      <c r="H830" s="133"/>
      <c r="I830" s="99"/>
      <c r="K830" s="121"/>
      <c r="L830" s="99">
        <f t="shared" ref="L830:M830" si="797">COUNTIF(A830:A2000,A830)</f>
        <v>1</v>
      </c>
      <c r="M830" s="99">
        <f t="shared" si="797"/>
        <v>1</v>
      </c>
      <c r="N830" s="121"/>
      <c r="O830" s="121"/>
      <c r="P830" s="121"/>
      <c r="Q830" s="121"/>
      <c r="R830" s="121"/>
    </row>
    <row r="831" ht="15.75" customHeight="1">
      <c r="A831" s="129">
        <v>1.2062019E7</v>
      </c>
      <c r="B831" s="106" t="s">
        <v>1989</v>
      </c>
      <c r="C831" s="59"/>
      <c r="D831" s="133"/>
      <c r="E831" s="176" t="s">
        <v>339</v>
      </c>
      <c r="F831" s="178"/>
      <c r="G831" s="106" t="s">
        <v>428</v>
      </c>
      <c r="H831" s="133"/>
      <c r="I831" s="99"/>
      <c r="K831" s="84"/>
      <c r="L831" s="99">
        <f t="shared" ref="L831:M831" si="798">COUNTIF(A831:A2001,A831)</f>
        <v>1</v>
      </c>
      <c r="M831" s="99">
        <f t="shared" si="798"/>
        <v>1</v>
      </c>
      <c r="N831" s="84"/>
      <c r="O831" s="84"/>
      <c r="P831" s="84"/>
      <c r="Q831" s="84"/>
      <c r="R831" s="84"/>
    </row>
    <row r="832" ht="15.75" customHeight="1">
      <c r="A832" s="129">
        <v>1.206202E7</v>
      </c>
      <c r="B832" s="106" t="s">
        <v>1990</v>
      </c>
      <c r="C832" s="59"/>
      <c r="D832" s="133"/>
      <c r="E832" s="176" t="s">
        <v>339</v>
      </c>
      <c r="F832" s="178"/>
      <c r="G832" s="106" t="s">
        <v>428</v>
      </c>
      <c r="H832" s="133"/>
      <c r="I832" s="99"/>
      <c r="K832" s="84"/>
      <c r="L832" s="99">
        <f t="shared" ref="L832:M832" si="799">COUNTIF(A832:A2002,A832)</f>
        <v>1</v>
      </c>
      <c r="M832" s="99">
        <f t="shared" si="799"/>
        <v>1</v>
      </c>
      <c r="N832" s="84"/>
      <c r="O832" s="84"/>
      <c r="P832" s="84"/>
      <c r="Q832" s="84"/>
      <c r="R832" s="84"/>
    </row>
    <row r="833" ht="15.75" customHeight="1">
      <c r="A833" s="129">
        <v>1.2062021E7</v>
      </c>
      <c r="B833" s="106" t="s">
        <v>1991</v>
      </c>
      <c r="C833" s="59"/>
      <c r="D833" s="133"/>
      <c r="E833" s="176" t="s">
        <v>339</v>
      </c>
      <c r="F833" s="178"/>
      <c r="G833" s="106" t="s">
        <v>428</v>
      </c>
      <c r="H833" s="133"/>
      <c r="I833" s="99"/>
      <c r="K833" s="84"/>
      <c r="L833" s="99">
        <f t="shared" ref="L833:M833" si="800">COUNTIF(A833:A2003,A833)</f>
        <v>1</v>
      </c>
      <c r="M833" s="99">
        <f t="shared" si="800"/>
        <v>1</v>
      </c>
      <c r="N833" s="84"/>
      <c r="O833" s="84"/>
      <c r="P833" s="84"/>
      <c r="Q833" s="84"/>
      <c r="R833" s="84"/>
    </row>
    <row r="834" ht="15.75" customHeight="1">
      <c r="A834" s="129">
        <v>1.2062022E7</v>
      </c>
      <c r="B834" s="106" t="s">
        <v>1992</v>
      </c>
      <c r="C834" s="59"/>
      <c r="D834" s="133"/>
      <c r="E834" s="176" t="s">
        <v>339</v>
      </c>
      <c r="F834" s="178"/>
      <c r="G834" s="106" t="s">
        <v>428</v>
      </c>
      <c r="H834" s="133"/>
      <c r="I834" s="99"/>
      <c r="K834" s="84"/>
      <c r="L834" s="99">
        <f t="shared" ref="L834:M834" si="801">COUNTIF(A834:A2004,A834)</f>
        <v>1</v>
      </c>
      <c r="M834" s="99">
        <f t="shared" si="801"/>
        <v>1</v>
      </c>
      <c r="N834" s="84"/>
      <c r="O834" s="84"/>
      <c r="P834" s="84"/>
      <c r="Q834" s="84"/>
      <c r="R834" s="84"/>
    </row>
    <row r="835" ht="15.75" customHeight="1">
      <c r="A835" s="129">
        <v>1.2062023E7</v>
      </c>
      <c r="B835" s="106" t="s">
        <v>1993</v>
      </c>
      <c r="C835" s="59"/>
      <c r="D835" s="133"/>
      <c r="E835" s="176" t="s">
        <v>339</v>
      </c>
      <c r="F835" s="178"/>
      <c r="G835" s="106" t="s">
        <v>428</v>
      </c>
      <c r="H835" s="133"/>
      <c r="I835" s="99"/>
      <c r="K835" s="84"/>
      <c r="L835" s="99">
        <f t="shared" ref="L835:M835" si="802">COUNTIF(A835:A2005,A835)</f>
        <v>1</v>
      </c>
      <c r="M835" s="99">
        <f t="shared" si="802"/>
        <v>1</v>
      </c>
      <c r="N835" s="84"/>
      <c r="O835" s="84"/>
      <c r="P835" s="84"/>
      <c r="Q835" s="84"/>
      <c r="R835" s="84"/>
    </row>
    <row r="836" ht="15.75" customHeight="1">
      <c r="A836" s="129">
        <v>1.2062024E7</v>
      </c>
      <c r="B836" s="106" t="s">
        <v>1994</v>
      </c>
      <c r="C836" s="59"/>
      <c r="D836" s="133"/>
      <c r="E836" s="176" t="s">
        <v>339</v>
      </c>
      <c r="F836" s="178"/>
      <c r="G836" s="106" t="s">
        <v>428</v>
      </c>
      <c r="H836" s="133"/>
      <c r="I836" s="99"/>
      <c r="K836" s="84"/>
      <c r="L836" s="99">
        <f t="shared" ref="L836:M836" si="803">COUNTIF(A836:A2006,A836)</f>
        <v>1</v>
      </c>
      <c r="M836" s="99">
        <f t="shared" si="803"/>
        <v>1</v>
      </c>
      <c r="N836" s="84"/>
      <c r="O836" s="84"/>
      <c r="P836" s="84"/>
      <c r="Q836" s="84"/>
      <c r="R836" s="84"/>
    </row>
    <row r="837" ht="15.75" customHeight="1">
      <c r="A837" s="129">
        <v>1.2062025E7</v>
      </c>
      <c r="B837" s="106" t="s">
        <v>1995</v>
      </c>
      <c r="C837" s="59"/>
      <c r="D837" s="133"/>
      <c r="E837" s="176" t="s">
        <v>339</v>
      </c>
      <c r="F837" s="178"/>
      <c r="G837" s="106" t="s">
        <v>428</v>
      </c>
      <c r="H837" s="133"/>
      <c r="I837" s="99"/>
      <c r="K837" s="84"/>
      <c r="L837" s="99">
        <f t="shared" ref="L837:M837" si="804">COUNTIF(A837:A2007,A837)</f>
        <v>1</v>
      </c>
      <c r="M837" s="99">
        <f t="shared" si="804"/>
        <v>1</v>
      </c>
      <c r="N837" s="84"/>
      <c r="O837" s="84"/>
      <c r="P837" s="84"/>
      <c r="Q837" s="84"/>
      <c r="R837" s="84"/>
    </row>
    <row r="838" ht="15.75" customHeight="1">
      <c r="A838" s="129">
        <v>1.2062026E7</v>
      </c>
      <c r="B838" s="106" t="s">
        <v>1996</v>
      </c>
      <c r="C838" s="59"/>
      <c r="D838" s="133"/>
      <c r="E838" s="176" t="s">
        <v>339</v>
      </c>
      <c r="F838" s="178"/>
      <c r="G838" s="106" t="s">
        <v>428</v>
      </c>
      <c r="H838" s="133"/>
      <c r="I838" s="99"/>
      <c r="K838" s="84"/>
      <c r="L838" s="99">
        <f t="shared" ref="L838:M838" si="805">COUNTIF(A838:A2008,A838)</f>
        <v>1</v>
      </c>
      <c r="M838" s="99">
        <f t="shared" si="805"/>
        <v>1</v>
      </c>
      <c r="N838" s="84"/>
      <c r="O838" s="84"/>
      <c r="P838" s="84"/>
      <c r="Q838" s="84"/>
      <c r="R838" s="84"/>
    </row>
    <row r="839" ht="15.75" customHeight="1">
      <c r="A839" s="129">
        <v>1.2062027E7</v>
      </c>
      <c r="B839" s="106" t="s">
        <v>1997</v>
      </c>
      <c r="C839" s="59"/>
      <c r="D839" s="133"/>
      <c r="E839" s="176" t="s">
        <v>339</v>
      </c>
      <c r="F839" s="178"/>
      <c r="G839" s="106" t="s">
        <v>428</v>
      </c>
      <c r="H839" s="133"/>
      <c r="I839" s="99"/>
      <c r="K839" s="84"/>
      <c r="L839" s="99">
        <f t="shared" ref="L839:M839" si="806">COUNTIF(A839:A2009,A839)</f>
        <v>1</v>
      </c>
      <c r="M839" s="99">
        <f t="shared" si="806"/>
        <v>1</v>
      </c>
      <c r="N839" s="84"/>
      <c r="O839" s="84"/>
      <c r="P839" s="84"/>
      <c r="Q839" s="84"/>
      <c r="R839" s="84"/>
    </row>
    <row r="840" ht="15.75" customHeight="1">
      <c r="A840" s="129">
        <v>1.2062028E7</v>
      </c>
      <c r="B840" s="106" t="s">
        <v>1998</v>
      </c>
      <c r="C840" s="59"/>
      <c r="D840" s="133"/>
      <c r="E840" s="176" t="s">
        <v>339</v>
      </c>
      <c r="F840" s="178"/>
      <c r="G840" s="106" t="s">
        <v>428</v>
      </c>
      <c r="H840" s="133"/>
      <c r="I840" s="99"/>
      <c r="K840" s="84"/>
      <c r="L840" s="99">
        <f t="shared" ref="L840:M840" si="807">COUNTIF(A840:A2010,A840)</f>
        <v>1</v>
      </c>
      <c r="M840" s="99">
        <f t="shared" si="807"/>
        <v>1</v>
      </c>
      <c r="N840" s="84"/>
      <c r="O840" s="84"/>
      <c r="P840" s="84"/>
      <c r="Q840" s="84"/>
      <c r="R840" s="84"/>
    </row>
    <row r="841" ht="15.75" customHeight="1">
      <c r="A841" s="129">
        <v>1.2062029E7</v>
      </c>
      <c r="B841" s="106" t="s">
        <v>1999</v>
      </c>
      <c r="C841" s="59"/>
      <c r="D841" s="133"/>
      <c r="E841" s="176" t="s">
        <v>339</v>
      </c>
      <c r="F841" s="178"/>
      <c r="G841" s="106" t="s">
        <v>428</v>
      </c>
      <c r="H841" s="133"/>
      <c r="I841" s="99"/>
      <c r="K841" s="84"/>
      <c r="L841" s="99">
        <f t="shared" ref="L841:M841" si="808">COUNTIF(A841:A2011,A841)</f>
        <v>1</v>
      </c>
      <c r="M841" s="99">
        <f t="shared" si="808"/>
        <v>1</v>
      </c>
      <c r="N841" s="84"/>
      <c r="O841" s="84"/>
      <c r="P841" s="84"/>
      <c r="Q841" s="84"/>
      <c r="R841" s="84"/>
    </row>
    <row r="842" ht="15.75" customHeight="1">
      <c r="A842" s="129">
        <v>1.206203E7</v>
      </c>
      <c r="B842" s="106" t="s">
        <v>2000</v>
      </c>
      <c r="C842" s="59"/>
      <c r="D842" s="133"/>
      <c r="E842" s="176" t="s">
        <v>339</v>
      </c>
      <c r="F842" s="178"/>
      <c r="G842" s="106" t="s">
        <v>428</v>
      </c>
      <c r="H842" s="133"/>
      <c r="I842" s="99"/>
      <c r="K842" s="84"/>
      <c r="L842" s="99">
        <f t="shared" ref="L842:M842" si="809">COUNTIF(A842:A2012,A842)</f>
        <v>1</v>
      </c>
      <c r="M842" s="99">
        <f t="shared" si="809"/>
        <v>1</v>
      </c>
      <c r="N842" s="84"/>
      <c r="O842" s="84"/>
      <c r="P842" s="84"/>
      <c r="Q842" s="84"/>
      <c r="R842" s="84"/>
    </row>
    <row r="843" ht="15.75" customHeight="1">
      <c r="A843" s="129">
        <v>1.2062031E7</v>
      </c>
      <c r="B843" s="106" t="s">
        <v>2001</v>
      </c>
      <c r="C843" s="59"/>
      <c r="D843" s="133"/>
      <c r="E843" s="176" t="s">
        <v>339</v>
      </c>
      <c r="F843" s="178"/>
      <c r="G843" s="106" t="s">
        <v>428</v>
      </c>
      <c r="H843" s="133"/>
      <c r="I843" s="99"/>
      <c r="K843" s="84"/>
      <c r="L843" s="99">
        <f t="shared" ref="L843:M843" si="810">COUNTIF(A843:A2013,A843)</f>
        <v>1</v>
      </c>
      <c r="M843" s="99">
        <f t="shared" si="810"/>
        <v>1</v>
      </c>
      <c r="N843" s="84"/>
      <c r="O843" s="84"/>
      <c r="P843" s="84"/>
      <c r="Q843" s="84"/>
      <c r="R843" s="84"/>
    </row>
    <row r="844" ht="15.75" customHeight="1">
      <c r="A844" s="129">
        <v>1.2062032E7</v>
      </c>
      <c r="B844" s="106" t="s">
        <v>2002</v>
      </c>
      <c r="C844" s="59"/>
      <c r="D844" s="133"/>
      <c r="E844" s="176" t="s">
        <v>339</v>
      </c>
      <c r="F844" s="178"/>
      <c r="G844" s="106" t="s">
        <v>428</v>
      </c>
      <c r="H844" s="133"/>
      <c r="I844" s="99"/>
      <c r="K844" s="84"/>
      <c r="L844" s="99">
        <f t="shared" ref="L844:M844" si="811">COUNTIF(A844:A2014,A844)</f>
        <v>1</v>
      </c>
      <c r="M844" s="99">
        <f t="shared" si="811"/>
        <v>1</v>
      </c>
      <c r="N844" s="84"/>
      <c r="O844" s="84"/>
      <c r="P844" s="84"/>
      <c r="Q844" s="84"/>
      <c r="R844" s="84"/>
    </row>
    <row r="845" ht="15.75" customHeight="1">
      <c r="A845" s="129">
        <v>1.2062033E7</v>
      </c>
      <c r="B845" s="106" t="s">
        <v>2003</v>
      </c>
      <c r="C845" s="59"/>
      <c r="D845" s="133"/>
      <c r="E845" s="176" t="s">
        <v>339</v>
      </c>
      <c r="F845" s="178"/>
      <c r="G845" s="106" t="s">
        <v>428</v>
      </c>
      <c r="H845" s="133"/>
      <c r="I845" s="99"/>
      <c r="K845" s="84"/>
      <c r="L845" s="99">
        <f t="shared" ref="L845:M845" si="812">COUNTIF(A845:A2015,A845)</f>
        <v>1</v>
      </c>
      <c r="M845" s="99">
        <f t="shared" si="812"/>
        <v>1</v>
      </c>
      <c r="N845" s="84"/>
      <c r="O845" s="84"/>
      <c r="P845" s="84"/>
      <c r="Q845" s="84"/>
      <c r="R845" s="84"/>
    </row>
    <row r="846" ht="15.75" customHeight="1">
      <c r="A846" s="129">
        <v>1.2062034E7</v>
      </c>
      <c r="B846" s="106" t="s">
        <v>2004</v>
      </c>
      <c r="C846" s="59"/>
      <c r="D846" s="133"/>
      <c r="E846" s="176" t="s">
        <v>339</v>
      </c>
      <c r="F846" s="178"/>
      <c r="G846" s="106" t="s">
        <v>428</v>
      </c>
      <c r="H846" s="133"/>
      <c r="I846" s="99"/>
      <c r="K846" s="84"/>
      <c r="L846" s="99">
        <f t="shared" ref="L846:M846" si="813">COUNTIF(A846:A2016,A846)</f>
        <v>1</v>
      </c>
      <c r="M846" s="99">
        <f t="shared" si="813"/>
        <v>1</v>
      </c>
      <c r="N846" s="84"/>
      <c r="O846" s="84"/>
      <c r="P846" s="84"/>
      <c r="Q846" s="84"/>
      <c r="R846" s="84"/>
    </row>
    <row r="847" ht="15.75" customHeight="1">
      <c r="A847" s="129">
        <v>1.2062035E7</v>
      </c>
      <c r="B847" s="106" t="s">
        <v>2005</v>
      </c>
      <c r="C847" s="59"/>
      <c r="D847" s="133"/>
      <c r="E847" s="176" t="s">
        <v>339</v>
      </c>
      <c r="F847" s="178"/>
      <c r="G847" s="106" t="s">
        <v>428</v>
      </c>
      <c r="H847" s="133"/>
      <c r="I847" s="99"/>
      <c r="K847" s="84"/>
      <c r="L847" s="99">
        <f t="shared" ref="L847:M847" si="814">COUNTIF(A847:A2017,A847)</f>
        <v>1</v>
      </c>
      <c r="M847" s="99">
        <f t="shared" si="814"/>
        <v>1</v>
      </c>
      <c r="N847" s="84"/>
      <c r="O847" s="84"/>
      <c r="P847" s="84"/>
      <c r="Q847" s="84"/>
      <c r="R847" s="84"/>
    </row>
    <row r="848" ht="15.75" customHeight="1">
      <c r="A848" s="129">
        <v>1.2062036E7</v>
      </c>
      <c r="B848" s="106" t="s">
        <v>2006</v>
      </c>
      <c r="C848" s="59"/>
      <c r="D848" s="133"/>
      <c r="E848" s="176" t="s">
        <v>339</v>
      </c>
      <c r="F848" s="178"/>
      <c r="G848" s="106" t="s">
        <v>428</v>
      </c>
      <c r="H848" s="133"/>
      <c r="I848" s="99"/>
      <c r="K848" s="84"/>
      <c r="L848" s="99">
        <f t="shared" ref="L848:M848" si="815">COUNTIF(A848:A2018,A848)</f>
        <v>1</v>
      </c>
      <c r="M848" s="99">
        <f t="shared" si="815"/>
        <v>1</v>
      </c>
      <c r="N848" s="84"/>
      <c r="O848" s="84"/>
      <c r="P848" s="84"/>
      <c r="Q848" s="84"/>
      <c r="R848" s="84"/>
    </row>
    <row r="849" ht="15.75" customHeight="1">
      <c r="A849" s="129">
        <v>1.2062037E7</v>
      </c>
      <c r="B849" s="106" t="s">
        <v>2007</v>
      </c>
      <c r="C849" s="59"/>
      <c r="D849" s="133"/>
      <c r="E849" s="176" t="s">
        <v>339</v>
      </c>
      <c r="F849" s="178"/>
      <c r="G849" s="106" t="s">
        <v>428</v>
      </c>
      <c r="H849" s="133"/>
      <c r="I849" s="99"/>
      <c r="K849" s="84"/>
      <c r="L849" s="99">
        <f t="shared" ref="L849:M849" si="816">COUNTIF(A849:A2019,A849)</f>
        <v>1</v>
      </c>
      <c r="M849" s="99">
        <f t="shared" si="816"/>
        <v>1</v>
      </c>
      <c r="N849" s="84"/>
      <c r="O849" s="84"/>
      <c r="P849" s="84"/>
      <c r="Q849" s="84"/>
      <c r="R849" s="84"/>
    </row>
    <row r="850" ht="15.75" customHeight="1">
      <c r="A850" s="129">
        <v>1.2062038E7</v>
      </c>
      <c r="B850" s="106" t="s">
        <v>2008</v>
      </c>
      <c r="C850" s="59"/>
      <c r="D850" s="133"/>
      <c r="E850" s="176" t="s">
        <v>339</v>
      </c>
      <c r="F850" s="178"/>
      <c r="G850" s="106" t="s">
        <v>428</v>
      </c>
      <c r="H850" s="133"/>
      <c r="I850" s="99"/>
      <c r="K850" s="84"/>
      <c r="L850" s="99">
        <f t="shared" ref="L850:M850" si="817">COUNTIF(A850:A2020,A850)</f>
        <v>1</v>
      </c>
      <c r="M850" s="99">
        <f t="shared" si="817"/>
        <v>1</v>
      </c>
      <c r="N850" s="84"/>
      <c r="O850" s="84"/>
      <c r="P850" s="84"/>
      <c r="Q850" s="84"/>
      <c r="R850" s="84"/>
    </row>
    <row r="851" ht="15.75" customHeight="1">
      <c r="A851" s="129">
        <v>1.2062039E7</v>
      </c>
      <c r="B851" s="106" t="s">
        <v>2009</v>
      </c>
      <c r="C851" s="59"/>
      <c r="D851" s="133"/>
      <c r="E851" s="176" t="s">
        <v>339</v>
      </c>
      <c r="F851" s="178"/>
      <c r="G851" s="106" t="s">
        <v>428</v>
      </c>
      <c r="H851" s="133"/>
      <c r="I851" s="99"/>
      <c r="K851" s="84"/>
      <c r="L851" s="99">
        <f t="shared" ref="L851:M851" si="818">COUNTIF(A851:A2021,A851)</f>
        <v>1</v>
      </c>
      <c r="M851" s="99">
        <f t="shared" si="818"/>
        <v>1</v>
      </c>
      <c r="N851" s="84"/>
      <c r="O851" s="84"/>
      <c r="P851" s="84"/>
      <c r="Q851" s="84"/>
      <c r="R851" s="84"/>
    </row>
    <row r="852" ht="15.75" customHeight="1">
      <c r="A852" s="129">
        <v>1.206204E7</v>
      </c>
      <c r="B852" s="106" t="s">
        <v>2010</v>
      </c>
      <c r="C852" s="59"/>
      <c r="D852" s="133"/>
      <c r="E852" s="176" t="s">
        <v>339</v>
      </c>
      <c r="F852" s="178"/>
      <c r="G852" s="106" t="s">
        <v>428</v>
      </c>
      <c r="H852" s="133"/>
      <c r="I852" s="99"/>
      <c r="K852" s="84"/>
      <c r="L852" s="99">
        <f t="shared" ref="L852:M852" si="819">COUNTIF(A852:A2022,A852)</f>
        <v>1</v>
      </c>
      <c r="M852" s="99">
        <f t="shared" si="819"/>
        <v>1</v>
      </c>
      <c r="N852" s="84"/>
      <c r="O852" s="84"/>
      <c r="P852" s="84"/>
      <c r="Q852" s="84"/>
      <c r="R852" s="84"/>
    </row>
    <row r="853" ht="15.75" customHeight="1">
      <c r="A853" s="194"/>
      <c r="B853" s="134"/>
      <c r="C853" s="59"/>
      <c r="D853" s="133"/>
      <c r="E853" s="172"/>
      <c r="F853" s="178"/>
      <c r="G853" s="134"/>
      <c r="H853" s="133"/>
      <c r="I853" s="99"/>
      <c r="K853" s="84"/>
      <c r="L853" s="99">
        <f t="shared" ref="L853:M853" si="820">COUNTIF(A853:A2023,A853)</f>
        <v>0</v>
      </c>
      <c r="M853" s="99">
        <f t="shared" si="820"/>
        <v>0</v>
      </c>
      <c r="N853" s="84"/>
      <c r="O853" s="84"/>
      <c r="P853" s="84"/>
      <c r="Q853" s="84"/>
      <c r="R853" s="84"/>
    </row>
    <row r="854" ht="15.75" customHeight="1">
      <c r="A854" s="194"/>
      <c r="B854" s="134"/>
      <c r="C854" s="59"/>
      <c r="D854" s="133"/>
      <c r="E854" s="172"/>
      <c r="F854" s="178"/>
      <c r="G854" s="134"/>
      <c r="H854" s="133"/>
      <c r="I854" s="99"/>
      <c r="K854" s="84"/>
      <c r="L854" s="99">
        <f t="shared" ref="L854:M854" si="821">COUNTIF(A854:A2024,A854)</f>
        <v>0</v>
      </c>
      <c r="M854" s="99">
        <f t="shared" si="821"/>
        <v>0</v>
      </c>
      <c r="N854" s="84"/>
      <c r="O854" s="84"/>
      <c r="P854" s="84"/>
      <c r="Q854" s="84"/>
      <c r="R854" s="84"/>
    </row>
    <row r="855" ht="15.75" customHeight="1">
      <c r="A855" s="129">
        <v>1.2099105E7</v>
      </c>
      <c r="B855" s="199" t="s">
        <v>2011</v>
      </c>
      <c r="C855" s="59"/>
      <c r="D855" s="133"/>
      <c r="E855" s="178"/>
      <c r="F855" s="178"/>
      <c r="G855" s="159"/>
      <c r="H855" s="133"/>
      <c r="I855" s="99"/>
      <c r="K855" s="84"/>
      <c r="L855" s="99">
        <f t="shared" ref="L855:M855" si="822">COUNTIF(A855:A2025,A855)</f>
        <v>1</v>
      </c>
      <c r="M855" s="99">
        <f t="shared" si="822"/>
        <v>1</v>
      </c>
      <c r="N855" s="84"/>
      <c r="O855" s="84"/>
      <c r="P855" s="84"/>
      <c r="Q855" s="84"/>
      <c r="R855" s="84"/>
    </row>
    <row r="856" ht="15.75" customHeight="1">
      <c r="A856" s="129">
        <v>1.2099106E7</v>
      </c>
      <c r="B856" s="106" t="s">
        <v>2012</v>
      </c>
      <c r="C856" s="59"/>
      <c r="D856" s="133"/>
      <c r="E856" s="178"/>
      <c r="F856" s="178"/>
      <c r="G856" s="159"/>
      <c r="H856" s="133"/>
      <c r="I856" s="99"/>
      <c r="K856" s="84"/>
      <c r="L856" s="99">
        <f t="shared" ref="L856:M856" si="823">COUNTIF(A856:A2026,A856)</f>
        <v>1</v>
      </c>
      <c r="M856" s="99">
        <f t="shared" si="823"/>
        <v>1</v>
      </c>
      <c r="N856" s="84"/>
      <c r="O856" s="84"/>
      <c r="P856" s="84"/>
      <c r="Q856" s="84"/>
      <c r="R856" s="84"/>
    </row>
    <row r="857" ht="15.75" customHeight="1">
      <c r="A857" s="129">
        <v>1.2063001E7</v>
      </c>
      <c r="B857" s="106" t="s">
        <v>2013</v>
      </c>
      <c r="C857" s="59"/>
      <c r="D857" s="133"/>
      <c r="E857" s="172"/>
      <c r="F857" s="172"/>
      <c r="G857" s="159"/>
      <c r="H857" s="133"/>
      <c r="I857" s="99"/>
      <c r="K857" s="84"/>
      <c r="L857" s="99">
        <f t="shared" ref="L857:M857" si="824">COUNTIF(A857:A2027,A857)</f>
        <v>1</v>
      </c>
      <c r="M857" s="99">
        <f t="shared" si="824"/>
        <v>1</v>
      </c>
      <c r="N857" s="84"/>
      <c r="O857" s="84"/>
      <c r="P857" s="84"/>
      <c r="Q857" s="84"/>
      <c r="R857" s="84"/>
    </row>
    <row r="858" ht="15.75" customHeight="1">
      <c r="A858" s="129">
        <v>1.2063002E7</v>
      </c>
      <c r="B858" s="106" t="s">
        <v>2014</v>
      </c>
      <c r="C858" s="59"/>
      <c r="D858" s="133"/>
      <c r="E858" s="188" t="s">
        <v>247</v>
      </c>
      <c r="F858" s="176" t="s">
        <v>248</v>
      </c>
      <c r="G858" s="159"/>
      <c r="H858" s="133"/>
      <c r="I858" s="99"/>
      <c r="K858" s="84"/>
      <c r="L858" s="99">
        <f t="shared" ref="L858:M858" si="825">COUNTIF(A858:A2028,A858)</f>
        <v>1</v>
      </c>
      <c r="M858" s="99">
        <f t="shared" si="825"/>
        <v>1</v>
      </c>
      <c r="N858" s="84"/>
      <c r="O858" s="84"/>
      <c r="P858" s="84"/>
      <c r="Q858" s="84"/>
      <c r="R858" s="84"/>
    </row>
    <row r="859" ht="15.75" customHeight="1">
      <c r="A859" s="129">
        <v>1.2063003E7</v>
      </c>
      <c r="B859" s="106" t="s">
        <v>2015</v>
      </c>
      <c r="C859" s="59"/>
      <c r="D859" s="133"/>
      <c r="E859" s="176" t="s">
        <v>247</v>
      </c>
      <c r="F859" s="188" t="s">
        <v>247</v>
      </c>
      <c r="G859" s="134"/>
      <c r="H859" s="133"/>
      <c r="I859" s="99"/>
      <c r="K859" s="84"/>
      <c r="L859" s="99">
        <f t="shared" ref="L859:M859" si="826">COUNTIF(A859:A2029,A859)</f>
        <v>1</v>
      </c>
      <c r="M859" s="99">
        <f t="shared" si="826"/>
        <v>1</v>
      </c>
      <c r="N859" s="84"/>
      <c r="O859" s="84"/>
      <c r="P859" s="84"/>
      <c r="Q859" s="84"/>
      <c r="R859" s="84"/>
    </row>
    <row r="860" ht="15.75" customHeight="1">
      <c r="A860" s="129">
        <v>1.2063004E7</v>
      </c>
      <c r="B860" s="106" t="s">
        <v>2016</v>
      </c>
      <c r="C860" s="59"/>
      <c r="D860" s="133"/>
      <c r="E860" s="178"/>
      <c r="F860" s="172"/>
      <c r="G860" s="159"/>
      <c r="H860" s="133"/>
      <c r="I860" s="99"/>
      <c r="K860" s="84"/>
      <c r="L860" s="99">
        <f t="shared" ref="L860:M860" si="827">COUNTIF(A860:A2030,A860)</f>
        <v>1</v>
      </c>
      <c r="M860" s="99">
        <f t="shared" si="827"/>
        <v>1</v>
      </c>
      <c r="N860" s="84"/>
      <c r="O860" s="84"/>
      <c r="P860" s="84"/>
      <c r="Q860" s="84"/>
      <c r="R860" s="84"/>
    </row>
    <row r="861" ht="15.75" customHeight="1">
      <c r="A861" s="129">
        <v>1.2063005E7</v>
      </c>
      <c r="B861" s="106" t="s">
        <v>2017</v>
      </c>
      <c r="C861" s="59"/>
      <c r="D861" s="133"/>
      <c r="E861" s="176" t="s">
        <v>339</v>
      </c>
      <c r="F861" s="178"/>
      <c r="G861" s="106" t="s">
        <v>428</v>
      </c>
      <c r="H861" s="133"/>
      <c r="I861" s="99"/>
      <c r="K861" s="84"/>
      <c r="L861" s="99">
        <f t="shared" ref="L861:M861" si="828">COUNTIF(A861:A2031,A861)</f>
        <v>1</v>
      </c>
      <c r="M861" s="99">
        <f t="shared" si="828"/>
        <v>1</v>
      </c>
      <c r="N861" s="84"/>
      <c r="O861" s="84"/>
      <c r="P861" s="84"/>
      <c r="Q861" s="84"/>
      <c r="R861" s="84"/>
    </row>
    <row r="862" ht="15.75" customHeight="1">
      <c r="A862" s="129">
        <v>1.2063006E7</v>
      </c>
      <c r="B862" s="106" t="s">
        <v>2018</v>
      </c>
      <c r="C862" s="59"/>
      <c r="D862" s="133"/>
      <c r="E862" s="176" t="s">
        <v>339</v>
      </c>
      <c r="F862" s="178"/>
      <c r="G862" s="106" t="s">
        <v>428</v>
      </c>
      <c r="H862" s="133"/>
      <c r="I862" s="99"/>
      <c r="K862" s="84"/>
      <c r="L862" s="99">
        <f t="shared" ref="L862:M862" si="829">COUNTIF(A862:A2032,A862)</f>
        <v>1</v>
      </c>
      <c r="M862" s="99">
        <f t="shared" si="829"/>
        <v>1</v>
      </c>
      <c r="N862" s="84"/>
      <c r="O862" s="84"/>
      <c r="P862" s="84"/>
      <c r="Q862" s="84"/>
      <c r="R862" s="84"/>
    </row>
    <row r="863" ht="15.75" customHeight="1">
      <c r="A863" s="129">
        <v>1.2063007E7</v>
      </c>
      <c r="B863" s="106" t="s">
        <v>2019</v>
      </c>
      <c r="C863" s="59"/>
      <c r="D863" s="133"/>
      <c r="E863" s="176" t="s">
        <v>339</v>
      </c>
      <c r="F863" s="178"/>
      <c r="G863" s="106" t="s">
        <v>428</v>
      </c>
      <c r="H863" s="133"/>
      <c r="I863" s="99"/>
      <c r="K863" s="84"/>
      <c r="L863" s="99">
        <f t="shared" ref="L863:M863" si="830">COUNTIF(A863:A2033,A863)</f>
        <v>1</v>
      </c>
      <c r="M863" s="99">
        <f t="shared" si="830"/>
        <v>1</v>
      </c>
      <c r="N863" s="84"/>
      <c r="O863" s="84"/>
      <c r="P863" s="84"/>
      <c r="Q863" s="84"/>
      <c r="R863" s="84"/>
    </row>
    <row r="864" ht="15.75" customHeight="1">
      <c r="A864" s="129">
        <v>1.2063008E7</v>
      </c>
      <c r="B864" s="106" t="s">
        <v>2020</v>
      </c>
      <c r="C864" s="59"/>
      <c r="D864" s="133"/>
      <c r="E864" s="176" t="s">
        <v>339</v>
      </c>
      <c r="F864" s="178"/>
      <c r="G864" s="106" t="s">
        <v>428</v>
      </c>
      <c r="H864" s="133"/>
      <c r="I864" s="99"/>
      <c r="K864" s="122"/>
      <c r="L864" s="99">
        <f t="shared" ref="L864:M864" si="831">COUNTIF(A864:A2034,A864)</f>
        <v>1</v>
      </c>
      <c r="M864" s="99">
        <f t="shared" si="831"/>
        <v>1</v>
      </c>
      <c r="N864" s="122"/>
      <c r="O864" s="122"/>
      <c r="P864" s="122"/>
      <c r="Q864" s="122"/>
      <c r="R864" s="122"/>
    </row>
    <row r="865" ht="15.75" customHeight="1">
      <c r="A865" s="129">
        <v>1.2063009E7</v>
      </c>
      <c r="B865" s="106" t="s">
        <v>2021</v>
      </c>
      <c r="C865" s="59"/>
      <c r="D865" s="133"/>
      <c r="E865" s="176" t="s">
        <v>339</v>
      </c>
      <c r="F865" s="178"/>
      <c r="G865" s="106" t="s">
        <v>428</v>
      </c>
      <c r="H865" s="133"/>
      <c r="I865" s="99"/>
      <c r="K865" s="122"/>
      <c r="L865" s="99">
        <f t="shared" ref="L865:M865" si="832">COUNTIF(A865:A2035,A865)</f>
        <v>1</v>
      </c>
      <c r="M865" s="99">
        <f t="shared" si="832"/>
        <v>1</v>
      </c>
      <c r="N865" s="122"/>
      <c r="O865" s="122"/>
      <c r="P865" s="122"/>
      <c r="Q865" s="122"/>
      <c r="R865" s="122"/>
    </row>
    <row r="866" ht="15.75" customHeight="1">
      <c r="A866" s="129">
        <v>1.206301E7</v>
      </c>
      <c r="B866" s="106" t="s">
        <v>2022</v>
      </c>
      <c r="C866" s="59"/>
      <c r="D866" s="133"/>
      <c r="E866" s="176" t="s">
        <v>339</v>
      </c>
      <c r="F866" s="178"/>
      <c r="G866" s="106" t="s">
        <v>428</v>
      </c>
      <c r="H866" s="133"/>
      <c r="I866" s="99"/>
      <c r="K866" s="122"/>
      <c r="L866" s="99">
        <f t="shared" ref="L866:M866" si="833">COUNTIF(A866:A2036,A866)</f>
        <v>1</v>
      </c>
      <c r="M866" s="99">
        <f t="shared" si="833"/>
        <v>1</v>
      </c>
      <c r="N866" s="122"/>
      <c r="O866" s="122"/>
      <c r="P866" s="122"/>
      <c r="Q866" s="122"/>
      <c r="R866" s="122"/>
    </row>
    <row r="867" ht="15.75" customHeight="1">
      <c r="A867" s="129">
        <v>1.2063011E7</v>
      </c>
      <c r="B867" s="106" t="s">
        <v>2023</v>
      </c>
      <c r="C867" s="59"/>
      <c r="D867" s="133"/>
      <c r="E867" s="176" t="s">
        <v>339</v>
      </c>
      <c r="F867" s="178"/>
      <c r="G867" s="106" t="s">
        <v>428</v>
      </c>
      <c r="H867" s="133"/>
      <c r="I867" s="99"/>
      <c r="K867" s="122"/>
      <c r="L867" s="99">
        <f t="shared" ref="L867:M867" si="834">COUNTIF(A867:A2037,A867)</f>
        <v>1</v>
      </c>
      <c r="M867" s="99">
        <f t="shared" si="834"/>
        <v>1</v>
      </c>
      <c r="N867" s="122"/>
      <c r="O867" s="122"/>
      <c r="P867" s="122"/>
      <c r="Q867" s="122"/>
      <c r="R867" s="122"/>
    </row>
    <row r="868" ht="15.75" customHeight="1">
      <c r="A868" s="129">
        <v>1.2063012E7</v>
      </c>
      <c r="B868" s="106" t="s">
        <v>2024</v>
      </c>
      <c r="C868" s="59"/>
      <c r="D868" s="133"/>
      <c r="E868" s="176" t="s">
        <v>339</v>
      </c>
      <c r="F868" s="178"/>
      <c r="G868" s="106" t="s">
        <v>428</v>
      </c>
      <c r="H868" s="133"/>
      <c r="I868" s="99"/>
      <c r="K868" s="122"/>
      <c r="L868" s="99">
        <f t="shared" ref="L868:M868" si="835">COUNTIF(A868:A2038,A868)</f>
        <v>1</v>
      </c>
      <c r="M868" s="99">
        <f t="shared" si="835"/>
        <v>1</v>
      </c>
      <c r="N868" s="122"/>
      <c r="O868" s="122"/>
      <c r="P868" s="122"/>
      <c r="Q868" s="122"/>
      <c r="R868" s="122"/>
    </row>
    <row r="869" ht="15.75" customHeight="1">
      <c r="A869" s="129">
        <v>1.2063013E7</v>
      </c>
      <c r="B869" s="106" t="s">
        <v>2025</v>
      </c>
      <c r="C869" s="59"/>
      <c r="D869" s="133"/>
      <c r="E869" s="176" t="s">
        <v>339</v>
      </c>
      <c r="F869" s="178"/>
      <c r="G869" s="106" t="s">
        <v>428</v>
      </c>
      <c r="H869" s="133"/>
      <c r="I869" s="99"/>
      <c r="K869" s="122"/>
      <c r="L869" s="99">
        <f t="shared" ref="L869:M869" si="836">COUNTIF(A869:A2039,A869)</f>
        <v>1</v>
      </c>
      <c r="M869" s="99">
        <f t="shared" si="836"/>
        <v>1</v>
      </c>
      <c r="N869" s="122"/>
      <c r="O869" s="122"/>
      <c r="P869" s="122"/>
      <c r="Q869" s="122"/>
      <c r="R869" s="122"/>
    </row>
    <row r="870" ht="15.75" customHeight="1">
      <c r="A870" s="129">
        <v>1.2063014E7</v>
      </c>
      <c r="B870" s="106" t="s">
        <v>2026</v>
      </c>
      <c r="C870" s="59"/>
      <c r="D870" s="133"/>
      <c r="E870" s="176" t="s">
        <v>339</v>
      </c>
      <c r="F870" s="178"/>
      <c r="G870" s="106" t="s">
        <v>428</v>
      </c>
      <c r="H870" s="133"/>
      <c r="I870" s="99"/>
      <c r="K870" s="122"/>
      <c r="L870" s="99">
        <f t="shared" ref="L870:M870" si="837">COUNTIF(A870:A2040,A870)</f>
        <v>1</v>
      </c>
      <c r="M870" s="99">
        <f t="shared" si="837"/>
        <v>1</v>
      </c>
      <c r="N870" s="122"/>
      <c r="O870" s="122"/>
      <c r="P870" s="122"/>
      <c r="Q870" s="122"/>
      <c r="R870" s="122"/>
    </row>
    <row r="871" ht="15.75" customHeight="1">
      <c r="A871" s="129">
        <v>1.2063015E7</v>
      </c>
      <c r="B871" s="106" t="s">
        <v>2027</v>
      </c>
      <c r="C871" s="59"/>
      <c r="D871" s="133"/>
      <c r="E871" s="176" t="s">
        <v>339</v>
      </c>
      <c r="F871" s="178"/>
      <c r="G871" s="106" t="s">
        <v>428</v>
      </c>
      <c r="H871" s="133"/>
      <c r="I871" s="99"/>
      <c r="K871" s="122"/>
      <c r="L871" s="99">
        <f t="shared" ref="L871:M871" si="838">COUNTIF(A871:A2041,A871)</f>
        <v>1</v>
      </c>
      <c r="M871" s="99">
        <f t="shared" si="838"/>
        <v>1</v>
      </c>
      <c r="N871" s="122"/>
      <c r="O871" s="122"/>
      <c r="P871" s="122"/>
      <c r="Q871" s="122"/>
      <c r="R871" s="122"/>
    </row>
    <row r="872" ht="15.75" customHeight="1">
      <c r="A872" s="129">
        <v>1.2063016E7</v>
      </c>
      <c r="B872" s="106" t="s">
        <v>2028</v>
      </c>
      <c r="C872" s="59"/>
      <c r="D872" s="133"/>
      <c r="E872" s="176" t="s">
        <v>339</v>
      </c>
      <c r="F872" s="178"/>
      <c r="G872" s="106" t="s">
        <v>428</v>
      </c>
      <c r="H872" s="133"/>
      <c r="I872" s="99"/>
      <c r="K872" s="122"/>
      <c r="L872" s="99">
        <f t="shared" ref="L872:M872" si="839">COUNTIF(A872:A2042,A872)</f>
        <v>1</v>
      </c>
      <c r="M872" s="99">
        <f t="shared" si="839"/>
        <v>1</v>
      </c>
      <c r="N872" s="122"/>
      <c r="O872" s="122"/>
      <c r="P872" s="122"/>
      <c r="Q872" s="122"/>
      <c r="R872" s="122"/>
    </row>
    <row r="873" ht="15.75" customHeight="1">
      <c r="A873" s="129">
        <v>1.2063017E7</v>
      </c>
      <c r="B873" s="106" t="s">
        <v>2029</v>
      </c>
      <c r="C873" s="59"/>
      <c r="D873" s="133"/>
      <c r="E873" s="176" t="s">
        <v>339</v>
      </c>
      <c r="F873" s="178"/>
      <c r="G873" s="106" t="s">
        <v>428</v>
      </c>
      <c r="H873" s="133"/>
      <c r="I873" s="99"/>
      <c r="K873" s="123"/>
      <c r="L873" s="99">
        <f t="shared" ref="L873:M873" si="840">COUNTIF(A873:A2043,A873)</f>
        <v>1</v>
      </c>
      <c r="M873" s="99">
        <f t="shared" si="840"/>
        <v>1</v>
      </c>
      <c r="N873" s="123"/>
      <c r="O873" s="123"/>
      <c r="P873" s="123"/>
      <c r="Q873" s="123"/>
      <c r="R873" s="123"/>
    </row>
    <row r="874" ht="15.75" customHeight="1">
      <c r="A874" s="129">
        <v>1.2063018E7</v>
      </c>
      <c r="B874" s="106" t="s">
        <v>2030</v>
      </c>
      <c r="C874" s="59"/>
      <c r="D874" s="133"/>
      <c r="E874" s="176" t="s">
        <v>339</v>
      </c>
      <c r="F874" s="178"/>
      <c r="G874" s="106" t="s">
        <v>428</v>
      </c>
      <c r="H874" s="133"/>
      <c r="I874" s="99"/>
      <c r="K874" s="84"/>
      <c r="L874" s="99">
        <f t="shared" ref="L874:M874" si="841">COUNTIF(A874:A2044,A874)</f>
        <v>1</v>
      </c>
      <c r="M874" s="99">
        <f t="shared" si="841"/>
        <v>1</v>
      </c>
      <c r="N874" s="84"/>
      <c r="O874" s="84"/>
      <c r="P874" s="84"/>
      <c r="Q874" s="84"/>
      <c r="R874" s="84"/>
    </row>
    <row r="875" ht="15.75" customHeight="1">
      <c r="A875" s="129">
        <v>1.2063019E7</v>
      </c>
      <c r="B875" s="106" t="s">
        <v>2031</v>
      </c>
      <c r="C875" s="59"/>
      <c r="D875" s="133"/>
      <c r="E875" s="176" t="s">
        <v>339</v>
      </c>
      <c r="F875" s="178"/>
      <c r="G875" s="106" t="s">
        <v>428</v>
      </c>
      <c r="H875" s="133"/>
      <c r="I875" s="99"/>
      <c r="K875" s="84"/>
      <c r="L875" s="99">
        <f t="shared" ref="L875:M875" si="842">COUNTIF(A875:A2045,A875)</f>
        <v>1</v>
      </c>
      <c r="M875" s="99">
        <f t="shared" si="842"/>
        <v>1</v>
      </c>
      <c r="N875" s="84"/>
      <c r="O875" s="84"/>
      <c r="P875" s="84"/>
      <c r="Q875" s="84"/>
      <c r="R875" s="84"/>
    </row>
    <row r="876" ht="15.75" customHeight="1">
      <c r="A876" s="129">
        <v>1.206302E7</v>
      </c>
      <c r="B876" s="106" t="s">
        <v>2032</v>
      </c>
      <c r="C876" s="59"/>
      <c r="D876" s="133"/>
      <c r="E876" s="176" t="s">
        <v>339</v>
      </c>
      <c r="F876" s="178"/>
      <c r="G876" s="106" t="s">
        <v>428</v>
      </c>
      <c r="H876" s="133"/>
      <c r="I876" s="99"/>
      <c r="K876" s="84"/>
      <c r="L876" s="99">
        <f t="shared" ref="L876:M876" si="843">COUNTIF(A876:A2046,A876)</f>
        <v>1</v>
      </c>
      <c r="M876" s="99">
        <f t="shared" si="843"/>
        <v>1</v>
      </c>
      <c r="N876" s="84"/>
      <c r="O876" s="84"/>
      <c r="P876" s="84"/>
      <c r="Q876" s="84"/>
      <c r="R876" s="84"/>
    </row>
    <row r="877" ht="15.75" customHeight="1">
      <c r="A877" s="129">
        <v>1.2063021E7</v>
      </c>
      <c r="B877" s="106" t="s">
        <v>2033</v>
      </c>
      <c r="C877" s="59"/>
      <c r="D877" s="133"/>
      <c r="E877" s="176" t="s">
        <v>339</v>
      </c>
      <c r="F877" s="178"/>
      <c r="G877" s="106" t="s">
        <v>428</v>
      </c>
      <c r="H877" s="133"/>
      <c r="I877" s="99"/>
      <c r="K877" s="84"/>
      <c r="L877" s="99">
        <f t="shared" ref="L877:M877" si="844">COUNTIF(A877:A2047,A877)</f>
        <v>1</v>
      </c>
      <c r="M877" s="99">
        <f t="shared" si="844"/>
        <v>1</v>
      </c>
      <c r="N877" s="84"/>
      <c r="O877" s="84"/>
      <c r="P877" s="84"/>
      <c r="Q877" s="84"/>
      <c r="R877" s="84"/>
    </row>
    <row r="878" ht="15.75" customHeight="1">
      <c r="A878" s="129">
        <v>1.2063022E7</v>
      </c>
      <c r="B878" s="106" t="s">
        <v>2034</v>
      </c>
      <c r="C878" s="59"/>
      <c r="D878" s="133"/>
      <c r="E878" s="176" t="s">
        <v>339</v>
      </c>
      <c r="F878" s="178"/>
      <c r="G878" s="106" t="s">
        <v>428</v>
      </c>
      <c r="H878" s="133"/>
      <c r="I878" s="99"/>
      <c r="K878" s="84"/>
      <c r="L878" s="99">
        <f t="shared" ref="L878:M878" si="845">COUNTIF(A878:A2048,A878)</f>
        <v>1</v>
      </c>
      <c r="M878" s="99">
        <f t="shared" si="845"/>
        <v>1</v>
      </c>
      <c r="N878" s="84"/>
      <c r="O878" s="84"/>
      <c r="P878" s="84"/>
      <c r="Q878" s="84"/>
      <c r="R878" s="84"/>
    </row>
    <row r="879" ht="15.75" customHeight="1">
      <c r="A879" s="129">
        <v>1.2063023E7</v>
      </c>
      <c r="B879" s="106" t="s">
        <v>2035</v>
      </c>
      <c r="C879" s="59"/>
      <c r="D879" s="133"/>
      <c r="E879" s="176" t="s">
        <v>339</v>
      </c>
      <c r="F879" s="178"/>
      <c r="G879" s="106" t="s">
        <v>428</v>
      </c>
      <c r="H879" s="133"/>
      <c r="I879" s="99"/>
      <c r="K879" s="84"/>
      <c r="L879" s="99">
        <f t="shared" ref="L879:M879" si="846">COUNTIF(A879:A2049,A879)</f>
        <v>1</v>
      </c>
      <c r="M879" s="99">
        <f t="shared" si="846"/>
        <v>1</v>
      </c>
      <c r="N879" s="84"/>
      <c r="O879" s="84"/>
      <c r="P879" s="84"/>
      <c r="Q879" s="84"/>
      <c r="R879" s="84"/>
    </row>
    <row r="880" ht="15.75" customHeight="1">
      <c r="A880" s="129">
        <v>1.2063024E7</v>
      </c>
      <c r="B880" s="106" t="s">
        <v>2036</v>
      </c>
      <c r="C880" s="59"/>
      <c r="D880" s="133"/>
      <c r="E880" s="176" t="s">
        <v>339</v>
      </c>
      <c r="F880" s="178"/>
      <c r="G880" s="106" t="s">
        <v>428</v>
      </c>
      <c r="H880" s="133"/>
      <c r="I880" s="99"/>
      <c r="K880" s="84"/>
      <c r="L880" s="99">
        <f t="shared" ref="L880:M880" si="847">COUNTIF(A880:A2050,A880)</f>
        <v>1</v>
      </c>
      <c r="M880" s="99">
        <f t="shared" si="847"/>
        <v>1</v>
      </c>
      <c r="N880" s="84"/>
      <c r="O880" s="84"/>
      <c r="P880" s="84"/>
      <c r="Q880" s="84"/>
      <c r="R880" s="84"/>
    </row>
    <row r="881" ht="15.75" customHeight="1">
      <c r="A881" s="129">
        <v>1.2063025E7</v>
      </c>
      <c r="B881" s="106" t="s">
        <v>2037</v>
      </c>
      <c r="C881" s="59"/>
      <c r="D881" s="133"/>
      <c r="E881" s="176" t="s">
        <v>339</v>
      </c>
      <c r="F881" s="178"/>
      <c r="G881" s="106" t="s">
        <v>428</v>
      </c>
      <c r="H881" s="133"/>
      <c r="I881" s="99"/>
      <c r="K881" s="84"/>
      <c r="L881" s="99">
        <f t="shared" ref="L881:M881" si="848">COUNTIF(A881:A2051,A881)</f>
        <v>1</v>
      </c>
      <c r="M881" s="99">
        <f t="shared" si="848"/>
        <v>1</v>
      </c>
      <c r="N881" s="84"/>
      <c r="O881" s="84"/>
      <c r="P881" s="84"/>
      <c r="Q881" s="84"/>
      <c r="R881" s="84"/>
    </row>
    <row r="882" ht="15.75" customHeight="1">
      <c r="A882" s="129">
        <v>1.2063026E7</v>
      </c>
      <c r="B882" s="106" t="s">
        <v>2038</v>
      </c>
      <c r="C882" s="59"/>
      <c r="D882" s="133"/>
      <c r="E882" s="176" t="s">
        <v>339</v>
      </c>
      <c r="F882" s="178"/>
      <c r="G882" s="106" t="s">
        <v>428</v>
      </c>
      <c r="H882" s="133"/>
      <c r="I882" s="99"/>
      <c r="K882" s="84"/>
      <c r="L882" s="99">
        <f t="shared" ref="L882:M882" si="849">COUNTIF(A882:A2052,A882)</f>
        <v>1</v>
      </c>
      <c r="M882" s="99">
        <f t="shared" si="849"/>
        <v>1</v>
      </c>
      <c r="N882" s="84"/>
      <c r="O882" s="84"/>
      <c r="P882" s="84"/>
      <c r="Q882" s="84"/>
      <c r="R882" s="84"/>
    </row>
    <row r="883" ht="15.75" customHeight="1">
      <c r="A883" s="129">
        <v>1.2063027E7</v>
      </c>
      <c r="B883" s="106" t="s">
        <v>2039</v>
      </c>
      <c r="C883" s="59"/>
      <c r="D883" s="133"/>
      <c r="E883" s="176" t="s">
        <v>339</v>
      </c>
      <c r="F883" s="178"/>
      <c r="G883" s="106" t="s">
        <v>428</v>
      </c>
      <c r="H883" s="133"/>
      <c r="I883" s="99"/>
      <c r="K883" s="84"/>
      <c r="L883" s="99">
        <f t="shared" ref="L883:M883" si="850">COUNTIF(A883:A2053,A883)</f>
        <v>1</v>
      </c>
      <c r="M883" s="99">
        <f t="shared" si="850"/>
        <v>1</v>
      </c>
      <c r="N883" s="84"/>
      <c r="O883" s="84"/>
      <c r="P883" s="84"/>
      <c r="Q883" s="84"/>
      <c r="R883" s="84"/>
    </row>
    <row r="884" ht="15.75" customHeight="1">
      <c r="A884" s="129">
        <v>1.2063028E7</v>
      </c>
      <c r="B884" s="106" t="s">
        <v>2040</v>
      </c>
      <c r="C884" s="59"/>
      <c r="D884" s="133"/>
      <c r="E884" s="176" t="s">
        <v>339</v>
      </c>
      <c r="F884" s="178"/>
      <c r="G884" s="106" t="s">
        <v>428</v>
      </c>
      <c r="H884" s="133"/>
      <c r="I884" s="99"/>
      <c r="K884" s="84"/>
      <c r="L884" s="99">
        <f t="shared" ref="L884:M884" si="851">COUNTIF(A884:A2054,A884)</f>
        <v>1</v>
      </c>
      <c r="M884" s="99">
        <f t="shared" si="851"/>
        <v>1</v>
      </c>
      <c r="N884" s="84"/>
      <c r="O884" s="84"/>
      <c r="P884" s="84"/>
      <c r="Q884" s="84"/>
      <c r="R884" s="84"/>
    </row>
    <row r="885" ht="15.75" customHeight="1">
      <c r="A885" s="129">
        <v>1.2063029E7</v>
      </c>
      <c r="B885" s="106" t="s">
        <v>2041</v>
      </c>
      <c r="C885" s="59"/>
      <c r="D885" s="133"/>
      <c r="E885" s="176" t="s">
        <v>339</v>
      </c>
      <c r="F885" s="178"/>
      <c r="G885" s="106" t="s">
        <v>428</v>
      </c>
      <c r="H885" s="133"/>
      <c r="I885" s="99"/>
      <c r="K885" s="84"/>
      <c r="L885" s="99">
        <f t="shared" ref="L885:M885" si="852">COUNTIF(A885:A2055,A885)</f>
        <v>1</v>
      </c>
      <c r="M885" s="99">
        <f t="shared" si="852"/>
        <v>1</v>
      </c>
      <c r="N885" s="84"/>
      <c r="O885" s="84"/>
      <c r="P885" s="84"/>
      <c r="Q885" s="84"/>
      <c r="R885" s="84"/>
    </row>
    <row r="886" ht="15.75" customHeight="1">
      <c r="A886" s="129">
        <v>1.206303E7</v>
      </c>
      <c r="B886" s="106" t="s">
        <v>2042</v>
      </c>
      <c r="C886" s="59"/>
      <c r="D886" s="133"/>
      <c r="E886" s="176" t="s">
        <v>339</v>
      </c>
      <c r="F886" s="178"/>
      <c r="G886" s="106" t="s">
        <v>428</v>
      </c>
      <c r="H886" s="133"/>
      <c r="I886" s="99"/>
      <c r="K886" s="84"/>
      <c r="L886" s="99">
        <f t="shared" ref="L886:M886" si="853">COUNTIF(A886:A2056,A886)</f>
        <v>1</v>
      </c>
      <c r="M886" s="99">
        <f t="shared" si="853"/>
        <v>1</v>
      </c>
      <c r="N886" s="84"/>
      <c r="O886" s="84"/>
      <c r="P886" s="84"/>
      <c r="Q886" s="84"/>
      <c r="R886" s="84"/>
    </row>
    <row r="887" ht="15.75" customHeight="1">
      <c r="A887" s="129">
        <v>1.2063031E7</v>
      </c>
      <c r="B887" s="106" t="s">
        <v>2043</v>
      </c>
      <c r="C887" s="59"/>
      <c r="D887" s="133"/>
      <c r="E887" s="176" t="s">
        <v>339</v>
      </c>
      <c r="F887" s="178"/>
      <c r="G887" s="106" t="s">
        <v>428</v>
      </c>
      <c r="H887" s="133"/>
      <c r="I887" s="99"/>
      <c r="K887" s="84"/>
      <c r="L887" s="99">
        <f t="shared" ref="L887:M887" si="854">COUNTIF(A887:A2057,A887)</f>
        <v>1</v>
      </c>
      <c r="M887" s="99">
        <f t="shared" si="854"/>
        <v>1</v>
      </c>
      <c r="N887" s="84"/>
      <c r="O887" s="84"/>
      <c r="P887" s="84"/>
      <c r="Q887" s="84"/>
      <c r="R887" s="84"/>
    </row>
    <row r="888" ht="15.75" customHeight="1">
      <c r="A888" s="129">
        <v>1.2063032E7</v>
      </c>
      <c r="B888" s="106" t="s">
        <v>2044</v>
      </c>
      <c r="C888" s="59"/>
      <c r="D888" s="133"/>
      <c r="E888" s="176" t="s">
        <v>339</v>
      </c>
      <c r="F888" s="178"/>
      <c r="G888" s="106" t="s">
        <v>428</v>
      </c>
      <c r="H888" s="133"/>
      <c r="I888" s="99"/>
      <c r="K888" s="84"/>
      <c r="L888" s="99">
        <f t="shared" ref="L888:M888" si="855">COUNTIF(A888:A2058,A888)</f>
        <v>1</v>
      </c>
      <c r="M888" s="99">
        <f t="shared" si="855"/>
        <v>1</v>
      </c>
      <c r="N888" s="84"/>
      <c r="O888" s="84"/>
      <c r="P888" s="84"/>
      <c r="Q888" s="84"/>
      <c r="R888" s="84"/>
    </row>
    <row r="889" ht="15.75" customHeight="1">
      <c r="A889" s="129">
        <v>1.2063033E7</v>
      </c>
      <c r="B889" s="106" t="s">
        <v>2045</v>
      </c>
      <c r="C889" s="59"/>
      <c r="D889" s="133"/>
      <c r="E889" s="176" t="s">
        <v>339</v>
      </c>
      <c r="F889" s="178"/>
      <c r="G889" s="106" t="s">
        <v>428</v>
      </c>
      <c r="H889" s="133"/>
      <c r="I889" s="99"/>
      <c r="K889" s="84"/>
      <c r="L889" s="99">
        <f t="shared" ref="L889:M889" si="856">COUNTIF(A889:A2059,A889)</f>
        <v>1</v>
      </c>
      <c r="M889" s="99">
        <f t="shared" si="856"/>
        <v>1</v>
      </c>
      <c r="N889" s="84"/>
      <c r="O889" s="84"/>
      <c r="P889" s="84"/>
      <c r="Q889" s="84"/>
      <c r="R889" s="84"/>
    </row>
    <row r="890" ht="15.75" customHeight="1">
      <c r="A890" s="129">
        <v>1.2063034E7</v>
      </c>
      <c r="B890" s="106" t="s">
        <v>2046</v>
      </c>
      <c r="C890" s="59"/>
      <c r="D890" s="133"/>
      <c r="E890" s="176" t="s">
        <v>339</v>
      </c>
      <c r="F890" s="178"/>
      <c r="G890" s="106" t="s">
        <v>428</v>
      </c>
      <c r="H890" s="133"/>
      <c r="I890" s="99"/>
      <c r="K890" s="84"/>
      <c r="L890" s="99">
        <f t="shared" ref="L890:M890" si="857">COUNTIF(A890:A2060,A890)</f>
        <v>1</v>
      </c>
      <c r="M890" s="99">
        <f t="shared" si="857"/>
        <v>1</v>
      </c>
      <c r="N890" s="84"/>
      <c r="O890" s="84"/>
      <c r="P890" s="84"/>
      <c r="Q890" s="84"/>
      <c r="R890" s="84"/>
    </row>
    <row r="891" ht="15.75" customHeight="1">
      <c r="A891" s="129">
        <v>1.2063035E7</v>
      </c>
      <c r="B891" s="106" t="s">
        <v>2047</v>
      </c>
      <c r="C891" s="59"/>
      <c r="D891" s="133"/>
      <c r="E891" s="176" t="s">
        <v>339</v>
      </c>
      <c r="F891" s="178"/>
      <c r="G891" s="106" t="s">
        <v>428</v>
      </c>
      <c r="H891" s="133"/>
      <c r="I891" s="99"/>
      <c r="K891" s="84"/>
      <c r="L891" s="99">
        <f t="shared" ref="L891:M891" si="858">COUNTIF(A891:A2061,A891)</f>
        <v>1</v>
      </c>
      <c r="M891" s="99">
        <f t="shared" si="858"/>
        <v>1</v>
      </c>
      <c r="N891" s="84"/>
      <c r="O891" s="84"/>
      <c r="P891" s="84"/>
      <c r="Q891" s="84"/>
      <c r="R891" s="84"/>
    </row>
    <row r="892" ht="15.75" customHeight="1">
      <c r="A892" s="129">
        <v>1.2063036E7</v>
      </c>
      <c r="B892" s="106" t="s">
        <v>2048</v>
      </c>
      <c r="C892" s="59"/>
      <c r="D892" s="133"/>
      <c r="E892" s="176" t="s">
        <v>339</v>
      </c>
      <c r="F892" s="178"/>
      <c r="G892" s="106" t="s">
        <v>428</v>
      </c>
      <c r="H892" s="133"/>
      <c r="I892" s="99"/>
      <c r="K892" s="84"/>
      <c r="L892" s="99">
        <f t="shared" ref="L892:M892" si="859">COUNTIF(A892:A2062,A892)</f>
        <v>1</v>
      </c>
      <c r="M892" s="99">
        <f t="shared" si="859"/>
        <v>1</v>
      </c>
      <c r="N892" s="84"/>
      <c r="O892" s="84"/>
      <c r="P892" s="84"/>
      <c r="Q892" s="84"/>
      <c r="R892" s="84"/>
    </row>
    <row r="893" ht="15.75" customHeight="1">
      <c r="A893" s="129">
        <v>1.2063037E7</v>
      </c>
      <c r="B893" s="106" t="s">
        <v>2049</v>
      </c>
      <c r="C893" s="59"/>
      <c r="D893" s="133"/>
      <c r="E893" s="176" t="s">
        <v>339</v>
      </c>
      <c r="F893" s="178"/>
      <c r="G893" s="106" t="s">
        <v>428</v>
      </c>
      <c r="H893" s="133"/>
      <c r="I893" s="99"/>
      <c r="K893" s="84"/>
      <c r="L893" s="99">
        <f t="shared" ref="L893:M893" si="860">COUNTIF(A893:A2063,A893)</f>
        <v>1</v>
      </c>
      <c r="M893" s="99">
        <f t="shared" si="860"/>
        <v>1</v>
      </c>
      <c r="N893" s="84"/>
      <c r="O893" s="84"/>
      <c r="P893" s="84"/>
      <c r="Q893" s="84"/>
      <c r="R893" s="84"/>
    </row>
    <row r="894" ht="15.75" customHeight="1">
      <c r="A894" s="129">
        <v>1.2063038E7</v>
      </c>
      <c r="B894" s="106" t="s">
        <v>2050</v>
      </c>
      <c r="C894" s="59"/>
      <c r="D894" s="133"/>
      <c r="E894" s="176" t="s">
        <v>339</v>
      </c>
      <c r="F894" s="178"/>
      <c r="G894" s="106" t="s">
        <v>428</v>
      </c>
      <c r="H894" s="133"/>
      <c r="I894" s="99"/>
      <c r="K894" s="84"/>
      <c r="L894" s="99">
        <f t="shared" ref="L894:M894" si="861">COUNTIF(A894:A2064,A894)</f>
        <v>1</v>
      </c>
      <c r="M894" s="99">
        <f t="shared" si="861"/>
        <v>1</v>
      </c>
      <c r="N894" s="84"/>
      <c r="O894" s="84"/>
      <c r="P894" s="84"/>
      <c r="Q894" s="84"/>
      <c r="R894" s="84"/>
    </row>
    <row r="895" ht="15.75" customHeight="1">
      <c r="A895" s="129">
        <v>1.2063039E7</v>
      </c>
      <c r="B895" s="106" t="s">
        <v>2051</v>
      </c>
      <c r="C895" s="59"/>
      <c r="D895" s="133"/>
      <c r="E895" s="176" t="s">
        <v>339</v>
      </c>
      <c r="F895" s="178"/>
      <c r="G895" s="106" t="s">
        <v>428</v>
      </c>
      <c r="H895" s="133"/>
      <c r="I895" s="99"/>
      <c r="K895" s="84"/>
      <c r="L895" s="99">
        <f t="shared" ref="L895:M895" si="862">COUNTIF(A895:A2065,A895)</f>
        <v>1</v>
      </c>
      <c r="M895" s="99">
        <f t="shared" si="862"/>
        <v>1</v>
      </c>
      <c r="N895" s="84"/>
      <c r="O895" s="84"/>
      <c r="P895" s="84"/>
      <c r="Q895" s="84"/>
      <c r="R895" s="84"/>
    </row>
    <row r="896" ht="15.75" customHeight="1">
      <c r="A896" s="129">
        <v>1.206304E7</v>
      </c>
      <c r="B896" s="106" t="s">
        <v>2052</v>
      </c>
      <c r="C896" s="73"/>
      <c r="D896" s="133"/>
      <c r="E896" s="176" t="s">
        <v>339</v>
      </c>
      <c r="F896" s="178"/>
      <c r="G896" s="106" t="s">
        <v>428</v>
      </c>
      <c r="H896" s="133"/>
      <c r="I896" s="99"/>
      <c r="K896" s="84"/>
      <c r="L896" s="99">
        <f t="shared" ref="L896:M896" si="863">COUNTIF(A896:A2066,A896)</f>
        <v>1</v>
      </c>
      <c r="M896" s="99">
        <f t="shared" si="863"/>
        <v>1</v>
      </c>
      <c r="N896" s="84"/>
      <c r="O896" s="84"/>
      <c r="P896" s="84"/>
      <c r="Q896" s="84"/>
      <c r="R896" s="84"/>
    </row>
    <row r="897" ht="15.75" customHeight="1">
      <c r="A897" s="129">
        <v>1.2044001E7</v>
      </c>
      <c r="B897" s="106" t="s">
        <v>2053</v>
      </c>
      <c r="C897" s="130" t="s">
        <v>2054</v>
      </c>
      <c r="D897" s="133"/>
      <c r="E897" s="176" t="s">
        <v>864</v>
      </c>
      <c r="F897" s="178"/>
      <c r="G897" s="159"/>
      <c r="H897" s="133"/>
      <c r="I897" s="99"/>
      <c r="K897" s="84"/>
      <c r="L897" s="99">
        <f t="shared" ref="L897:M897" si="864">COUNTIF(A897:A2067,A897)</f>
        <v>1</v>
      </c>
      <c r="M897" s="99">
        <f t="shared" si="864"/>
        <v>1</v>
      </c>
      <c r="N897" s="84"/>
      <c r="O897" s="84"/>
      <c r="P897" s="84"/>
      <c r="Q897" s="84"/>
      <c r="R897" s="84"/>
    </row>
    <row r="898" ht="15.75" customHeight="1">
      <c r="A898" s="129">
        <v>1.2044002E7</v>
      </c>
      <c r="B898" s="106" t="s">
        <v>2055</v>
      </c>
      <c r="C898" s="59"/>
      <c r="D898" s="133"/>
      <c r="E898" s="176" t="s">
        <v>866</v>
      </c>
      <c r="F898" s="178"/>
      <c r="G898" s="159"/>
      <c r="H898" s="133"/>
      <c r="I898" s="99"/>
      <c r="K898" s="84"/>
      <c r="L898" s="99">
        <f t="shared" ref="L898:M898" si="865">COUNTIF(A898:A2068,A898)</f>
        <v>1</v>
      </c>
      <c r="M898" s="99">
        <f t="shared" si="865"/>
        <v>1</v>
      </c>
      <c r="N898" s="84"/>
      <c r="O898" s="84"/>
      <c r="P898" s="84"/>
      <c r="Q898" s="84"/>
      <c r="R898" s="84"/>
    </row>
    <row r="899" ht="15.75" customHeight="1">
      <c r="A899" s="129">
        <v>1.2044003E7</v>
      </c>
      <c r="B899" s="106" t="s">
        <v>2056</v>
      </c>
      <c r="C899" s="59"/>
      <c r="D899" s="133"/>
      <c r="E899" s="178"/>
      <c r="F899" s="178"/>
      <c r="G899" s="159"/>
      <c r="H899" s="133"/>
      <c r="I899" s="99"/>
      <c r="K899" s="84"/>
      <c r="L899" s="99">
        <f t="shared" ref="L899:M899" si="866">COUNTIF(A899:A2069,A899)</f>
        <v>1</v>
      </c>
      <c r="M899" s="99">
        <f t="shared" si="866"/>
        <v>1</v>
      </c>
      <c r="N899" s="84"/>
      <c r="O899" s="84"/>
      <c r="P899" s="84"/>
      <c r="Q899" s="84"/>
      <c r="R899" s="84"/>
    </row>
    <row r="900" ht="15.75" customHeight="1">
      <c r="A900" s="129">
        <v>1.2045001E7</v>
      </c>
      <c r="B900" s="106" t="s">
        <v>2057</v>
      </c>
      <c r="C900" s="59"/>
      <c r="D900" s="133"/>
      <c r="E900" s="176" t="s">
        <v>864</v>
      </c>
      <c r="F900" s="178"/>
      <c r="G900" s="159"/>
      <c r="H900" s="133"/>
      <c r="I900" s="99"/>
      <c r="K900" s="84"/>
      <c r="L900" s="99">
        <f t="shared" ref="L900:M900" si="867">COUNTIF(A900:A2070,A900)</f>
        <v>1</v>
      </c>
      <c r="M900" s="99">
        <f t="shared" si="867"/>
        <v>1</v>
      </c>
      <c r="N900" s="84"/>
      <c r="O900" s="84"/>
      <c r="P900" s="84"/>
      <c r="Q900" s="84"/>
      <c r="R900" s="84"/>
    </row>
    <row r="901" ht="15.75" customHeight="1">
      <c r="A901" s="129">
        <v>1.2045002E7</v>
      </c>
      <c r="B901" s="106" t="s">
        <v>2058</v>
      </c>
      <c r="C901" s="59"/>
      <c r="D901" s="133"/>
      <c r="E901" s="176" t="s">
        <v>866</v>
      </c>
      <c r="F901" s="178"/>
      <c r="G901" s="159"/>
      <c r="H901" s="133"/>
      <c r="I901" s="99"/>
      <c r="K901" s="84"/>
      <c r="L901" s="99">
        <f t="shared" ref="L901:M901" si="868">COUNTIF(A901:A2071,A901)</f>
        <v>1</v>
      </c>
      <c r="M901" s="99">
        <f t="shared" si="868"/>
        <v>1</v>
      </c>
      <c r="N901" s="84"/>
      <c r="O901" s="84"/>
      <c r="P901" s="84"/>
      <c r="Q901" s="84"/>
      <c r="R901" s="84"/>
    </row>
    <row r="902" ht="15.75" customHeight="1">
      <c r="A902" s="129">
        <v>1.2045003E7</v>
      </c>
      <c r="B902" s="106" t="s">
        <v>2059</v>
      </c>
      <c r="C902" s="59"/>
      <c r="D902" s="133"/>
      <c r="E902" s="178"/>
      <c r="F902" s="178"/>
      <c r="G902" s="159"/>
      <c r="H902" s="133"/>
      <c r="I902" s="99"/>
      <c r="K902" s="84"/>
      <c r="L902" s="99">
        <f t="shared" ref="L902:M902" si="869">COUNTIF(A902:A2072,A902)</f>
        <v>1</v>
      </c>
      <c r="M902" s="99">
        <f t="shared" si="869"/>
        <v>1</v>
      </c>
      <c r="N902" s="84"/>
      <c r="O902" s="84"/>
      <c r="P902" s="84"/>
      <c r="Q902" s="84"/>
      <c r="R902" s="84"/>
    </row>
    <row r="903" ht="15.75" customHeight="1">
      <c r="A903" s="129">
        <v>1.2046001E7</v>
      </c>
      <c r="B903" s="106" t="s">
        <v>2060</v>
      </c>
      <c r="C903" s="59"/>
      <c r="D903" s="133"/>
      <c r="E903" s="176" t="s">
        <v>864</v>
      </c>
      <c r="F903" s="178"/>
      <c r="G903" s="159"/>
      <c r="H903" s="133"/>
      <c r="I903" s="99"/>
      <c r="K903" s="84"/>
      <c r="L903" s="99">
        <f t="shared" ref="L903:M903" si="870">COUNTIF(A903:A2073,A903)</f>
        <v>1</v>
      </c>
      <c r="M903" s="99">
        <f t="shared" si="870"/>
        <v>1</v>
      </c>
      <c r="N903" s="84"/>
      <c r="O903" s="84"/>
      <c r="P903" s="84"/>
      <c r="Q903" s="84"/>
      <c r="R903" s="84"/>
    </row>
    <row r="904" ht="15.75" customHeight="1">
      <c r="A904" s="129">
        <v>1.2046002E7</v>
      </c>
      <c r="B904" s="106" t="s">
        <v>2061</v>
      </c>
      <c r="C904" s="59"/>
      <c r="D904" s="133"/>
      <c r="E904" s="176" t="s">
        <v>866</v>
      </c>
      <c r="F904" s="178"/>
      <c r="G904" s="159"/>
      <c r="H904" s="133"/>
      <c r="I904" s="99"/>
      <c r="K904" s="84"/>
      <c r="L904" s="99">
        <f t="shared" ref="L904:M904" si="871">COUNTIF(A904:A2074,A904)</f>
        <v>1</v>
      </c>
      <c r="M904" s="99">
        <f t="shared" si="871"/>
        <v>1</v>
      </c>
      <c r="N904" s="84"/>
      <c r="O904" s="84"/>
      <c r="P904" s="84"/>
      <c r="Q904" s="84"/>
      <c r="R904" s="84"/>
    </row>
    <row r="905" ht="15.75" customHeight="1">
      <c r="A905" s="129">
        <v>1.2046003E7</v>
      </c>
      <c r="B905" s="106" t="s">
        <v>2062</v>
      </c>
      <c r="C905" s="59"/>
      <c r="D905" s="133"/>
      <c r="E905" s="178"/>
      <c r="F905" s="178"/>
      <c r="G905" s="159"/>
      <c r="H905" s="133"/>
      <c r="I905" s="99"/>
      <c r="K905" s="84"/>
      <c r="L905" s="99">
        <f t="shared" ref="L905:M905" si="872">COUNTIF(A905:A2075,A905)</f>
        <v>1</v>
      </c>
      <c r="M905" s="99">
        <f t="shared" si="872"/>
        <v>1</v>
      </c>
      <c r="N905" s="84"/>
      <c r="O905" s="84"/>
      <c r="P905" s="84"/>
      <c r="Q905" s="84"/>
      <c r="R905" s="84"/>
    </row>
    <row r="906" ht="15.75" customHeight="1">
      <c r="A906" s="129">
        <v>1.2099201E7</v>
      </c>
      <c r="B906" s="106" t="s">
        <v>2063</v>
      </c>
      <c r="C906" s="59"/>
      <c r="D906" s="200"/>
      <c r="E906" s="201" t="s">
        <v>247</v>
      </c>
      <c r="F906" s="201" t="s">
        <v>247</v>
      </c>
      <c r="G906" s="200"/>
      <c r="H906" s="200"/>
      <c r="I906" s="99"/>
      <c r="K906" s="84"/>
      <c r="L906" s="99">
        <f t="shared" ref="L906:M906" si="873">COUNTIF(A906:A2076,A906)</f>
        <v>1</v>
      </c>
      <c r="M906" s="99">
        <f t="shared" si="873"/>
        <v>1</v>
      </c>
      <c r="N906" s="84"/>
      <c r="O906" s="84"/>
      <c r="P906" s="84"/>
      <c r="Q906" s="84"/>
      <c r="R906" s="84"/>
    </row>
    <row r="907" ht="15.75" customHeight="1">
      <c r="A907" s="129">
        <v>1.2099202E7</v>
      </c>
      <c r="B907" s="106" t="s">
        <v>2064</v>
      </c>
      <c r="C907" s="59"/>
      <c r="D907" s="200"/>
      <c r="E907" s="201" t="s">
        <v>359</v>
      </c>
      <c r="F907" s="202"/>
      <c r="G907" s="200"/>
      <c r="H907" s="200"/>
      <c r="I907" s="99"/>
      <c r="K907" s="84"/>
      <c r="L907" s="99">
        <f t="shared" ref="L907:M907" si="874">COUNTIF(A907:A2077,A907)</f>
        <v>1</v>
      </c>
      <c r="M907" s="99">
        <f t="shared" si="874"/>
        <v>1</v>
      </c>
      <c r="N907" s="84"/>
      <c r="O907" s="84"/>
      <c r="P907" s="84"/>
      <c r="Q907" s="84"/>
      <c r="R907" s="84"/>
    </row>
    <row r="908" ht="15.75" customHeight="1">
      <c r="A908" s="129">
        <v>1.2099203E7</v>
      </c>
      <c r="B908" s="106" t="s">
        <v>2065</v>
      </c>
      <c r="C908" s="59"/>
      <c r="D908" s="200"/>
      <c r="E908" s="201" t="s">
        <v>247</v>
      </c>
      <c r="F908" s="201" t="s">
        <v>247</v>
      </c>
      <c r="G908" s="200"/>
      <c r="H908" s="200"/>
      <c r="I908" s="99"/>
      <c r="K908" s="84"/>
      <c r="L908" s="99">
        <f t="shared" ref="L908:M908" si="875">COUNTIF(A908:A2078,A908)</f>
        <v>1</v>
      </c>
      <c r="M908" s="99">
        <f t="shared" si="875"/>
        <v>1</v>
      </c>
      <c r="N908" s="84"/>
      <c r="O908" s="84"/>
      <c r="P908" s="84"/>
      <c r="Q908" s="84"/>
      <c r="R908" s="84"/>
    </row>
    <row r="909" ht="15.75" customHeight="1">
      <c r="A909" s="129">
        <v>1.2099204E7</v>
      </c>
      <c r="B909" s="106" t="s">
        <v>2066</v>
      </c>
      <c r="C909" s="59"/>
      <c r="D909" s="200"/>
      <c r="E909" s="201" t="s">
        <v>359</v>
      </c>
      <c r="F909" s="202"/>
      <c r="G909" s="200"/>
      <c r="H909" s="200"/>
      <c r="I909" s="99"/>
      <c r="K909" s="84"/>
      <c r="L909" s="99">
        <f t="shared" ref="L909:M909" si="876">COUNTIF(A909:A2079,A909)</f>
        <v>1</v>
      </c>
      <c r="M909" s="99">
        <f t="shared" si="876"/>
        <v>1</v>
      </c>
      <c r="N909" s="84"/>
      <c r="O909" s="84"/>
      <c r="P909" s="84"/>
      <c r="Q909" s="84"/>
      <c r="R909" s="84"/>
    </row>
    <row r="910" ht="15.75" customHeight="1">
      <c r="A910" s="129">
        <v>1.2099205E7</v>
      </c>
      <c r="B910" s="106" t="s">
        <v>2067</v>
      </c>
      <c r="C910" s="59"/>
      <c r="D910" s="200"/>
      <c r="E910" s="201" t="s">
        <v>247</v>
      </c>
      <c r="F910" s="201" t="s">
        <v>247</v>
      </c>
      <c r="G910" s="200"/>
      <c r="H910" s="200"/>
      <c r="I910" s="99"/>
      <c r="K910" s="84"/>
      <c r="L910" s="99">
        <f t="shared" ref="L910:M910" si="877">COUNTIF(A910:A2080,A910)</f>
        <v>1</v>
      </c>
      <c r="M910" s="99">
        <f t="shared" si="877"/>
        <v>1</v>
      </c>
      <c r="N910" s="84"/>
      <c r="O910" s="84"/>
      <c r="P910" s="84"/>
      <c r="Q910" s="84"/>
      <c r="R910" s="84"/>
    </row>
    <row r="911" ht="15.75" customHeight="1">
      <c r="A911" s="129">
        <v>1.2099206E7</v>
      </c>
      <c r="B911" s="106" t="s">
        <v>2068</v>
      </c>
      <c r="C911" s="59"/>
      <c r="D911" s="200"/>
      <c r="E911" s="201" t="s">
        <v>1448</v>
      </c>
      <c r="F911" s="202"/>
      <c r="G911" s="200"/>
      <c r="H911" s="200"/>
      <c r="I911" s="99"/>
      <c r="K911" s="84"/>
      <c r="L911" s="99">
        <f t="shared" ref="L911:M911" si="878">COUNTIF(A911:A2081,A911)</f>
        <v>1</v>
      </c>
      <c r="M911" s="99">
        <f t="shared" si="878"/>
        <v>1</v>
      </c>
      <c r="N911" s="84"/>
      <c r="O911" s="84"/>
      <c r="P911" s="84"/>
      <c r="Q911" s="84"/>
      <c r="R911" s="84"/>
    </row>
    <row r="912" ht="15.75" customHeight="1">
      <c r="A912" s="129">
        <v>1.2099207E7</v>
      </c>
      <c r="B912" s="106" t="s">
        <v>2069</v>
      </c>
      <c r="C912" s="59"/>
      <c r="D912" s="200"/>
      <c r="E912" s="201" t="s">
        <v>247</v>
      </c>
      <c r="F912" s="201" t="s">
        <v>247</v>
      </c>
      <c r="G912" s="200"/>
      <c r="H912" s="200"/>
      <c r="I912" s="99"/>
      <c r="K912" s="84"/>
      <c r="L912" s="99">
        <f t="shared" ref="L912:M912" si="879">COUNTIF(A912:A2082,A912)</f>
        <v>1</v>
      </c>
      <c r="M912" s="99">
        <f t="shared" si="879"/>
        <v>1</v>
      </c>
      <c r="N912" s="84"/>
      <c r="O912" s="84"/>
      <c r="P912" s="84"/>
      <c r="Q912" s="84"/>
      <c r="R912" s="84"/>
    </row>
    <row r="913" ht="15.75" customHeight="1">
      <c r="A913" s="129">
        <v>1.2099208E7</v>
      </c>
      <c r="B913" s="106" t="s">
        <v>2070</v>
      </c>
      <c r="C913" s="59"/>
      <c r="D913" s="200"/>
      <c r="E913" s="201" t="s">
        <v>1448</v>
      </c>
      <c r="F913" s="202"/>
      <c r="G913" s="200"/>
      <c r="H913" s="200"/>
      <c r="I913" s="99"/>
      <c r="K913" s="84"/>
      <c r="L913" s="99">
        <f t="shared" ref="L913:M913" si="880">COUNTIF(A913:A2083,A913)</f>
        <v>1</v>
      </c>
      <c r="M913" s="99">
        <f t="shared" si="880"/>
        <v>1</v>
      </c>
      <c r="N913" s="84"/>
      <c r="O913" s="84"/>
      <c r="P913" s="84"/>
      <c r="Q913" s="84"/>
      <c r="R913" s="84"/>
    </row>
    <row r="914" ht="15.75" customHeight="1">
      <c r="A914" s="129">
        <v>1.2099209E7</v>
      </c>
      <c r="B914" s="106" t="s">
        <v>2071</v>
      </c>
      <c r="C914" s="59"/>
      <c r="D914" s="200"/>
      <c r="E914" s="201" t="s">
        <v>247</v>
      </c>
      <c r="F914" s="201" t="s">
        <v>247</v>
      </c>
      <c r="G914" s="200"/>
      <c r="H914" s="200"/>
      <c r="I914" s="99"/>
      <c r="K914" s="84"/>
      <c r="L914" s="99">
        <f t="shared" ref="L914:M914" si="881">COUNTIF(A914:A2084,A914)</f>
        <v>1</v>
      </c>
      <c r="M914" s="99">
        <f t="shared" si="881"/>
        <v>1</v>
      </c>
      <c r="N914" s="84"/>
      <c r="O914" s="84"/>
      <c r="P914" s="84"/>
      <c r="Q914" s="84"/>
      <c r="R914" s="84"/>
    </row>
    <row r="915" ht="15.75" customHeight="1">
      <c r="A915" s="129">
        <v>1.209921E7</v>
      </c>
      <c r="B915" s="106" t="s">
        <v>2072</v>
      </c>
      <c r="C915" s="59"/>
      <c r="D915" s="200"/>
      <c r="E915" s="201" t="s">
        <v>1649</v>
      </c>
      <c r="F915" s="202"/>
      <c r="G915" s="200"/>
      <c r="H915" s="200"/>
      <c r="I915" s="99"/>
      <c r="K915" s="84"/>
      <c r="L915" s="99">
        <f t="shared" ref="L915:M915" si="882">COUNTIF(A915:A2085,A915)</f>
        <v>1</v>
      </c>
      <c r="M915" s="99">
        <f t="shared" si="882"/>
        <v>1</v>
      </c>
      <c r="N915" s="84"/>
      <c r="O915" s="84"/>
      <c r="P915" s="84"/>
      <c r="Q915" s="84"/>
      <c r="R915" s="84"/>
    </row>
    <row r="916" ht="15.75" customHeight="1">
      <c r="A916" s="129">
        <v>1.2099211E7</v>
      </c>
      <c r="B916" s="106" t="s">
        <v>2073</v>
      </c>
      <c r="C916" s="59"/>
      <c r="D916" s="200"/>
      <c r="E916" s="201" t="s">
        <v>247</v>
      </c>
      <c r="F916" s="201" t="s">
        <v>247</v>
      </c>
      <c r="G916" s="200"/>
      <c r="H916" s="200"/>
      <c r="I916" s="99"/>
      <c r="K916" s="84"/>
      <c r="L916" s="99">
        <f t="shared" ref="L916:M916" si="883">COUNTIF(A916:A2086,A916)</f>
        <v>1</v>
      </c>
      <c r="M916" s="99">
        <f t="shared" si="883"/>
        <v>1</v>
      </c>
      <c r="N916" s="84"/>
      <c r="O916" s="84"/>
      <c r="P916" s="84"/>
      <c r="Q916" s="84"/>
      <c r="R916" s="84"/>
    </row>
    <row r="917" ht="15.75" customHeight="1">
      <c r="A917" s="129">
        <v>1.2099212E7</v>
      </c>
      <c r="B917" s="106" t="s">
        <v>2074</v>
      </c>
      <c r="C917" s="73"/>
      <c r="D917" s="200"/>
      <c r="E917" s="201" t="s">
        <v>1649</v>
      </c>
      <c r="F917" s="202"/>
      <c r="G917" s="200"/>
      <c r="H917" s="200"/>
      <c r="I917" s="99"/>
      <c r="K917" s="84"/>
      <c r="L917" s="99">
        <f t="shared" ref="L917:M917" si="884">COUNTIF(A917:A2087,A917)</f>
        <v>1</v>
      </c>
      <c r="M917" s="99">
        <f t="shared" si="884"/>
        <v>1</v>
      </c>
      <c r="N917" s="84"/>
      <c r="O917" s="84"/>
      <c r="P917" s="84"/>
      <c r="Q917" s="84"/>
      <c r="R917" s="84"/>
    </row>
    <row r="918" ht="15.75" customHeight="1">
      <c r="A918" s="190">
        <v>1.2047001E7</v>
      </c>
      <c r="B918" s="189" t="s">
        <v>2075</v>
      </c>
      <c r="C918" s="203" t="s">
        <v>878</v>
      </c>
      <c r="D918" s="133"/>
      <c r="E918" s="188" t="s">
        <v>879</v>
      </c>
      <c r="F918" s="188" t="s">
        <v>880</v>
      </c>
      <c r="G918" s="159"/>
      <c r="H918" s="133"/>
      <c r="I918" s="99"/>
      <c r="K918" s="84"/>
      <c r="L918" s="99">
        <f t="shared" ref="L918:M918" si="885">COUNTIF(A918:A2088,A918)</f>
        <v>1</v>
      </c>
      <c r="M918" s="99">
        <f t="shared" si="885"/>
        <v>1</v>
      </c>
      <c r="N918" s="84"/>
      <c r="O918" s="84"/>
      <c r="P918" s="84"/>
      <c r="Q918" s="84"/>
      <c r="R918" s="84"/>
    </row>
    <row r="919" ht="15.75" customHeight="1">
      <c r="A919" s="190">
        <v>1.2047002E7</v>
      </c>
      <c r="B919" s="189" t="s">
        <v>2076</v>
      </c>
      <c r="C919" s="204"/>
      <c r="D919" s="133"/>
      <c r="E919" s="188" t="s">
        <v>879</v>
      </c>
      <c r="F919" s="188" t="s">
        <v>880</v>
      </c>
      <c r="G919" s="159"/>
      <c r="H919" s="133"/>
      <c r="I919" s="99"/>
      <c r="K919" s="84"/>
      <c r="L919" s="99">
        <f t="shared" ref="L919:M919" si="886">COUNTIF(A919:A2089,A919)</f>
        <v>1</v>
      </c>
      <c r="M919" s="99">
        <f t="shared" si="886"/>
        <v>1</v>
      </c>
      <c r="N919" s="84"/>
      <c r="O919" s="84"/>
      <c r="P919" s="84"/>
      <c r="Q919" s="84"/>
      <c r="R919" s="84"/>
    </row>
    <row r="920" ht="15.75" customHeight="1">
      <c r="A920" s="190">
        <v>1.2047003E7</v>
      </c>
      <c r="B920" s="189" t="s">
        <v>2077</v>
      </c>
      <c r="C920" s="204"/>
      <c r="D920" s="133"/>
      <c r="E920" s="188" t="s">
        <v>879</v>
      </c>
      <c r="F920" s="188" t="s">
        <v>880</v>
      </c>
      <c r="G920" s="159"/>
      <c r="H920" s="133"/>
      <c r="I920" s="99"/>
      <c r="K920" s="84"/>
      <c r="L920" s="99">
        <f t="shared" ref="L920:M920" si="887">COUNTIF(A920:A2090,A920)</f>
        <v>1</v>
      </c>
      <c r="M920" s="99">
        <f t="shared" si="887"/>
        <v>1</v>
      </c>
      <c r="N920" s="84"/>
      <c r="O920" s="84"/>
      <c r="P920" s="84"/>
      <c r="Q920" s="84"/>
      <c r="R920" s="84"/>
    </row>
    <row r="921" ht="15.75" customHeight="1">
      <c r="A921" s="190" t="s">
        <v>389</v>
      </c>
      <c r="B921" s="189" t="s">
        <v>2078</v>
      </c>
      <c r="C921" s="203" t="s">
        <v>884</v>
      </c>
      <c r="D921" s="133"/>
      <c r="E921" s="178"/>
      <c r="F921" s="178"/>
      <c r="G921" s="189" t="s">
        <v>420</v>
      </c>
      <c r="H921" s="133"/>
      <c r="I921" s="99"/>
      <c r="K921" s="84"/>
      <c r="L921" s="99">
        <f t="shared" ref="L921:M921" si="888">COUNTIF(A921:A2091,A921)</f>
        <v>1</v>
      </c>
      <c r="M921" s="99">
        <f t="shared" si="888"/>
        <v>1</v>
      </c>
      <c r="N921" s="84"/>
      <c r="O921" s="84"/>
      <c r="P921" s="84"/>
      <c r="Q921" s="84"/>
      <c r="R921" s="84"/>
    </row>
    <row r="922" ht="15.75" customHeight="1">
      <c r="A922" s="190">
        <v>1.2070002E7</v>
      </c>
      <c r="B922" s="189" t="s">
        <v>2079</v>
      </c>
      <c r="C922" s="204"/>
      <c r="D922" s="133"/>
      <c r="E922" s="178"/>
      <c r="F922" s="178"/>
      <c r="G922" s="189" t="s">
        <v>420</v>
      </c>
      <c r="H922" s="133"/>
      <c r="I922" s="99"/>
      <c r="K922" s="84"/>
      <c r="L922" s="99">
        <f t="shared" ref="L922:M922" si="889">COUNTIF(A922:A2092,A922)</f>
        <v>1</v>
      </c>
      <c r="M922" s="99">
        <f t="shared" si="889"/>
        <v>1</v>
      </c>
      <c r="N922" s="84"/>
      <c r="O922" s="84"/>
      <c r="P922" s="84"/>
      <c r="Q922" s="84"/>
      <c r="R922" s="84"/>
    </row>
    <row r="923" ht="15.75" customHeight="1">
      <c r="A923" s="190">
        <v>1.2070003E7</v>
      </c>
      <c r="B923" s="189" t="s">
        <v>2080</v>
      </c>
      <c r="C923" s="204"/>
      <c r="D923" s="133"/>
      <c r="E923" s="178"/>
      <c r="F923" s="178"/>
      <c r="G923" s="189" t="s">
        <v>420</v>
      </c>
      <c r="H923" s="133"/>
      <c r="I923" s="99"/>
      <c r="K923" s="84"/>
      <c r="L923" s="99">
        <f t="shared" ref="L923:M923" si="890">COUNTIF(A923:A2093,A923)</f>
        <v>1</v>
      </c>
      <c r="M923" s="99">
        <f t="shared" si="890"/>
        <v>1</v>
      </c>
      <c r="N923" s="84"/>
      <c r="O923" s="84"/>
      <c r="P923" s="84"/>
      <c r="Q923" s="84"/>
      <c r="R923" s="84"/>
    </row>
    <row r="924" ht="15.75" customHeight="1">
      <c r="A924" s="190">
        <v>1.2070004E7</v>
      </c>
      <c r="B924" s="189" t="s">
        <v>2081</v>
      </c>
      <c r="C924" s="204"/>
      <c r="D924" s="133"/>
      <c r="E924" s="178"/>
      <c r="F924" s="178"/>
      <c r="G924" s="189" t="s">
        <v>420</v>
      </c>
      <c r="H924" s="133"/>
      <c r="I924" s="99"/>
      <c r="K924" s="84"/>
      <c r="L924" s="99">
        <f t="shared" ref="L924:M924" si="891">COUNTIF(A924:A2094,A924)</f>
        <v>1</v>
      </c>
      <c r="M924" s="99">
        <f t="shared" si="891"/>
        <v>1</v>
      </c>
      <c r="N924" s="84"/>
      <c r="O924" s="84"/>
      <c r="P924" s="84"/>
      <c r="Q924" s="84"/>
      <c r="R924" s="84"/>
    </row>
    <row r="925" ht="15.75" customHeight="1">
      <c r="A925" s="190">
        <v>1.2070005E7</v>
      </c>
      <c r="B925" s="189" t="s">
        <v>2082</v>
      </c>
      <c r="C925" s="204"/>
      <c r="D925" s="133"/>
      <c r="E925" s="178"/>
      <c r="F925" s="178"/>
      <c r="G925" s="189" t="s">
        <v>420</v>
      </c>
      <c r="H925" s="133"/>
      <c r="I925" s="99"/>
      <c r="K925" s="84"/>
      <c r="L925" s="99">
        <f t="shared" ref="L925:M925" si="892">COUNTIF(A925:A2095,A925)</f>
        <v>1</v>
      </c>
      <c r="M925" s="99">
        <f t="shared" si="892"/>
        <v>1</v>
      </c>
      <c r="N925" s="84"/>
      <c r="O925" s="84"/>
      <c r="P925" s="84"/>
      <c r="Q925" s="84"/>
      <c r="R925" s="84"/>
    </row>
    <row r="926" ht="15.75" customHeight="1">
      <c r="A926" s="190">
        <v>1.2070006E7</v>
      </c>
      <c r="B926" s="189" t="s">
        <v>2083</v>
      </c>
      <c r="C926" s="204"/>
      <c r="D926" s="133"/>
      <c r="E926" s="178"/>
      <c r="F926" s="178"/>
      <c r="G926" s="189" t="s">
        <v>420</v>
      </c>
      <c r="H926" s="133"/>
      <c r="I926" s="99"/>
      <c r="K926" s="84"/>
      <c r="L926" s="99">
        <f t="shared" ref="L926:M926" si="893">COUNTIF(A926:A2096,A926)</f>
        <v>1</v>
      </c>
      <c r="M926" s="99">
        <f t="shared" si="893"/>
        <v>1</v>
      </c>
      <c r="N926" s="84"/>
      <c r="O926" s="84"/>
      <c r="P926" s="84"/>
      <c r="Q926" s="84"/>
      <c r="R926" s="84"/>
    </row>
    <row r="927" ht="15.75" customHeight="1">
      <c r="A927" s="190">
        <v>1.2070007E7</v>
      </c>
      <c r="B927" s="189" t="s">
        <v>2084</v>
      </c>
      <c r="C927" s="204"/>
      <c r="D927" s="133"/>
      <c r="E927" s="178"/>
      <c r="F927" s="178"/>
      <c r="G927" s="189" t="s">
        <v>420</v>
      </c>
      <c r="H927" s="133"/>
      <c r="I927" s="99"/>
      <c r="K927" s="84"/>
      <c r="L927" s="99">
        <f t="shared" ref="L927:M927" si="894">COUNTIF(A927:A2097,A927)</f>
        <v>1</v>
      </c>
      <c r="M927" s="99">
        <f t="shared" si="894"/>
        <v>1</v>
      </c>
      <c r="N927" s="84"/>
      <c r="O927" s="84"/>
      <c r="P927" s="84"/>
      <c r="Q927" s="84"/>
      <c r="R927" s="84"/>
    </row>
    <row r="928" ht="15.75" customHeight="1">
      <c r="A928" s="190">
        <v>1.2070008E7</v>
      </c>
      <c r="B928" s="189" t="s">
        <v>2085</v>
      </c>
      <c r="C928" s="204"/>
      <c r="D928" s="133"/>
      <c r="E928" s="178"/>
      <c r="F928" s="178"/>
      <c r="G928" s="189" t="s">
        <v>420</v>
      </c>
      <c r="H928" s="133"/>
      <c r="I928" s="99"/>
      <c r="K928" s="84"/>
      <c r="L928" s="99">
        <f t="shared" ref="L928:M928" si="895">COUNTIF(A928:A2098,A928)</f>
        <v>1</v>
      </c>
      <c r="M928" s="99">
        <f t="shared" si="895"/>
        <v>1</v>
      </c>
      <c r="N928" s="84"/>
      <c r="O928" s="84"/>
      <c r="P928" s="84"/>
      <c r="Q928" s="84"/>
      <c r="R928" s="84"/>
    </row>
    <row r="929" ht="15.75" customHeight="1">
      <c r="A929" s="190">
        <v>1.2070009E7</v>
      </c>
      <c r="B929" s="189" t="s">
        <v>2086</v>
      </c>
      <c r="C929" s="204"/>
      <c r="D929" s="133"/>
      <c r="E929" s="178"/>
      <c r="F929" s="178"/>
      <c r="G929" s="189" t="s">
        <v>420</v>
      </c>
      <c r="H929" s="133"/>
      <c r="I929" s="99"/>
      <c r="K929" s="84"/>
      <c r="L929" s="99">
        <f t="shared" ref="L929:M929" si="896">COUNTIF(A929:A2099,A929)</f>
        <v>1</v>
      </c>
      <c r="M929" s="99">
        <f t="shared" si="896"/>
        <v>1</v>
      </c>
      <c r="N929" s="84"/>
      <c r="O929" s="84"/>
      <c r="P929" s="84"/>
      <c r="Q929" s="84"/>
      <c r="R929" s="84"/>
    </row>
    <row r="930" ht="15.75" customHeight="1">
      <c r="A930" s="190">
        <v>1.207001E7</v>
      </c>
      <c r="B930" s="189" t="s">
        <v>2087</v>
      </c>
      <c r="C930" s="204"/>
      <c r="D930" s="133"/>
      <c r="E930" s="178"/>
      <c r="F930" s="178"/>
      <c r="G930" s="189" t="s">
        <v>420</v>
      </c>
      <c r="H930" s="133"/>
      <c r="I930" s="99"/>
      <c r="K930" s="84"/>
      <c r="L930" s="99">
        <f t="shared" ref="L930:M930" si="897">COUNTIF(A930:A2100,A930)</f>
        <v>1</v>
      </c>
      <c r="M930" s="99">
        <f t="shared" si="897"/>
        <v>1</v>
      </c>
      <c r="N930" s="84"/>
      <c r="O930" s="84"/>
      <c r="P930" s="84"/>
      <c r="Q930" s="84"/>
      <c r="R930" s="84"/>
    </row>
    <row r="931" ht="15.75" customHeight="1">
      <c r="A931" s="190">
        <v>1.2070011E7</v>
      </c>
      <c r="B931" s="189" t="s">
        <v>2088</v>
      </c>
      <c r="C931" s="204"/>
      <c r="D931" s="133"/>
      <c r="E931" s="178"/>
      <c r="F931" s="178"/>
      <c r="G931" s="189" t="s">
        <v>420</v>
      </c>
      <c r="H931" s="133"/>
      <c r="I931" s="99"/>
      <c r="K931" s="84"/>
      <c r="L931" s="99">
        <f t="shared" ref="L931:M931" si="898">COUNTIF(A931:A2101,A931)</f>
        <v>1</v>
      </c>
      <c r="M931" s="99">
        <f t="shared" si="898"/>
        <v>1</v>
      </c>
      <c r="N931" s="84"/>
      <c r="O931" s="84"/>
      <c r="P931" s="84"/>
      <c r="Q931" s="84"/>
      <c r="R931" s="84"/>
    </row>
    <row r="932" ht="15.75" customHeight="1">
      <c r="A932" s="190">
        <v>1.2070012E7</v>
      </c>
      <c r="B932" s="189" t="s">
        <v>2089</v>
      </c>
      <c r="C932" s="204"/>
      <c r="D932" s="133"/>
      <c r="E932" s="178"/>
      <c r="F932" s="178"/>
      <c r="G932" s="189" t="s">
        <v>420</v>
      </c>
      <c r="H932" s="133"/>
      <c r="I932" s="99"/>
      <c r="K932" s="84"/>
      <c r="L932" s="99">
        <f t="shared" ref="L932:M932" si="899">COUNTIF(A932:A2102,A932)</f>
        <v>1</v>
      </c>
      <c r="M932" s="99">
        <f t="shared" si="899"/>
        <v>1</v>
      </c>
      <c r="N932" s="84"/>
      <c r="O932" s="84"/>
      <c r="P932" s="84"/>
      <c r="Q932" s="84"/>
      <c r="R932" s="84"/>
    </row>
    <row r="933" ht="15.75" customHeight="1">
      <c r="A933" s="190">
        <v>1.2070013E7</v>
      </c>
      <c r="B933" s="189" t="s">
        <v>2090</v>
      </c>
      <c r="C933" s="204"/>
      <c r="D933" s="133"/>
      <c r="E933" s="178"/>
      <c r="F933" s="178"/>
      <c r="G933" s="189" t="s">
        <v>420</v>
      </c>
      <c r="H933" s="133"/>
      <c r="I933" s="99"/>
      <c r="K933" s="84"/>
      <c r="L933" s="99">
        <f t="shared" ref="L933:M933" si="900">COUNTIF(A933:A2103,A933)</f>
        <v>1</v>
      </c>
      <c r="M933" s="99">
        <f t="shared" si="900"/>
        <v>1</v>
      </c>
      <c r="N933" s="84"/>
      <c r="O933" s="84"/>
      <c r="P933" s="84"/>
      <c r="Q933" s="84"/>
      <c r="R933" s="84"/>
    </row>
    <row r="934" ht="15.75" customHeight="1">
      <c r="A934" s="190">
        <v>1.2070014E7</v>
      </c>
      <c r="B934" s="189" t="s">
        <v>2091</v>
      </c>
      <c r="C934" s="204"/>
      <c r="D934" s="133"/>
      <c r="E934" s="178"/>
      <c r="F934" s="178"/>
      <c r="G934" s="189" t="s">
        <v>420</v>
      </c>
      <c r="H934" s="133"/>
      <c r="I934" s="99"/>
      <c r="K934" s="84"/>
      <c r="L934" s="99">
        <f t="shared" ref="L934:M934" si="901">COUNTIF(A934:A2104,A934)</f>
        <v>1</v>
      </c>
      <c r="M934" s="99">
        <f t="shared" si="901"/>
        <v>1</v>
      </c>
      <c r="N934" s="84"/>
      <c r="O934" s="84"/>
      <c r="P934" s="84"/>
      <c r="Q934" s="84"/>
      <c r="R934" s="84"/>
    </row>
    <row r="935" ht="15.75" customHeight="1">
      <c r="A935" s="190">
        <v>1.2070015E7</v>
      </c>
      <c r="B935" s="189" t="s">
        <v>2092</v>
      </c>
      <c r="C935" s="204"/>
      <c r="D935" s="133"/>
      <c r="E935" s="178"/>
      <c r="F935" s="178"/>
      <c r="G935" s="189" t="s">
        <v>420</v>
      </c>
      <c r="H935" s="133"/>
      <c r="I935" s="99"/>
      <c r="K935" s="84"/>
      <c r="L935" s="99">
        <f t="shared" ref="L935:M935" si="902">COUNTIF(A935:A2105,A935)</f>
        <v>1</v>
      </c>
      <c r="M935" s="99">
        <f t="shared" si="902"/>
        <v>1</v>
      </c>
      <c r="N935" s="84"/>
      <c r="O935" s="84"/>
      <c r="P935" s="84"/>
      <c r="Q935" s="84"/>
      <c r="R935" s="84"/>
    </row>
    <row r="936" ht="15.75" customHeight="1">
      <c r="A936" s="190">
        <v>1.2070016E7</v>
      </c>
      <c r="B936" s="189" t="s">
        <v>2093</v>
      </c>
      <c r="C936" s="204"/>
      <c r="D936" s="133"/>
      <c r="E936" s="178"/>
      <c r="F936" s="178"/>
      <c r="G936" s="189" t="s">
        <v>420</v>
      </c>
      <c r="H936" s="133"/>
      <c r="I936" s="99"/>
      <c r="K936" s="84"/>
      <c r="L936" s="99">
        <f t="shared" ref="L936:M936" si="903">COUNTIF(A936:A2106,A936)</f>
        <v>1</v>
      </c>
      <c r="M936" s="99">
        <f t="shared" si="903"/>
        <v>1</v>
      </c>
      <c r="N936" s="84"/>
      <c r="O936" s="84"/>
      <c r="P936" s="84"/>
      <c r="Q936" s="84"/>
      <c r="R936" s="84"/>
    </row>
    <row r="937" ht="15.75" customHeight="1">
      <c r="A937" s="190">
        <v>1.2070017E7</v>
      </c>
      <c r="B937" s="189" t="s">
        <v>2094</v>
      </c>
      <c r="C937" s="204"/>
      <c r="D937" s="133"/>
      <c r="E937" s="178"/>
      <c r="F937" s="178"/>
      <c r="G937" s="189" t="s">
        <v>420</v>
      </c>
      <c r="H937" s="133"/>
      <c r="I937" s="99"/>
      <c r="K937" s="84"/>
      <c r="L937" s="99">
        <f t="shared" ref="L937:M937" si="904">COUNTIF(A937:A2107,A937)</f>
        <v>1</v>
      </c>
      <c r="M937" s="99">
        <f t="shared" si="904"/>
        <v>1</v>
      </c>
      <c r="N937" s="84"/>
      <c r="O937" s="84"/>
      <c r="P937" s="84"/>
      <c r="Q937" s="84"/>
      <c r="R937" s="84"/>
    </row>
    <row r="938" ht="15.75" customHeight="1">
      <c r="A938" s="190">
        <v>1.2070018E7</v>
      </c>
      <c r="B938" s="189" t="s">
        <v>2095</v>
      </c>
      <c r="C938" s="204"/>
      <c r="D938" s="133"/>
      <c r="E938" s="178"/>
      <c r="F938" s="178"/>
      <c r="G938" s="189" t="s">
        <v>420</v>
      </c>
      <c r="H938" s="133"/>
      <c r="I938" s="99"/>
      <c r="K938" s="84"/>
      <c r="L938" s="99">
        <f t="shared" ref="L938:M938" si="905">COUNTIF(A938:A2108,A938)</f>
        <v>1</v>
      </c>
      <c r="M938" s="99">
        <f t="shared" si="905"/>
        <v>1</v>
      </c>
      <c r="N938" s="84"/>
      <c r="O938" s="84"/>
      <c r="P938" s="84"/>
      <c r="Q938" s="84"/>
      <c r="R938" s="84"/>
    </row>
    <row r="939" ht="15.75" customHeight="1">
      <c r="A939" s="190">
        <v>1.2070019E7</v>
      </c>
      <c r="B939" s="189" t="s">
        <v>2096</v>
      </c>
      <c r="C939" s="204"/>
      <c r="D939" s="133"/>
      <c r="E939" s="178"/>
      <c r="F939" s="178"/>
      <c r="G939" s="189" t="s">
        <v>420</v>
      </c>
      <c r="H939" s="133"/>
      <c r="I939" s="99"/>
      <c r="K939" s="84"/>
      <c r="L939" s="99">
        <f t="shared" ref="L939:M939" si="906">COUNTIF(A939:A2109,A939)</f>
        <v>1</v>
      </c>
      <c r="M939" s="99">
        <f t="shared" si="906"/>
        <v>1</v>
      </c>
      <c r="N939" s="84"/>
      <c r="O939" s="84"/>
      <c r="P939" s="84"/>
      <c r="Q939" s="84"/>
      <c r="R939" s="84"/>
    </row>
    <row r="940" ht="15.75" customHeight="1">
      <c r="A940" s="190">
        <v>1.207002E7</v>
      </c>
      <c r="B940" s="189" t="s">
        <v>2097</v>
      </c>
      <c r="C940" s="204"/>
      <c r="D940" s="133"/>
      <c r="E940" s="178"/>
      <c r="F940" s="178"/>
      <c r="G940" s="189" t="s">
        <v>420</v>
      </c>
      <c r="H940" s="133"/>
      <c r="I940" s="99"/>
      <c r="K940" s="84"/>
      <c r="L940" s="99">
        <f t="shared" ref="L940:M940" si="907">COUNTIF(A940:A2110,A940)</f>
        <v>1</v>
      </c>
      <c r="M940" s="99">
        <f t="shared" si="907"/>
        <v>1</v>
      </c>
      <c r="N940" s="84"/>
      <c r="O940" s="84"/>
      <c r="P940" s="84"/>
      <c r="Q940" s="84"/>
      <c r="R940" s="84"/>
    </row>
    <row r="941" ht="15.75" customHeight="1">
      <c r="A941" s="190">
        <v>1.2070021E7</v>
      </c>
      <c r="B941" s="189" t="s">
        <v>2098</v>
      </c>
      <c r="C941" s="204"/>
      <c r="D941" s="133"/>
      <c r="E941" s="178"/>
      <c r="F941" s="178"/>
      <c r="G941" s="189" t="s">
        <v>420</v>
      </c>
      <c r="H941" s="133"/>
      <c r="I941" s="99"/>
      <c r="K941" s="84"/>
      <c r="L941" s="99">
        <f t="shared" ref="L941:M941" si="908">COUNTIF(A941:A2111,A941)</f>
        <v>1</v>
      </c>
      <c r="M941" s="99">
        <f t="shared" si="908"/>
        <v>1</v>
      </c>
      <c r="N941" s="84"/>
      <c r="O941" s="84"/>
      <c r="P941" s="84"/>
      <c r="Q941" s="84"/>
      <c r="R941" s="84"/>
    </row>
    <row r="942" ht="15.75" customHeight="1">
      <c r="A942" s="190">
        <v>1.2070022E7</v>
      </c>
      <c r="B942" s="189" t="s">
        <v>2099</v>
      </c>
      <c r="C942" s="204"/>
      <c r="D942" s="133"/>
      <c r="E942" s="178"/>
      <c r="F942" s="178"/>
      <c r="G942" s="189" t="s">
        <v>420</v>
      </c>
      <c r="H942" s="133"/>
      <c r="I942" s="99"/>
      <c r="K942" s="84"/>
      <c r="L942" s="99">
        <f t="shared" ref="L942:M942" si="909">COUNTIF(A942:A2112,A942)</f>
        <v>1</v>
      </c>
      <c r="M942" s="99">
        <f t="shared" si="909"/>
        <v>1</v>
      </c>
      <c r="N942" s="84"/>
      <c r="O942" s="84"/>
      <c r="P942" s="84"/>
      <c r="Q942" s="84"/>
      <c r="R942" s="84"/>
    </row>
    <row r="943" ht="15.75" customHeight="1">
      <c r="A943" s="190">
        <v>1.2070023E7</v>
      </c>
      <c r="B943" s="189" t="s">
        <v>2100</v>
      </c>
      <c r="C943" s="204"/>
      <c r="D943" s="133"/>
      <c r="E943" s="178"/>
      <c r="F943" s="178"/>
      <c r="G943" s="189" t="s">
        <v>420</v>
      </c>
      <c r="H943" s="133"/>
      <c r="I943" s="99"/>
      <c r="K943" s="84"/>
      <c r="L943" s="99">
        <f t="shared" ref="L943:M943" si="910">COUNTIF(A943:A2113,A943)</f>
        <v>1</v>
      </c>
      <c r="M943" s="99">
        <f t="shared" si="910"/>
        <v>1</v>
      </c>
      <c r="N943" s="84"/>
      <c r="O943" s="84"/>
      <c r="P943" s="84"/>
      <c r="Q943" s="84"/>
      <c r="R943" s="84"/>
    </row>
    <row r="944" ht="15.75" customHeight="1">
      <c r="A944" s="190">
        <v>1.2070024E7</v>
      </c>
      <c r="B944" s="189" t="s">
        <v>2101</v>
      </c>
      <c r="C944" s="204"/>
      <c r="D944" s="133"/>
      <c r="E944" s="178"/>
      <c r="F944" s="178"/>
      <c r="G944" s="189" t="s">
        <v>420</v>
      </c>
      <c r="H944" s="133"/>
      <c r="I944" s="99"/>
      <c r="K944" s="84"/>
      <c r="L944" s="99">
        <f t="shared" ref="L944:M944" si="911">COUNTIF(A944:A2114,A944)</f>
        <v>1</v>
      </c>
      <c r="M944" s="99">
        <f t="shared" si="911"/>
        <v>1</v>
      </c>
      <c r="N944" s="84"/>
      <c r="O944" s="84"/>
      <c r="P944" s="84"/>
      <c r="Q944" s="84"/>
      <c r="R944" s="84"/>
    </row>
    <row r="945" ht="15.75" customHeight="1">
      <c r="A945" s="190">
        <v>1.2070025E7</v>
      </c>
      <c r="B945" s="189" t="s">
        <v>2102</v>
      </c>
      <c r="C945" s="204"/>
      <c r="D945" s="133"/>
      <c r="E945" s="178"/>
      <c r="F945" s="178"/>
      <c r="G945" s="189" t="s">
        <v>420</v>
      </c>
      <c r="H945" s="133"/>
      <c r="I945" s="99"/>
      <c r="K945" s="84"/>
      <c r="L945" s="99">
        <f t="shared" ref="L945:M945" si="912">COUNTIF(A945:A2115,A945)</f>
        <v>1</v>
      </c>
      <c r="M945" s="99">
        <f t="shared" si="912"/>
        <v>1</v>
      </c>
      <c r="N945" s="84"/>
      <c r="O945" s="84"/>
      <c r="P945" s="84"/>
      <c r="Q945" s="84"/>
      <c r="R945" s="84"/>
    </row>
    <row r="946" ht="15.75" customHeight="1">
      <c r="A946" s="190">
        <v>1.2070026E7</v>
      </c>
      <c r="B946" s="189" t="s">
        <v>2103</v>
      </c>
      <c r="C946" s="204"/>
      <c r="D946" s="133"/>
      <c r="E946" s="178"/>
      <c r="F946" s="178"/>
      <c r="G946" s="189" t="s">
        <v>420</v>
      </c>
      <c r="H946" s="133"/>
      <c r="I946" s="99"/>
      <c r="K946" s="84"/>
      <c r="L946" s="99">
        <f t="shared" ref="L946:M946" si="913">COUNTIF(A946:A2116,A946)</f>
        <v>1</v>
      </c>
      <c r="M946" s="99">
        <f t="shared" si="913"/>
        <v>1</v>
      </c>
      <c r="N946" s="84"/>
      <c r="O946" s="84"/>
      <c r="P946" s="84"/>
      <c r="Q946" s="84"/>
      <c r="R946" s="84"/>
    </row>
    <row r="947" ht="15.75" customHeight="1">
      <c r="A947" s="190">
        <v>1.2070027E7</v>
      </c>
      <c r="B947" s="189" t="s">
        <v>2104</v>
      </c>
      <c r="C947" s="204"/>
      <c r="D947" s="133"/>
      <c r="E947" s="178"/>
      <c r="F947" s="178"/>
      <c r="G947" s="189" t="s">
        <v>420</v>
      </c>
      <c r="H947" s="133"/>
      <c r="I947" s="99"/>
      <c r="K947" s="84"/>
      <c r="L947" s="99">
        <f t="shared" ref="L947:M947" si="914">COUNTIF(A947:A2117,A947)</f>
        <v>1</v>
      </c>
      <c r="M947" s="99">
        <f t="shared" si="914"/>
        <v>1</v>
      </c>
      <c r="N947" s="84"/>
      <c r="O947" s="84"/>
      <c r="P947" s="84"/>
      <c r="Q947" s="84"/>
      <c r="R947" s="84"/>
    </row>
    <row r="948" ht="15.75" customHeight="1">
      <c r="A948" s="190">
        <v>1.2070028E7</v>
      </c>
      <c r="B948" s="189" t="s">
        <v>2105</v>
      </c>
      <c r="C948" s="204"/>
      <c r="D948" s="133"/>
      <c r="E948" s="178"/>
      <c r="F948" s="178"/>
      <c r="G948" s="189" t="s">
        <v>420</v>
      </c>
      <c r="H948" s="133"/>
      <c r="I948" s="99"/>
      <c r="K948" s="84"/>
      <c r="L948" s="99">
        <f t="shared" ref="L948:M948" si="915">COUNTIF(A948:A2118,A948)</f>
        <v>1</v>
      </c>
      <c r="M948" s="99">
        <f t="shared" si="915"/>
        <v>1</v>
      </c>
      <c r="N948" s="84"/>
      <c r="O948" s="84"/>
      <c r="P948" s="84"/>
      <c r="Q948" s="84"/>
      <c r="R948" s="84"/>
    </row>
    <row r="949" ht="15.75" customHeight="1">
      <c r="A949" s="190">
        <v>1.2070029E7</v>
      </c>
      <c r="B949" s="189" t="s">
        <v>2106</v>
      </c>
      <c r="C949" s="204"/>
      <c r="D949" s="133"/>
      <c r="E949" s="178"/>
      <c r="F949" s="178"/>
      <c r="G949" s="189" t="s">
        <v>420</v>
      </c>
      <c r="H949" s="133"/>
      <c r="I949" s="99"/>
      <c r="K949" s="84"/>
      <c r="L949" s="99">
        <f t="shared" ref="L949:M949" si="916">COUNTIF(A949:A2119,A949)</f>
        <v>1</v>
      </c>
      <c r="M949" s="99">
        <f t="shared" si="916"/>
        <v>1</v>
      </c>
      <c r="N949" s="84"/>
      <c r="O949" s="84"/>
      <c r="P949" s="84"/>
      <c r="Q949" s="84"/>
      <c r="R949" s="84"/>
    </row>
    <row r="950" ht="15.75" customHeight="1">
      <c r="A950" s="190">
        <v>1.207003E7</v>
      </c>
      <c r="B950" s="189" t="s">
        <v>2107</v>
      </c>
      <c r="C950" s="204"/>
      <c r="D950" s="133"/>
      <c r="E950" s="178"/>
      <c r="F950" s="178"/>
      <c r="G950" s="189" t="s">
        <v>420</v>
      </c>
      <c r="H950" s="133"/>
      <c r="I950" s="99"/>
      <c r="K950" s="84"/>
      <c r="L950" s="99">
        <f t="shared" ref="L950:M950" si="917">COUNTIF(A950:A2120,A950)</f>
        <v>1</v>
      </c>
      <c r="M950" s="99">
        <f t="shared" si="917"/>
        <v>1</v>
      </c>
      <c r="N950" s="84"/>
      <c r="O950" s="84"/>
      <c r="P950" s="84"/>
      <c r="Q950" s="84"/>
      <c r="R950" s="84"/>
    </row>
    <row r="951" ht="15.75" customHeight="1">
      <c r="A951" s="190">
        <v>1.2070031E7</v>
      </c>
      <c r="B951" s="189" t="s">
        <v>2108</v>
      </c>
      <c r="C951" s="204"/>
      <c r="D951" s="133"/>
      <c r="E951" s="178"/>
      <c r="F951" s="178"/>
      <c r="G951" s="189" t="s">
        <v>420</v>
      </c>
      <c r="H951" s="133"/>
      <c r="I951" s="99"/>
      <c r="K951" s="84"/>
      <c r="L951" s="99">
        <f t="shared" ref="L951:M951" si="918">COUNTIF(A951:A2121,A951)</f>
        <v>1</v>
      </c>
      <c r="M951" s="99">
        <f t="shared" si="918"/>
        <v>1</v>
      </c>
      <c r="N951" s="84"/>
      <c r="O951" s="84"/>
      <c r="P951" s="84"/>
      <c r="Q951" s="84"/>
      <c r="R951" s="84"/>
    </row>
    <row r="952" ht="15.75" customHeight="1">
      <c r="A952" s="190">
        <v>1.2070032E7</v>
      </c>
      <c r="B952" s="189" t="s">
        <v>2109</v>
      </c>
      <c r="C952" s="204"/>
      <c r="D952" s="133"/>
      <c r="E952" s="178"/>
      <c r="F952" s="178"/>
      <c r="G952" s="189" t="s">
        <v>420</v>
      </c>
      <c r="H952" s="133"/>
      <c r="I952" s="99"/>
      <c r="K952" s="84"/>
      <c r="L952" s="99">
        <f t="shared" ref="L952:M952" si="919">COUNTIF(A952:A2122,A952)</f>
        <v>1</v>
      </c>
      <c r="M952" s="99">
        <f t="shared" si="919"/>
        <v>1</v>
      </c>
      <c r="N952" s="84"/>
      <c r="O952" s="84"/>
      <c r="P952" s="84"/>
      <c r="Q952" s="84"/>
      <c r="R952" s="84"/>
    </row>
    <row r="953" ht="15.75" customHeight="1">
      <c r="A953" s="190">
        <v>1.2070033E7</v>
      </c>
      <c r="B953" s="189" t="s">
        <v>2110</v>
      </c>
      <c r="C953" s="204"/>
      <c r="D953" s="133"/>
      <c r="E953" s="178"/>
      <c r="F953" s="178"/>
      <c r="G953" s="189" t="s">
        <v>420</v>
      </c>
      <c r="H953" s="133"/>
      <c r="I953" s="99"/>
      <c r="K953" s="84"/>
      <c r="L953" s="99">
        <f t="shared" ref="L953:M953" si="920">COUNTIF(A953:A2123,A953)</f>
        <v>1</v>
      </c>
      <c r="M953" s="99">
        <f t="shared" si="920"/>
        <v>1</v>
      </c>
      <c r="N953" s="84"/>
      <c r="O953" s="84"/>
      <c r="P953" s="84"/>
      <c r="Q953" s="84"/>
      <c r="R953" s="84"/>
    </row>
    <row r="954" ht="15.75" customHeight="1">
      <c r="A954" s="190">
        <v>1.2070034E7</v>
      </c>
      <c r="B954" s="189" t="s">
        <v>2111</v>
      </c>
      <c r="C954" s="204"/>
      <c r="D954" s="133"/>
      <c r="E954" s="178"/>
      <c r="F954" s="178"/>
      <c r="G954" s="189" t="s">
        <v>420</v>
      </c>
      <c r="H954" s="133"/>
      <c r="I954" s="99"/>
      <c r="K954" s="84"/>
      <c r="L954" s="99">
        <f t="shared" ref="L954:M954" si="921">COUNTIF(A954:A2124,A954)</f>
        <v>1</v>
      </c>
      <c r="M954" s="99">
        <f t="shared" si="921"/>
        <v>1</v>
      </c>
      <c r="N954" s="84"/>
      <c r="O954" s="84"/>
      <c r="P954" s="84"/>
      <c r="Q954" s="84"/>
      <c r="R954" s="84"/>
    </row>
    <row r="955" ht="15.75" customHeight="1">
      <c r="A955" s="190">
        <v>1.2070035E7</v>
      </c>
      <c r="B955" s="189" t="s">
        <v>2112</v>
      </c>
      <c r="C955" s="204"/>
      <c r="D955" s="133"/>
      <c r="E955" s="178"/>
      <c r="F955" s="178"/>
      <c r="G955" s="189" t="s">
        <v>420</v>
      </c>
      <c r="H955" s="133"/>
      <c r="I955" s="99"/>
      <c r="K955" s="84"/>
      <c r="L955" s="99">
        <f t="shared" ref="L955:M955" si="922">COUNTIF(A955:A2125,A955)</f>
        <v>1</v>
      </c>
      <c r="M955" s="99">
        <f t="shared" si="922"/>
        <v>1</v>
      </c>
      <c r="N955" s="84"/>
      <c r="O955" s="84"/>
      <c r="P955" s="84"/>
      <c r="Q955" s="84"/>
      <c r="R955" s="84"/>
    </row>
    <row r="956" ht="15.75" customHeight="1">
      <c r="A956" s="190">
        <v>1.2071001E7</v>
      </c>
      <c r="B956" s="106" t="s">
        <v>2113</v>
      </c>
      <c r="C956" s="204"/>
      <c r="D956" s="133"/>
      <c r="E956" s="178"/>
      <c r="F956" s="178"/>
      <c r="G956" s="189" t="s">
        <v>420</v>
      </c>
      <c r="H956" s="133"/>
      <c r="I956" s="99"/>
      <c r="K956" s="84"/>
      <c r="L956" s="99">
        <f t="shared" ref="L956:M956" si="923">COUNTIF(A956:A2126,A956)</f>
        <v>1</v>
      </c>
      <c r="M956" s="99">
        <f t="shared" si="923"/>
        <v>1</v>
      </c>
      <c r="N956" s="84"/>
      <c r="O956" s="84"/>
      <c r="P956" s="84"/>
      <c r="Q956" s="84"/>
      <c r="R956" s="84"/>
    </row>
    <row r="957" ht="15.75" customHeight="1">
      <c r="A957" s="190">
        <v>1.2071002E7</v>
      </c>
      <c r="B957" s="106" t="s">
        <v>2114</v>
      </c>
      <c r="C957" s="204"/>
      <c r="D957" s="133"/>
      <c r="E957" s="178"/>
      <c r="F957" s="178"/>
      <c r="G957" s="189" t="s">
        <v>420</v>
      </c>
      <c r="H957" s="133"/>
      <c r="I957" s="99"/>
      <c r="K957" s="84"/>
      <c r="L957" s="99">
        <f t="shared" ref="L957:M957" si="924">COUNTIF(A957:A2127,A957)</f>
        <v>1</v>
      </c>
      <c r="M957" s="99">
        <f t="shared" si="924"/>
        <v>1</v>
      </c>
      <c r="N957" s="84"/>
      <c r="O957" s="84"/>
      <c r="P957" s="84"/>
      <c r="Q957" s="84"/>
      <c r="R957" s="84"/>
    </row>
    <row r="958" ht="15.75" customHeight="1">
      <c r="A958" s="190">
        <v>1.2071003E7</v>
      </c>
      <c r="B958" s="106" t="s">
        <v>2115</v>
      </c>
      <c r="C958" s="204"/>
      <c r="D958" s="133"/>
      <c r="E958" s="178"/>
      <c r="F958" s="178"/>
      <c r="G958" s="189" t="s">
        <v>420</v>
      </c>
      <c r="H958" s="133"/>
      <c r="I958" s="99"/>
      <c r="K958" s="84"/>
      <c r="L958" s="99">
        <f t="shared" ref="L958:M958" si="925">COUNTIF(A958:A2128,A958)</f>
        <v>1</v>
      </c>
      <c r="M958" s="99">
        <f t="shared" si="925"/>
        <v>1</v>
      </c>
      <c r="N958" s="84"/>
      <c r="O958" s="84"/>
      <c r="P958" s="84"/>
      <c r="Q958" s="84"/>
      <c r="R958" s="84"/>
    </row>
    <row r="959" ht="15.75" customHeight="1">
      <c r="A959" s="190">
        <v>1.2071004E7</v>
      </c>
      <c r="B959" s="106" t="s">
        <v>2116</v>
      </c>
      <c r="C959" s="204"/>
      <c r="D959" s="133"/>
      <c r="E959" s="178"/>
      <c r="F959" s="178"/>
      <c r="G959" s="189" t="s">
        <v>420</v>
      </c>
      <c r="H959" s="133"/>
      <c r="I959" s="99"/>
      <c r="K959" s="84"/>
      <c r="L959" s="99">
        <f t="shared" ref="L959:M959" si="926">COUNTIF(A959:A2129,A959)</f>
        <v>1</v>
      </c>
      <c r="M959" s="99">
        <f t="shared" si="926"/>
        <v>1</v>
      </c>
      <c r="N959" s="84"/>
      <c r="O959" s="84"/>
      <c r="P959" s="84"/>
      <c r="Q959" s="84"/>
      <c r="R959" s="84"/>
    </row>
    <row r="960" ht="15.75" customHeight="1">
      <c r="A960" s="190">
        <v>1.2071005E7</v>
      </c>
      <c r="B960" s="106" t="s">
        <v>2117</v>
      </c>
      <c r="C960" s="204"/>
      <c r="D960" s="133"/>
      <c r="E960" s="178"/>
      <c r="F960" s="178"/>
      <c r="G960" s="189" t="s">
        <v>420</v>
      </c>
      <c r="H960" s="133"/>
      <c r="I960" s="99"/>
      <c r="K960" s="84"/>
      <c r="L960" s="99">
        <f t="shared" ref="L960:M960" si="927">COUNTIF(A960:A2130,A960)</f>
        <v>1</v>
      </c>
      <c r="M960" s="99">
        <f t="shared" si="927"/>
        <v>1</v>
      </c>
      <c r="N960" s="84"/>
      <c r="O960" s="84"/>
      <c r="P960" s="84"/>
      <c r="Q960" s="84"/>
      <c r="R960" s="84"/>
    </row>
    <row r="961" ht="15.75" customHeight="1">
      <c r="A961" s="190">
        <v>1.2071006E7</v>
      </c>
      <c r="B961" s="106" t="s">
        <v>2118</v>
      </c>
      <c r="C961" s="204"/>
      <c r="D961" s="133"/>
      <c r="E961" s="178"/>
      <c r="F961" s="178"/>
      <c r="G961" s="189" t="s">
        <v>420</v>
      </c>
      <c r="H961" s="133"/>
      <c r="I961" s="99"/>
      <c r="K961" s="84"/>
      <c r="L961" s="99">
        <f t="shared" ref="L961:M961" si="928">COUNTIF(A961:A2131,A961)</f>
        <v>1</v>
      </c>
      <c r="M961" s="99">
        <f t="shared" si="928"/>
        <v>1</v>
      </c>
      <c r="N961" s="84"/>
      <c r="O961" s="84"/>
      <c r="P961" s="84"/>
      <c r="Q961" s="84"/>
      <c r="R961" s="84"/>
    </row>
    <row r="962" ht="15.75" customHeight="1">
      <c r="A962" s="190">
        <v>1.2071007E7</v>
      </c>
      <c r="B962" s="106" t="s">
        <v>2119</v>
      </c>
      <c r="C962" s="204"/>
      <c r="D962" s="133"/>
      <c r="E962" s="178"/>
      <c r="F962" s="178"/>
      <c r="G962" s="189" t="s">
        <v>420</v>
      </c>
      <c r="H962" s="133"/>
      <c r="I962" s="99"/>
      <c r="K962" s="84"/>
      <c r="L962" s="99">
        <f t="shared" ref="L962:M962" si="929">COUNTIF(A962:A2132,A962)</f>
        <v>1</v>
      </c>
      <c r="M962" s="99">
        <f t="shared" si="929"/>
        <v>1</v>
      </c>
      <c r="N962" s="84"/>
      <c r="O962" s="84"/>
      <c r="P962" s="84"/>
      <c r="Q962" s="84"/>
      <c r="R962" s="84"/>
    </row>
    <row r="963" ht="15.75" customHeight="1">
      <c r="A963" s="190">
        <v>1.2071008E7</v>
      </c>
      <c r="B963" s="106" t="s">
        <v>2120</v>
      </c>
      <c r="C963" s="204"/>
      <c r="D963" s="133"/>
      <c r="E963" s="178"/>
      <c r="F963" s="178"/>
      <c r="G963" s="189" t="s">
        <v>420</v>
      </c>
      <c r="H963" s="133"/>
      <c r="I963" s="99"/>
      <c r="K963" s="84"/>
      <c r="L963" s="99">
        <f t="shared" ref="L963:M963" si="930">COUNTIF(A963:A2133,A963)</f>
        <v>1</v>
      </c>
      <c r="M963" s="99">
        <f t="shared" si="930"/>
        <v>1</v>
      </c>
      <c r="N963" s="84"/>
      <c r="O963" s="84"/>
      <c r="P963" s="84"/>
      <c r="Q963" s="84"/>
      <c r="R963" s="84"/>
    </row>
    <row r="964" ht="15.75" customHeight="1">
      <c r="A964" s="190">
        <v>1.2071009E7</v>
      </c>
      <c r="B964" s="106" t="s">
        <v>2121</v>
      </c>
      <c r="C964" s="204"/>
      <c r="D964" s="133"/>
      <c r="E964" s="178"/>
      <c r="F964" s="178"/>
      <c r="G964" s="189" t="s">
        <v>420</v>
      </c>
      <c r="H964" s="133"/>
      <c r="I964" s="99"/>
      <c r="K964" s="84"/>
      <c r="L964" s="99">
        <f t="shared" ref="L964:M964" si="931">COUNTIF(A964:A2134,A964)</f>
        <v>1</v>
      </c>
      <c r="M964" s="99">
        <f t="shared" si="931"/>
        <v>1</v>
      </c>
      <c r="N964" s="84"/>
      <c r="O964" s="84"/>
      <c r="P964" s="84"/>
      <c r="Q964" s="84"/>
      <c r="R964" s="84"/>
    </row>
    <row r="965" ht="15.75" customHeight="1">
      <c r="A965" s="190">
        <v>1.207101E7</v>
      </c>
      <c r="B965" s="106" t="s">
        <v>2122</v>
      </c>
      <c r="C965" s="204"/>
      <c r="D965" s="133"/>
      <c r="E965" s="178"/>
      <c r="F965" s="178"/>
      <c r="G965" s="189" t="s">
        <v>420</v>
      </c>
      <c r="H965" s="133"/>
      <c r="I965" s="99"/>
      <c r="K965" s="84"/>
      <c r="L965" s="99">
        <f t="shared" ref="L965:M965" si="932">COUNTIF(A965:A2135,A965)</f>
        <v>1</v>
      </c>
      <c r="M965" s="99">
        <f t="shared" si="932"/>
        <v>1</v>
      </c>
      <c r="N965" s="84"/>
      <c r="O965" s="84"/>
      <c r="P965" s="84"/>
      <c r="Q965" s="84"/>
      <c r="R965" s="84"/>
    </row>
    <row r="966" ht="15.75" customHeight="1">
      <c r="A966" s="190">
        <v>1.2071011E7</v>
      </c>
      <c r="B966" s="106" t="s">
        <v>2123</v>
      </c>
      <c r="C966" s="204"/>
      <c r="D966" s="133"/>
      <c r="E966" s="178"/>
      <c r="F966" s="178"/>
      <c r="G966" s="189" t="s">
        <v>420</v>
      </c>
      <c r="H966" s="133"/>
      <c r="I966" s="99"/>
      <c r="K966" s="84"/>
      <c r="L966" s="99">
        <f t="shared" ref="L966:M966" si="933">COUNTIF(A966:A2136,A966)</f>
        <v>1</v>
      </c>
      <c r="M966" s="99">
        <f t="shared" si="933"/>
        <v>1</v>
      </c>
      <c r="N966" s="84"/>
      <c r="O966" s="84"/>
      <c r="P966" s="84"/>
      <c r="Q966" s="84"/>
      <c r="R966" s="84"/>
    </row>
    <row r="967" ht="15.75" customHeight="1">
      <c r="A967" s="190">
        <v>1.2071012E7</v>
      </c>
      <c r="B967" s="106" t="s">
        <v>2124</v>
      </c>
      <c r="C967" s="204"/>
      <c r="D967" s="133"/>
      <c r="E967" s="178"/>
      <c r="F967" s="178"/>
      <c r="G967" s="189" t="s">
        <v>420</v>
      </c>
      <c r="H967" s="133"/>
      <c r="I967" s="99"/>
      <c r="K967" s="84"/>
      <c r="L967" s="99">
        <f t="shared" ref="L967:M967" si="934">COUNTIF(A967:A2137,A967)</f>
        <v>1</v>
      </c>
      <c r="M967" s="99">
        <f t="shared" si="934"/>
        <v>1</v>
      </c>
      <c r="N967" s="84"/>
      <c r="O967" s="84"/>
      <c r="P967" s="84"/>
      <c r="Q967" s="84"/>
      <c r="R967" s="84"/>
    </row>
    <row r="968" ht="15.75" customHeight="1">
      <c r="A968" s="190">
        <v>1.2071013E7</v>
      </c>
      <c r="B968" s="106" t="s">
        <v>2125</v>
      </c>
      <c r="C968" s="204"/>
      <c r="D968" s="133"/>
      <c r="E968" s="178"/>
      <c r="F968" s="178"/>
      <c r="G968" s="189" t="s">
        <v>420</v>
      </c>
      <c r="H968" s="133"/>
      <c r="I968" s="99"/>
      <c r="K968" s="84"/>
      <c r="L968" s="99">
        <f t="shared" ref="L968:M968" si="935">COUNTIF(A968:A2138,A968)</f>
        <v>1</v>
      </c>
      <c r="M968" s="99">
        <f t="shared" si="935"/>
        <v>1</v>
      </c>
      <c r="N968" s="84"/>
      <c r="O968" s="84"/>
      <c r="P968" s="84"/>
      <c r="Q968" s="84"/>
      <c r="R968" s="84"/>
    </row>
    <row r="969" ht="15.75" customHeight="1">
      <c r="A969" s="190">
        <v>1.2071014E7</v>
      </c>
      <c r="B969" s="106" t="s">
        <v>2126</v>
      </c>
      <c r="C969" s="204"/>
      <c r="D969" s="133"/>
      <c r="E969" s="178"/>
      <c r="F969" s="178"/>
      <c r="G969" s="189" t="s">
        <v>420</v>
      </c>
      <c r="H969" s="133"/>
      <c r="I969" s="99"/>
      <c r="K969" s="84"/>
      <c r="L969" s="99">
        <f t="shared" ref="L969:M969" si="936">COUNTIF(A969:A2139,A969)</f>
        <v>1</v>
      </c>
      <c r="M969" s="99">
        <f t="shared" si="936"/>
        <v>1</v>
      </c>
      <c r="N969" s="84"/>
      <c r="O969" s="84"/>
      <c r="P969" s="84"/>
      <c r="Q969" s="84"/>
      <c r="R969" s="84"/>
    </row>
    <row r="970" ht="15.75" customHeight="1">
      <c r="A970" s="190">
        <v>1.2071015E7</v>
      </c>
      <c r="B970" s="106" t="s">
        <v>2127</v>
      </c>
      <c r="C970" s="204"/>
      <c r="D970" s="133"/>
      <c r="E970" s="178"/>
      <c r="F970" s="178"/>
      <c r="G970" s="189" t="s">
        <v>420</v>
      </c>
      <c r="H970" s="133"/>
      <c r="I970" s="99"/>
      <c r="K970" s="84"/>
      <c r="L970" s="99">
        <f t="shared" ref="L970:M970" si="937">COUNTIF(A970:A2140,A970)</f>
        <v>1</v>
      </c>
      <c r="M970" s="99">
        <f t="shared" si="937"/>
        <v>1</v>
      </c>
      <c r="N970" s="84"/>
      <c r="O970" s="84"/>
      <c r="P970" s="84"/>
      <c r="Q970" s="84"/>
      <c r="R970" s="84"/>
    </row>
    <row r="971" ht="15.75" customHeight="1">
      <c r="A971" s="190">
        <v>1.2071016E7</v>
      </c>
      <c r="B971" s="106" t="s">
        <v>2128</v>
      </c>
      <c r="C971" s="204"/>
      <c r="D971" s="133"/>
      <c r="E971" s="178"/>
      <c r="F971" s="178"/>
      <c r="G971" s="189" t="s">
        <v>420</v>
      </c>
      <c r="H971" s="133"/>
      <c r="I971" s="99"/>
      <c r="K971" s="84"/>
      <c r="L971" s="99">
        <f t="shared" ref="L971:M971" si="938">COUNTIF(A971:A2141,A971)</f>
        <v>1</v>
      </c>
      <c r="M971" s="99">
        <f t="shared" si="938"/>
        <v>1</v>
      </c>
      <c r="N971" s="84"/>
      <c r="O971" s="84"/>
      <c r="P971" s="84"/>
      <c r="Q971" s="84"/>
      <c r="R971" s="84"/>
    </row>
    <row r="972" ht="15.75" customHeight="1">
      <c r="A972" s="190">
        <v>1.2071017E7</v>
      </c>
      <c r="B972" s="106" t="s">
        <v>2129</v>
      </c>
      <c r="C972" s="204"/>
      <c r="D972" s="133"/>
      <c r="E972" s="178"/>
      <c r="F972" s="178"/>
      <c r="G972" s="189" t="s">
        <v>420</v>
      </c>
      <c r="H972" s="133"/>
      <c r="I972" s="99"/>
      <c r="K972" s="84"/>
      <c r="L972" s="99">
        <f t="shared" ref="L972:M972" si="939">COUNTIF(A972:A2142,A972)</f>
        <v>1</v>
      </c>
      <c r="M972" s="99">
        <f t="shared" si="939"/>
        <v>1</v>
      </c>
      <c r="N972" s="84"/>
      <c r="O972" s="84"/>
      <c r="P972" s="84"/>
      <c r="Q972" s="84"/>
      <c r="R972" s="84"/>
    </row>
    <row r="973" ht="15.75" customHeight="1">
      <c r="A973" s="190">
        <v>1.2071018E7</v>
      </c>
      <c r="B973" s="106" t="s">
        <v>2130</v>
      </c>
      <c r="C973" s="204"/>
      <c r="D973" s="133"/>
      <c r="E973" s="178"/>
      <c r="F973" s="178"/>
      <c r="G973" s="189" t="s">
        <v>420</v>
      </c>
      <c r="H973" s="133"/>
      <c r="I973" s="99"/>
      <c r="K973" s="84"/>
      <c r="L973" s="99">
        <f t="shared" ref="L973:M973" si="940">COUNTIF(A973:A2143,A973)</f>
        <v>1</v>
      </c>
      <c r="M973" s="99">
        <f t="shared" si="940"/>
        <v>1</v>
      </c>
      <c r="N973" s="84"/>
      <c r="O973" s="84"/>
      <c r="P973" s="84"/>
      <c r="Q973" s="84"/>
      <c r="R973" s="84"/>
    </row>
    <row r="974" ht="15.75" customHeight="1">
      <c r="A974" s="190">
        <v>1.2071019E7</v>
      </c>
      <c r="B974" s="106" t="s">
        <v>2131</v>
      </c>
      <c r="C974" s="204"/>
      <c r="D974" s="133"/>
      <c r="E974" s="178"/>
      <c r="F974" s="178"/>
      <c r="G974" s="189" t="s">
        <v>420</v>
      </c>
      <c r="H974" s="133"/>
      <c r="I974" s="99"/>
      <c r="K974" s="84"/>
      <c r="L974" s="99">
        <f t="shared" ref="L974:M974" si="941">COUNTIF(A974:A2144,A974)</f>
        <v>1</v>
      </c>
      <c r="M974" s="99">
        <f t="shared" si="941"/>
        <v>1</v>
      </c>
      <c r="N974" s="84"/>
      <c r="O974" s="84"/>
      <c r="P974" s="84"/>
      <c r="Q974" s="84"/>
      <c r="R974" s="84"/>
    </row>
    <row r="975" ht="15.75" customHeight="1">
      <c r="A975" s="190">
        <v>1.207102E7</v>
      </c>
      <c r="B975" s="106" t="s">
        <v>2132</v>
      </c>
      <c r="C975" s="204"/>
      <c r="D975" s="133"/>
      <c r="E975" s="178"/>
      <c r="F975" s="178"/>
      <c r="G975" s="189" t="s">
        <v>420</v>
      </c>
      <c r="H975" s="133"/>
      <c r="I975" s="99"/>
      <c r="K975" s="84"/>
      <c r="L975" s="99">
        <f t="shared" ref="L975:M975" si="942">COUNTIF(A975:A2145,A975)</f>
        <v>1</v>
      </c>
      <c r="M975" s="99">
        <f t="shared" si="942"/>
        <v>1</v>
      </c>
      <c r="N975" s="84"/>
      <c r="O975" s="84"/>
      <c r="P975" s="84"/>
      <c r="Q975" s="84"/>
      <c r="R975" s="84"/>
    </row>
    <row r="976" ht="15.75" customHeight="1">
      <c r="A976" s="190">
        <v>1.2071021E7</v>
      </c>
      <c r="B976" s="106" t="s">
        <v>2133</v>
      </c>
      <c r="C976" s="204"/>
      <c r="D976" s="133"/>
      <c r="E976" s="178"/>
      <c r="F976" s="178"/>
      <c r="G976" s="189" t="s">
        <v>420</v>
      </c>
      <c r="H976" s="133"/>
      <c r="I976" s="99"/>
      <c r="K976" s="84"/>
      <c r="L976" s="99">
        <f t="shared" ref="L976:M976" si="943">COUNTIF(A976:A2146,A976)</f>
        <v>1</v>
      </c>
      <c r="M976" s="99">
        <f t="shared" si="943"/>
        <v>1</v>
      </c>
      <c r="N976" s="84"/>
      <c r="O976" s="84"/>
      <c r="P976" s="84"/>
      <c r="Q976" s="84"/>
      <c r="R976" s="84"/>
    </row>
    <row r="977" ht="15.75" customHeight="1">
      <c r="A977" s="190">
        <v>1.2071022E7</v>
      </c>
      <c r="B977" s="106" t="s">
        <v>2134</v>
      </c>
      <c r="C977" s="204"/>
      <c r="D977" s="133"/>
      <c r="E977" s="178"/>
      <c r="F977" s="178"/>
      <c r="G977" s="189" t="s">
        <v>420</v>
      </c>
      <c r="H977" s="133"/>
      <c r="I977" s="99"/>
      <c r="K977" s="84"/>
      <c r="L977" s="99">
        <f t="shared" ref="L977:M977" si="944">COUNTIF(A977:A2147,A977)</f>
        <v>1</v>
      </c>
      <c r="M977" s="99">
        <f t="shared" si="944"/>
        <v>1</v>
      </c>
      <c r="N977" s="84"/>
      <c r="O977" s="84"/>
      <c r="P977" s="84"/>
      <c r="Q977" s="84"/>
      <c r="R977" s="84"/>
    </row>
    <row r="978" ht="15.75" customHeight="1">
      <c r="A978" s="190">
        <v>1.2071023E7</v>
      </c>
      <c r="B978" s="106" t="s">
        <v>2135</v>
      </c>
      <c r="C978" s="204"/>
      <c r="D978" s="133"/>
      <c r="E978" s="178"/>
      <c r="F978" s="178"/>
      <c r="G978" s="189" t="s">
        <v>420</v>
      </c>
      <c r="H978" s="133"/>
      <c r="I978" s="99"/>
      <c r="K978" s="84"/>
      <c r="L978" s="99">
        <f t="shared" ref="L978:M978" si="945">COUNTIF(A978:A2148,A978)</f>
        <v>1</v>
      </c>
      <c r="M978" s="99">
        <f t="shared" si="945"/>
        <v>1</v>
      </c>
      <c r="N978" s="84"/>
      <c r="O978" s="84"/>
      <c r="P978" s="84"/>
      <c r="Q978" s="84"/>
      <c r="R978" s="84"/>
    </row>
    <row r="979" ht="15.75" customHeight="1">
      <c r="A979" s="190">
        <v>1.2071024E7</v>
      </c>
      <c r="B979" s="106" t="s">
        <v>2136</v>
      </c>
      <c r="C979" s="204"/>
      <c r="D979" s="133"/>
      <c r="E979" s="178"/>
      <c r="F979" s="178"/>
      <c r="G979" s="189" t="s">
        <v>420</v>
      </c>
      <c r="H979" s="133"/>
      <c r="I979" s="99"/>
      <c r="K979" s="84"/>
      <c r="L979" s="99">
        <f t="shared" ref="L979:M979" si="946">COUNTIF(A979:A2149,A979)</f>
        <v>1</v>
      </c>
      <c r="M979" s="99">
        <f t="shared" si="946"/>
        <v>1</v>
      </c>
      <c r="N979" s="84"/>
      <c r="O979" s="84"/>
      <c r="P979" s="84"/>
      <c r="Q979" s="84"/>
      <c r="R979" s="84"/>
    </row>
    <row r="980" ht="15.75" customHeight="1">
      <c r="A980" s="190">
        <v>1.2071025E7</v>
      </c>
      <c r="B980" s="106" t="s">
        <v>2137</v>
      </c>
      <c r="C980" s="204"/>
      <c r="D980" s="133"/>
      <c r="E980" s="178"/>
      <c r="F980" s="178"/>
      <c r="G980" s="189" t="s">
        <v>420</v>
      </c>
      <c r="H980" s="133"/>
      <c r="I980" s="99"/>
      <c r="K980" s="84"/>
      <c r="L980" s="99">
        <f t="shared" ref="L980:M980" si="947">COUNTIF(A980:A2150,A980)</f>
        <v>1</v>
      </c>
      <c r="M980" s="99">
        <f t="shared" si="947"/>
        <v>1</v>
      </c>
      <c r="N980" s="84"/>
      <c r="O980" s="84"/>
      <c r="P980" s="84"/>
      <c r="Q980" s="84"/>
      <c r="R980" s="84"/>
    </row>
    <row r="981" ht="15.75" customHeight="1">
      <c r="A981" s="190">
        <v>1.2071026E7</v>
      </c>
      <c r="B981" s="106" t="s">
        <v>2138</v>
      </c>
      <c r="C981" s="204"/>
      <c r="D981" s="133"/>
      <c r="E981" s="178"/>
      <c r="F981" s="178"/>
      <c r="G981" s="189" t="s">
        <v>420</v>
      </c>
      <c r="H981" s="133"/>
      <c r="I981" s="99"/>
      <c r="K981" s="84"/>
      <c r="L981" s="99">
        <f t="shared" ref="L981:M981" si="948">COUNTIF(A981:A2151,A981)</f>
        <v>1</v>
      </c>
      <c r="M981" s="99">
        <f t="shared" si="948"/>
        <v>1</v>
      </c>
      <c r="N981" s="84"/>
      <c r="O981" s="84"/>
      <c r="P981" s="84"/>
      <c r="Q981" s="84"/>
      <c r="R981" s="84"/>
    </row>
    <row r="982" ht="15.75" customHeight="1">
      <c r="A982" s="190">
        <v>1.2071027E7</v>
      </c>
      <c r="B982" s="106" t="s">
        <v>2139</v>
      </c>
      <c r="C982" s="204"/>
      <c r="D982" s="133"/>
      <c r="E982" s="178"/>
      <c r="F982" s="178"/>
      <c r="G982" s="189" t="s">
        <v>420</v>
      </c>
      <c r="H982" s="133"/>
      <c r="I982" s="99"/>
      <c r="K982" s="84"/>
      <c r="L982" s="99">
        <f t="shared" ref="L982:M982" si="949">COUNTIF(A982:A2152,A982)</f>
        <v>1</v>
      </c>
      <c r="M982" s="99">
        <f t="shared" si="949"/>
        <v>1</v>
      </c>
      <c r="N982" s="84"/>
      <c r="O982" s="84"/>
      <c r="P982" s="84"/>
      <c r="Q982" s="84"/>
      <c r="R982" s="84"/>
    </row>
    <row r="983" ht="15.75" customHeight="1">
      <c r="A983" s="190">
        <v>1.2071028E7</v>
      </c>
      <c r="B983" s="106" t="s">
        <v>2140</v>
      </c>
      <c r="C983" s="204"/>
      <c r="D983" s="133"/>
      <c r="E983" s="178"/>
      <c r="F983" s="178"/>
      <c r="G983" s="189" t="s">
        <v>420</v>
      </c>
      <c r="H983" s="133"/>
      <c r="I983" s="99"/>
      <c r="K983" s="84"/>
      <c r="L983" s="99">
        <f t="shared" ref="L983:M983" si="950">COUNTIF(A983:A2153,A983)</f>
        <v>1</v>
      </c>
      <c r="M983" s="99">
        <f t="shared" si="950"/>
        <v>1</v>
      </c>
      <c r="N983" s="84"/>
      <c r="O983" s="84"/>
      <c r="P983" s="84"/>
      <c r="Q983" s="84"/>
      <c r="R983" s="84"/>
    </row>
    <row r="984" ht="15.75" customHeight="1">
      <c r="A984" s="190">
        <v>1.2071029E7</v>
      </c>
      <c r="B984" s="106" t="s">
        <v>2141</v>
      </c>
      <c r="C984" s="204"/>
      <c r="D984" s="133"/>
      <c r="E984" s="178"/>
      <c r="F984" s="178"/>
      <c r="G984" s="189" t="s">
        <v>420</v>
      </c>
      <c r="H984" s="133"/>
      <c r="I984" s="99"/>
      <c r="K984" s="84"/>
      <c r="L984" s="99">
        <f t="shared" ref="L984:M984" si="951">COUNTIF(A984:A2154,A984)</f>
        <v>1</v>
      </c>
      <c r="M984" s="99">
        <f t="shared" si="951"/>
        <v>1</v>
      </c>
      <c r="N984" s="84"/>
      <c r="O984" s="84"/>
      <c r="P984" s="84"/>
      <c r="Q984" s="84"/>
      <c r="R984" s="84"/>
    </row>
    <row r="985" ht="15.75" customHeight="1">
      <c r="A985" s="190">
        <v>1.207103E7</v>
      </c>
      <c r="B985" s="106" t="s">
        <v>2142</v>
      </c>
      <c r="C985" s="204"/>
      <c r="D985" s="133"/>
      <c r="E985" s="178"/>
      <c r="F985" s="178"/>
      <c r="G985" s="189" t="s">
        <v>420</v>
      </c>
      <c r="H985" s="133"/>
      <c r="I985" s="99"/>
      <c r="K985" s="84"/>
      <c r="L985" s="99">
        <f t="shared" ref="L985:M985" si="952">COUNTIF(A985:A2155,A985)</f>
        <v>1</v>
      </c>
      <c r="M985" s="99">
        <f t="shared" si="952"/>
        <v>1</v>
      </c>
      <c r="N985" s="84"/>
      <c r="O985" s="84"/>
      <c r="P985" s="84"/>
      <c r="Q985" s="84"/>
      <c r="R985" s="84"/>
    </row>
    <row r="986" ht="15.75" customHeight="1">
      <c r="A986" s="190">
        <v>1.2071031E7</v>
      </c>
      <c r="B986" s="106" t="s">
        <v>2143</v>
      </c>
      <c r="C986" s="204"/>
      <c r="D986" s="133"/>
      <c r="E986" s="178"/>
      <c r="F986" s="178"/>
      <c r="G986" s="189" t="s">
        <v>420</v>
      </c>
      <c r="H986" s="133"/>
      <c r="I986" s="99"/>
      <c r="K986" s="84"/>
      <c r="L986" s="99">
        <f t="shared" ref="L986:M986" si="953">COUNTIF(A986:A2156,A986)</f>
        <v>1</v>
      </c>
      <c r="M986" s="99">
        <f t="shared" si="953"/>
        <v>1</v>
      </c>
      <c r="N986" s="84"/>
      <c r="O986" s="84"/>
      <c r="P986" s="84"/>
      <c r="Q986" s="84"/>
      <c r="R986" s="84"/>
    </row>
    <row r="987" ht="15.75" customHeight="1">
      <c r="A987" s="190">
        <v>1.2071032E7</v>
      </c>
      <c r="B987" s="106" t="s">
        <v>2144</v>
      </c>
      <c r="C987" s="204"/>
      <c r="D987" s="133"/>
      <c r="E987" s="178"/>
      <c r="F987" s="178"/>
      <c r="G987" s="189" t="s">
        <v>420</v>
      </c>
      <c r="H987" s="133"/>
      <c r="I987" s="99"/>
      <c r="K987" s="84"/>
      <c r="L987" s="99">
        <f t="shared" ref="L987:M987" si="954">COUNTIF(A987:A2157,A987)</f>
        <v>1</v>
      </c>
      <c r="M987" s="99">
        <f t="shared" si="954"/>
        <v>1</v>
      </c>
      <c r="N987" s="84"/>
      <c r="O987" s="84"/>
      <c r="P987" s="84"/>
      <c r="Q987" s="84"/>
      <c r="R987" s="84"/>
    </row>
    <row r="988" ht="15.75" customHeight="1">
      <c r="A988" s="190">
        <v>1.2071033E7</v>
      </c>
      <c r="B988" s="106" t="s">
        <v>2145</v>
      </c>
      <c r="C988" s="204"/>
      <c r="D988" s="133"/>
      <c r="E988" s="178"/>
      <c r="F988" s="178"/>
      <c r="G988" s="189" t="s">
        <v>420</v>
      </c>
      <c r="H988" s="133"/>
      <c r="I988" s="99"/>
      <c r="K988" s="84"/>
      <c r="L988" s="99">
        <f t="shared" ref="L988:M988" si="955">COUNTIF(A988:A2158,A988)</f>
        <v>1</v>
      </c>
      <c r="M988" s="99">
        <f t="shared" si="955"/>
        <v>1</v>
      </c>
      <c r="N988" s="84"/>
      <c r="O988" s="84"/>
      <c r="P988" s="84"/>
      <c r="Q988" s="84"/>
      <c r="R988" s="84"/>
    </row>
    <row r="989" ht="15.75" customHeight="1">
      <c r="A989" s="190">
        <v>1.2071034E7</v>
      </c>
      <c r="B989" s="106" t="s">
        <v>2146</v>
      </c>
      <c r="C989" s="204"/>
      <c r="D989" s="133"/>
      <c r="E989" s="178"/>
      <c r="F989" s="178"/>
      <c r="G989" s="189" t="s">
        <v>420</v>
      </c>
      <c r="H989" s="133"/>
      <c r="I989" s="99"/>
      <c r="K989" s="84"/>
      <c r="L989" s="99">
        <f t="shared" ref="L989:M989" si="956">COUNTIF(A989:A2159,A989)</f>
        <v>1</v>
      </c>
      <c r="M989" s="99">
        <f t="shared" si="956"/>
        <v>1</v>
      </c>
      <c r="N989" s="84"/>
      <c r="O989" s="84"/>
      <c r="P989" s="84"/>
      <c r="Q989" s="84"/>
      <c r="R989" s="84"/>
    </row>
    <row r="990" ht="15.75" customHeight="1">
      <c r="A990" s="190">
        <v>1.2071035E7</v>
      </c>
      <c r="B990" s="106" t="s">
        <v>2147</v>
      </c>
      <c r="C990" s="204"/>
      <c r="D990" s="133"/>
      <c r="E990" s="178"/>
      <c r="F990" s="178"/>
      <c r="G990" s="189" t="s">
        <v>420</v>
      </c>
      <c r="H990" s="133"/>
      <c r="I990" s="99"/>
      <c r="K990" s="84"/>
      <c r="L990" s="99">
        <f t="shared" ref="L990:M990" si="957">COUNTIF(A990:A2160,A990)</f>
        <v>1</v>
      </c>
      <c r="M990" s="99">
        <f t="shared" si="957"/>
        <v>1</v>
      </c>
      <c r="N990" s="84"/>
      <c r="O990" s="84"/>
      <c r="P990" s="84"/>
      <c r="Q990" s="84"/>
      <c r="R990" s="84"/>
    </row>
    <row r="991" ht="15.75" customHeight="1">
      <c r="A991" s="190">
        <v>1.2072001E7</v>
      </c>
      <c r="B991" s="106" t="s">
        <v>2148</v>
      </c>
      <c r="C991" s="204"/>
      <c r="D991" s="133"/>
      <c r="E991" s="178"/>
      <c r="F991" s="178"/>
      <c r="G991" s="189" t="s">
        <v>420</v>
      </c>
      <c r="H991" s="133"/>
      <c r="I991" s="99"/>
      <c r="K991" s="84"/>
      <c r="L991" s="99">
        <f t="shared" ref="L991:M991" si="958">COUNTIF(A991:A2161,A991)</f>
        <v>1</v>
      </c>
      <c r="M991" s="99">
        <f t="shared" si="958"/>
        <v>1</v>
      </c>
      <c r="N991" s="84"/>
      <c r="O991" s="84"/>
      <c r="P991" s="84"/>
      <c r="Q991" s="84"/>
      <c r="R991" s="84"/>
    </row>
    <row r="992" ht="15.75" customHeight="1">
      <c r="A992" s="190">
        <v>1.2072002E7</v>
      </c>
      <c r="B992" s="106" t="s">
        <v>2149</v>
      </c>
      <c r="C992" s="204"/>
      <c r="D992" s="133"/>
      <c r="E992" s="178"/>
      <c r="F992" s="178"/>
      <c r="G992" s="189" t="s">
        <v>420</v>
      </c>
      <c r="H992" s="133"/>
      <c r="I992" s="99"/>
      <c r="K992" s="84"/>
      <c r="L992" s="99">
        <f t="shared" ref="L992:M992" si="959">COUNTIF(A992:A2162,A992)</f>
        <v>1</v>
      </c>
      <c r="M992" s="99">
        <f t="shared" si="959"/>
        <v>1</v>
      </c>
      <c r="N992" s="84"/>
      <c r="O992" s="84"/>
      <c r="P992" s="84"/>
      <c r="Q992" s="84"/>
      <c r="R992" s="84"/>
    </row>
    <row r="993" ht="15.75" customHeight="1">
      <c r="A993" s="190">
        <v>1.2072003E7</v>
      </c>
      <c r="B993" s="106" t="s">
        <v>2150</v>
      </c>
      <c r="C993" s="204"/>
      <c r="D993" s="133"/>
      <c r="E993" s="178"/>
      <c r="F993" s="178"/>
      <c r="G993" s="189" t="s">
        <v>420</v>
      </c>
      <c r="H993" s="133"/>
      <c r="I993" s="99"/>
      <c r="K993" s="84"/>
      <c r="L993" s="99">
        <f t="shared" ref="L993:M993" si="960">COUNTIF(A993:A2163,A993)</f>
        <v>1</v>
      </c>
      <c r="M993" s="99">
        <f t="shared" si="960"/>
        <v>1</v>
      </c>
      <c r="N993" s="84"/>
      <c r="O993" s="84"/>
      <c r="P993" s="84"/>
      <c r="Q993" s="84"/>
      <c r="R993" s="84"/>
    </row>
    <row r="994" ht="15.75" customHeight="1">
      <c r="A994" s="190">
        <v>1.2072004E7</v>
      </c>
      <c r="B994" s="106" t="s">
        <v>2151</v>
      </c>
      <c r="C994" s="204"/>
      <c r="D994" s="133"/>
      <c r="E994" s="178"/>
      <c r="F994" s="178"/>
      <c r="G994" s="189" t="s">
        <v>420</v>
      </c>
      <c r="H994" s="133"/>
      <c r="I994" s="99"/>
      <c r="K994" s="84"/>
      <c r="L994" s="99">
        <f t="shared" ref="L994:M994" si="961">COUNTIF(A994:A2164,A994)</f>
        <v>1</v>
      </c>
      <c r="M994" s="99">
        <f t="shared" si="961"/>
        <v>1</v>
      </c>
      <c r="N994" s="84"/>
      <c r="O994" s="84"/>
      <c r="P994" s="84"/>
      <c r="Q994" s="84"/>
      <c r="R994" s="84"/>
    </row>
    <row r="995" ht="15.75" customHeight="1">
      <c r="A995" s="190">
        <v>1.2072005E7</v>
      </c>
      <c r="B995" s="106" t="s">
        <v>2152</v>
      </c>
      <c r="C995" s="204"/>
      <c r="D995" s="133"/>
      <c r="E995" s="178"/>
      <c r="F995" s="178"/>
      <c r="G995" s="189" t="s">
        <v>420</v>
      </c>
      <c r="H995" s="133"/>
      <c r="I995" s="99"/>
      <c r="K995" s="84"/>
      <c r="L995" s="99">
        <f t="shared" ref="L995:M995" si="962">COUNTIF(A995:A2165,A995)</f>
        <v>1</v>
      </c>
      <c r="M995" s="99">
        <f t="shared" si="962"/>
        <v>1</v>
      </c>
      <c r="N995" s="84"/>
      <c r="O995" s="84"/>
      <c r="P995" s="84"/>
      <c r="Q995" s="84"/>
      <c r="R995" s="84"/>
    </row>
    <row r="996" ht="15.75" customHeight="1">
      <c r="A996" s="190">
        <v>1.2072006E7</v>
      </c>
      <c r="B996" s="106" t="s">
        <v>2153</v>
      </c>
      <c r="C996" s="204"/>
      <c r="D996" s="133"/>
      <c r="E996" s="178"/>
      <c r="F996" s="178"/>
      <c r="G996" s="189" t="s">
        <v>420</v>
      </c>
      <c r="H996" s="133"/>
      <c r="I996" s="99"/>
      <c r="K996" s="84"/>
      <c r="L996" s="99">
        <f t="shared" ref="L996:M996" si="963">COUNTIF(A996:A2166,A996)</f>
        <v>1</v>
      </c>
      <c r="M996" s="99">
        <f t="shared" si="963"/>
        <v>1</v>
      </c>
      <c r="N996" s="84"/>
      <c r="O996" s="84"/>
      <c r="P996" s="84"/>
      <c r="Q996" s="84"/>
      <c r="R996" s="84"/>
    </row>
    <row r="997" ht="15.75" customHeight="1">
      <c r="A997" s="190">
        <v>1.2072007E7</v>
      </c>
      <c r="B997" s="106" t="s">
        <v>2154</v>
      </c>
      <c r="C997" s="204"/>
      <c r="D997" s="133"/>
      <c r="E997" s="178"/>
      <c r="F997" s="178"/>
      <c r="G997" s="189" t="s">
        <v>420</v>
      </c>
      <c r="H997" s="133"/>
      <c r="I997" s="99"/>
      <c r="K997" s="84"/>
      <c r="L997" s="99">
        <f t="shared" ref="L997:M997" si="964">COUNTIF(A997:A2167,A997)</f>
        <v>1</v>
      </c>
      <c r="M997" s="99">
        <f t="shared" si="964"/>
        <v>1</v>
      </c>
      <c r="N997" s="84"/>
      <c r="O997" s="84"/>
      <c r="P997" s="84"/>
      <c r="Q997" s="84"/>
      <c r="R997" s="84"/>
    </row>
    <row r="998" ht="15.75" customHeight="1">
      <c r="A998" s="190">
        <v>1.2072008E7</v>
      </c>
      <c r="B998" s="106" t="s">
        <v>2155</v>
      </c>
      <c r="C998" s="204"/>
      <c r="D998" s="133"/>
      <c r="E998" s="178"/>
      <c r="F998" s="178"/>
      <c r="G998" s="189" t="s">
        <v>420</v>
      </c>
      <c r="H998" s="133"/>
      <c r="I998" s="99"/>
      <c r="K998" s="84"/>
      <c r="L998" s="99">
        <f t="shared" ref="L998:M998" si="965">COUNTIF(A998:A2168,A998)</f>
        <v>1</v>
      </c>
      <c r="M998" s="99">
        <f t="shared" si="965"/>
        <v>1</v>
      </c>
      <c r="N998" s="84"/>
      <c r="O998" s="84"/>
      <c r="P998" s="84"/>
      <c r="Q998" s="84"/>
      <c r="R998" s="84"/>
    </row>
    <row r="999" ht="15.75" customHeight="1">
      <c r="A999" s="190">
        <v>1.2072009E7</v>
      </c>
      <c r="B999" s="106" t="s">
        <v>2156</v>
      </c>
      <c r="C999" s="204"/>
      <c r="D999" s="133"/>
      <c r="E999" s="178"/>
      <c r="F999" s="178"/>
      <c r="G999" s="189" t="s">
        <v>420</v>
      </c>
      <c r="H999" s="133"/>
      <c r="I999" s="99"/>
      <c r="K999" s="84"/>
      <c r="L999" s="99">
        <f t="shared" ref="L999:M999" si="966">COUNTIF(A999:A2169,A999)</f>
        <v>1</v>
      </c>
      <c r="M999" s="99">
        <f t="shared" si="966"/>
        <v>1</v>
      </c>
      <c r="N999" s="84"/>
      <c r="O999" s="84"/>
      <c r="P999" s="84"/>
      <c r="Q999" s="84"/>
      <c r="R999" s="84"/>
    </row>
    <row r="1000" ht="15.75" customHeight="1">
      <c r="A1000" s="190">
        <v>1.207201E7</v>
      </c>
      <c r="B1000" s="106" t="s">
        <v>2157</v>
      </c>
      <c r="C1000" s="204"/>
      <c r="D1000" s="133"/>
      <c r="E1000" s="178"/>
      <c r="F1000" s="178"/>
      <c r="G1000" s="189" t="s">
        <v>420</v>
      </c>
      <c r="H1000" s="133"/>
      <c r="I1000" s="99"/>
      <c r="K1000" s="84"/>
      <c r="L1000" s="99">
        <f t="shared" ref="L1000:M1000" si="967">COUNTIF(A1000:A2170,A1000)</f>
        <v>1</v>
      </c>
      <c r="M1000" s="99">
        <f t="shared" si="967"/>
        <v>1</v>
      </c>
      <c r="N1000" s="84"/>
      <c r="O1000" s="84"/>
      <c r="P1000" s="84"/>
      <c r="Q1000" s="84"/>
      <c r="R1000" s="84"/>
    </row>
    <row r="1001" ht="15.75" customHeight="1">
      <c r="A1001" s="190">
        <v>1.2072011E7</v>
      </c>
      <c r="B1001" s="106" t="s">
        <v>2158</v>
      </c>
      <c r="C1001" s="204"/>
      <c r="D1001" s="133"/>
      <c r="E1001" s="178"/>
      <c r="F1001" s="178"/>
      <c r="G1001" s="189" t="s">
        <v>420</v>
      </c>
      <c r="H1001" s="133"/>
      <c r="I1001" s="99"/>
      <c r="K1001" s="84"/>
      <c r="L1001" s="99">
        <f t="shared" ref="L1001:M1001" si="968">COUNTIF(A1001:A2171,A1001)</f>
        <v>1</v>
      </c>
      <c r="M1001" s="99">
        <f t="shared" si="968"/>
        <v>1</v>
      </c>
      <c r="N1001" s="84"/>
      <c r="O1001" s="84"/>
      <c r="P1001" s="84"/>
      <c r="Q1001" s="84"/>
      <c r="R1001" s="84"/>
    </row>
    <row r="1002" ht="15.75" customHeight="1">
      <c r="A1002" s="190">
        <v>1.2072012E7</v>
      </c>
      <c r="B1002" s="106" t="s">
        <v>2159</v>
      </c>
      <c r="C1002" s="204"/>
      <c r="D1002" s="133"/>
      <c r="E1002" s="178"/>
      <c r="F1002" s="178"/>
      <c r="G1002" s="189" t="s">
        <v>420</v>
      </c>
      <c r="H1002" s="133"/>
      <c r="I1002" s="99"/>
      <c r="K1002" s="84"/>
      <c r="L1002" s="99">
        <f t="shared" ref="L1002:M1002" si="969">COUNTIF(A1002:A2172,A1002)</f>
        <v>1</v>
      </c>
      <c r="M1002" s="99">
        <f t="shared" si="969"/>
        <v>1</v>
      </c>
      <c r="N1002" s="84"/>
      <c r="O1002" s="84"/>
      <c r="P1002" s="84"/>
      <c r="Q1002" s="84"/>
      <c r="R1002" s="84"/>
    </row>
    <row r="1003" ht="15.75" customHeight="1">
      <c r="A1003" s="190">
        <v>1.2072013E7</v>
      </c>
      <c r="B1003" s="106" t="s">
        <v>2160</v>
      </c>
      <c r="C1003" s="204"/>
      <c r="D1003" s="133"/>
      <c r="E1003" s="178"/>
      <c r="F1003" s="178"/>
      <c r="G1003" s="189" t="s">
        <v>420</v>
      </c>
      <c r="H1003" s="133"/>
      <c r="I1003" s="99"/>
      <c r="K1003" s="84"/>
      <c r="L1003" s="99">
        <f t="shared" ref="L1003:M1003" si="970">COUNTIF(A1003:A2173,A1003)</f>
        <v>1</v>
      </c>
      <c r="M1003" s="99">
        <f t="shared" si="970"/>
        <v>1</v>
      </c>
      <c r="N1003" s="84"/>
      <c r="O1003" s="84"/>
      <c r="P1003" s="84"/>
      <c r="Q1003" s="84"/>
      <c r="R1003" s="84"/>
    </row>
    <row r="1004" ht="15.75" customHeight="1">
      <c r="A1004" s="190">
        <v>1.2072014E7</v>
      </c>
      <c r="B1004" s="106" t="s">
        <v>2161</v>
      </c>
      <c r="C1004" s="204"/>
      <c r="D1004" s="133"/>
      <c r="E1004" s="178"/>
      <c r="F1004" s="178"/>
      <c r="G1004" s="189" t="s">
        <v>420</v>
      </c>
      <c r="H1004" s="133"/>
      <c r="I1004" s="99"/>
      <c r="K1004" s="84"/>
      <c r="L1004" s="99">
        <f t="shared" ref="L1004:M1004" si="971">COUNTIF(A1004:A2174,A1004)</f>
        <v>1</v>
      </c>
      <c r="M1004" s="99">
        <f t="shared" si="971"/>
        <v>1</v>
      </c>
      <c r="N1004" s="84"/>
      <c r="O1004" s="84"/>
      <c r="P1004" s="84"/>
      <c r="Q1004" s="84"/>
      <c r="R1004" s="84"/>
    </row>
    <row r="1005" ht="15.75" customHeight="1">
      <c r="A1005" s="190">
        <v>1.2072015E7</v>
      </c>
      <c r="B1005" s="106" t="s">
        <v>2162</v>
      </c>
      <c r="C1005" s="204"/>
      <c r="D1005" s="133"/>
      <c r="E1005" s="178"/>
      <c r="F1005" s="178"/>
      <c r="G1005" s="189" t="s">
        <v>420</v>
      </c>
      <c r="H1005" s="133"/>
      <c r="I1005" s="99"/>
      <c r="K1005" s="84"/>
      <c r="L1005" s="99">
        <f t="shared" ref="L1005:M1005" si="972">COUNTIF(A1005:A2175,A1005)</f>
        <v>1</v>
      </c>
      <c r="M1005" s="99">
        <f t="shared" si="972"/>
        <v>1</v>
      </c>
      <c r="N1005" s="84"/>
      <c r="O1005" s="84"/>
      <c r="P1005" s="84"/>
      <c r="Q1005" s="84"/>
      <c r="R1005" s="84"/>
    </row>
    <row r="1006" ht="15.75" customHeight="1">
      <c r="A1006" s="190">
        <v>1.2072016E7</v>
      </c>
      <c r="B1006" s="106" t="s">
        <v>2163</v>
      </c>
      <c r="C1006" s="204"/>
      <c r="D1006" s="133"/>
      <c r="E1006" s="178"/>
      <c r="F1006" s="178"/>
      <c r="G1006" s="189" t="s">
        <v>420</v>
      </c>
      <c r="H1006" s="133"/>
      <c r="I1006" s="99"/>
      <c r="K1006" s="84"/>
      <c r="L1006" s="99">
        <f t="shared" ref="L1006:M1006" si="973">COUNTIF(A1006:A2176,A1006)</f>
        <v>1</v>
      </c>
      <c r="M1006" s="99">
        <f t="shared" si="973"/>
        <v>1</v>
      </c>
      <c r="N1006" s="84"/>
      <c r="O1006" s="84"/>
      <c r="P1006" s="84"/>
      <c r="Q1006" s="84"/>
      <c r="R1006" s="84"/>
    </row>
    <row r="1007" ht="15.75" customHeight="1">
      <c r="A1007" s="190">
        <v>1.2072017E7</v>
      </c>
      <c r="B1007" s="106" t="s">
        <v>2164</v>
      </c>
      <c r="C1007" s="204"/>
      <c r="D1007" s="133"/>
      <c r="E1007" s="178"/>
      <c r="F1007" s="178"/>
      <c r="G1007" s="189" t="s">
        <v>420</v>
      </c>
      <c r="H1007" s="133"/>
      <c r="I1007" s="99"/>
      <c r="K1007" s="84"/>
      <c r="L1007" s="99">
        <f t="shared" ref="L1007:M1007" si="974">COUNTIF(A1007:A2177,A1007)</f>
        <v>1</v>
      </c>
      <c r="M1007" s="99">
        <f t="shared" si="974"/>
        <v>1</v>
      </c>
      <c r="N1007" s="84"/>
      <c r="O1007" s="84"/>
      <c r="P1007" s="84"/>
      <c r="Q1007" s="84"/>
      <c r="R1007" s="84"/>
    </row>
    <row r="1008" ht="15.75" customHeight="1">
      <c r="A1008" s="190">
        <v>1.2072018E7</v>
      </c>
      <c r="B1008" s="106" t="s">
        <v>2165</v>
      </c>
      <c r="C1008" s="204"/>
      <c r="D1008" s="133"/>
      <c r="E1008" s="178"/>
      <c r="F1008" s="178"/>
      <c r="G1008" s="189" t="s">
        <v>420</v>
      </c>
      <c r="H1008" s="133"/>
      <c r="I1008" s="99"/>
      <c r="K1008" s="84"/>
      <c r="L1008" s="99">
        <f t="shared" ref="L1008:M1008" si="975">COUNTIF(A1008:A2178,A1008)</f>
        <v>1</v>
      </c>
      <c r="M1008" s="99">
        <f t="shared" si="975"/>
        <v>1</v>
      </c>
      <c r="N1008" s="84"/>
      <c r="O1008" s="84"/>
      <c r="P1008" s="84"/>
      <c r="Q1008" s="84"/>
      <c r="R1008" s="84"/>
    </row>
    <row r="1009" ht="15.75" customHeight="1">
      <c r="A1009" s="190">
        <v>1.2072019E7</v>
      </c>
      <c r="B1009" s="106" t="s">
        <v>2166</v>
      </c>
      <c r="C1009" s="204"/>
      <c r="D1009" s="133"/>
      <c r="E1009" s="178"/>
      <c r="F1009" s="178"/>
      <c r="G1009" s="189" t="s">
        <v>420</v>
      </c>
      <c r="H1009" s="133"/>
      <c r="I1009" s="99"/>
      <c r="K1009" s="84"/>
      <c r="L1009" s="99">
        <f t="shared" ref="L1009:M1009" si="976">COUNTIF(A1009:A2179,A1009)</f>
        <v>1</v>
      </c>
      <c r="M1009" s="99">
        <f t="shared" si="976"/>
        <v>1</v>
      </c>
      <c r="N1009" s="84"/>
      <c r="O1009" s="84"/>
      <c r="P1009" s="84"/>
      <c r="Q1009" s="84"/>
      <c r="R1009" s="84"/>
    </row>
    <row r="1010" ht="15.75" customHeight="1">
      <c r="A1010" s="190">
        <v>1.207202E7</v>
      </c>
      <c r="B1010" s="106" t="s">
        <v>2167</v>
      </c>
      <c r="C1010" s="204"/>
      <c r="D1010" s="133"/>
      <c r="E1010" s="178"/>
      <c r="F1010" s="178"/>
      <c r="G1010" s="189" t="s">
        <v>420</v>
      </c>
      <c r="H1010" s="133"/>
      <c r="I1010" s="99"/>
      <c r="K1010" s="84"/>
      <c r="L1010" s="99">
        <f t="shared" ref="L1010:M1010" si="977">COUNTIF(A1010:A2180,A1010)</f>
        <v>1</v>
      </c>
      <c r="M1010" s="99">
        <f t="shared" si="977"/>
        <v>1</v>
      </c>
      <c r="N1010" s="84"/>
      <c r="O1010" s="84"/>
      <c r="P1010" s="84"/>
      <c r="Q1010" s="84"/>
      <c r="R1010" s="84"/>
    </row>
    <row r="1011" ht="15.75" customHeight="1">
      <c r="A1011" s="190">
        <v>1.2072021E7</v>
      </c>
      <c r="B1011" s="106" t="s">
        <v>2168</v>
      </c>
      <c r="C1011" s="204"/>
      <c r="D1011" s="133"/>
      <c r="E1011" s="178"/>
      <c r="F1011" s="178"/>
      <c r="G1011" s="189" t="s">
        <v>420</v>
      </c>
      <c r="H1011" s="133"/>
      <c r="I1011" s="99"/>
      <c r="K1011" s="84"/>
      <c r="L1011" s="99">
        <f t="shared" ref="L1011:M1011" si="978">COUNTIF(A1011:A2181,A1011)</f>
        <v>1</v>
      </c>
      <c r="M1011" s="99">
        <f t="shared" si="978"/>
        <v>1</v>
      </c>
      <c r="N1011" s="84"/>
      <c r="O1011" s="84"/>
      <c r="P1011" s="84"/>
      <c r="Q1011" s="84"/>
      <c r="R1011" s="84"/>
    </row>
    <row r="1012" ht="15.75" customHeight="1">
      <c r="A1012" s="190">
        <v>1.2072022E7</v>
      </c>
      <c r="B1012" s="106" t="s">
        <v>2169</v>
      </c>
      <c r="C1012" s="204"/>
      <c r="D1012" s="133"/>
      <c r="E1012" s="178"/>
      <c r="F1012" s="178"/>
      <c r="G1012" s="189" t="s">
        <v>420</v>
      </c>
      <c r="H1012" s="133"/>
      <c r="I1012" s="99"/>
      <c r="K1012" s="84"/>
      <c r="L1012" s="99">
        <f t="shared" ref="L1012:M1012" si="979">COUNTIF(A1012:A2182,A1012)</f>
        <v>1</v>
      </c>
      <c r="M1012" s="99">
        <f t="shared" si="979"/>
        <v>1</v>
      </c>
      <c r="N1012" s="84"/>
      <c r="O1012" s="84"/>
      <c r="P1012" s="84"/>
      <c r="Q1012" s="84"/>
      <c r="R1012" s="84"/>
    </row>
    <row r="1013" ht="15.75" customHeight="1">
      <c r="A1013" s="190">
        <v>1.2072023E7</v>
      </c>
      <c r="B1013" s="106" t="s">
        <v>2170</v>
      </c>
      <c r="C1013" s="204"/>
      <c r="D1013" s="133"/>
      <c r="E1013" s="178"/>
      <c r="F1013" s="178"/>
      <c r="G1013" s="189" t="s">
        <v>420</v>
      </c>
      <c r="H1013" s="133"/>
      <c r="I1013" s="99"/>
      <c r="K1013" s="84"/>
      <c r="L1013" s="99">
        <f t="shared" ref="L1013:M1013" si="980">COUNTIF(A1013:A2183,A1013)</f>
        <v>1</v>
      </c>
      <c r="M1013" s="99">
        <f t="shared" si="980"/>
        <v>1</v>
      </c>
      <c r="N1013" s="84"/>
      <c r="O1013" s="84"/>
      <c r="P1013" s="84"/>
      <c r="Q1013" s="84"/>
      <c r="R1013" s="84"/>
    </row>
    <row r="1014" ht="15.75" customHeight="1">
      <c r="A1014" s="190">
        <v>1.2072024E7</v>
      </c>
      <c r="B1014" s="106" t="s">
        <v>2171</v>
      </c>
      <c r="C1014" s="204"/>
      <c r="D1014" s="133"/>
      <c r="E1014" s="178"/>
      <c r="F1014" s="178"/>
      <c r="G1014" s="189" t="s">
        <v>420</v>
      </c>
      <c r="H1014" s="133"/>
      <c r="I1014" s="99"/>
      <c r="K1014" s="84"/>
      <c r="L1014" s="99">
        <f t="shared" ref="L1014:M1014" si="981">COUNTIF(A1014:A2184,A1014)</f>
        <v>1</v>
      </c>
      <c r="M1014" s="99">
        <f t="shared" si="981"/>
        <v>1</v>
      </c>
      <c r="N1014" s="84"/>
      <c r="O1014" s="84"/>
      <c r="P1014" s="84"/>
      <c r="Q1014" s="84"/>
      <c r="R1014" s="84"/>
    </row>
    <row r="1015" ht="15.75" customHeight="1">
      <c r="A1015" s="190">
        <v>1.2072025E7</v>
      </c>
      <c r="B1015" s="106" t="s">
        <v>2172</v>
      </c>
      <c r="C1015" s="204"/>
      <c r="D1015" s="133"/>
      <c r="E1015" s="178"/>
      <c r="F1015" s="178"/>
      <c r="G1015" s="189" t="s">
        <v>420</v>
      </c>
      <c r="H1015" s="133"/>
      <c r="I1015" s="99"/>
      <c r="K1015" s="84"/>
      <c r="L1015" s="99">
        <f t="shared" ref="L1015:M1015" si="982">COUNTIF(A1015:A2185,A1015)</f>
        <v>1</v>
      </c>
      <c r="M1015" s="99">
        <f t="shared" si="982"/>
        <v>1</v>
      </c>
      <c r="N1015" s="84"/>
      <c r="O1015" s="84"/>
      <c r="P1015" s="84"/>
      <c r="Q1015" s="84"/>
      <c r="R1015" s="84"/>
    </row>
    <row r="1016" ht="15.75" customHeight="1">
      <c r="A1016" s="190">
        <v>1.2072026E7</v>
      </c>
      <c r="B1016" s="106" t="s">
        <v>2173</v>
      </c>
      <c r="C1016" s="204"/>
      <c r="D1016" s="133"/>
      <c r="E1016" s="178"/>
      <c r="F1016" s="178"/>
      <c r="G1016" s="189" t="s">
        <v>420</v>
      </c>
      <c r="H1016" s="133"/>
      <c r="I1016" s="99"/>
      <c r="K1016" s="84"/>
      <c r="L1016" s="99">
        <f t="shared" ref="L1016:M1016" si="983">COUNTIF(A1016:A2186,A1016)</f>
        <v>1</v>
      </c>
      <c r="M1016" s="99">
        <f t="shared" si="983"/>
        <v>1</v>
      </c>
      <c r="N1016" s="84"/>
      <c r="O1016" s="84"/>
      <c r="P1016" s="84"/>
      <c r="Q1016" s="84"/>
      <c r="R1016" s="84"/>
    </row>
    <row r="1017" ht="15.75" customHeight="1">
      <c r="A1017" s="190">
        <v>1.2072027E7</v>
      </c>
      <c r="B1017" s="106" t="s">
        <v>2174</v>
      </c>
      <c r="C1017" s="204"/>
      <c r="D1017" s="133"/>
      <c r="E1017" s="178"/>
      <c r="F1017" s="178"/>
      <c r="G1017" s="189" t="s">
        <v>420</v>
      </c>
      <c r="H1017" s="133"/>
      <c r="I1017" s="99"/>
      <c r="K1017" s="84"/>
      <c r="L1017" s="99">
        <f t="shared" ref="L1017:M1017" si="984">COUNTIF(A1017:A2187,A1017)</f>
        <v>1</v>
      </c>
      <c r="M1017" s="99">
        <f t="shared" si="984"/>
        <v>1</v>
      </c>
      <c r="N1017" s="84"/>
      <c r="O1017" s="84"/>
      <c r="P1017" s="84"/>
      <c r="Q1017" s="84"/>
      <c r="R1017" s="84"/>
    </row>
    <row r="1018" ht="15.75" customHeight="1">
      <c r="A1018" s="190">
        <v>1.2072028E7</v>
      </c>
      <c r="B1018" s="106" t="s">
        <v>2175</v>
      </c>
      <c r="C1018" s="204"/>
      <c r="D1018" s="133"/>
      <c r="E1018" s="178"/>
      <c r="F1018" s="178"/>
      <c r="G1018" s="189" t="s">
        <v>420</v>
      </c>
      <c r="H1018" s="133"/>
      <c r="I1018" s="99"/>
      <c r="K1018" s="84"/>
      <c r="L1018" s="99">
        <f t="shared" ref="L1018:M1018" si="985">COUNTIF(A1018:A2188,A1018)</f>
        <v>1</v>
      </c>
      <c r="M1018" s="99">
        <f t="shared" si="985"/>
        <v>1</v>
      </c>
      <c r="N1018" s="84"/>
      <c r="O1018" s="84"/>
      <c r="P1018" s="84"/>
      <c r="Q1018" s="84"/>
      <c r="R1018" s="84"/>
    </row>
    <row r="1019" ht="15.75" customHeight="1">
      <c r="A1019" s="190">
        <v>1.2072029E7</v>
      </c>
      <c r="B1019" s="106" t="s">
        <v>2176</v>
      </c>
      <c r="C1019" s="204"/>
      <c r="D1019" s="133"/>
      <c r="E1019" s="178"/>
      <c r="F1019" s="178"/>
      <c r="G1019" s="189" t="s">
        <v>420</v>
      </c>
      <c r="H1019" s="133"/>
      <c r="I1019" s="99"/>
      <c r="K1019" s="84"/>
      <c r="L1019" s="99">
        <f t="shared" ref="L1019:M1019" si="986">COUNTIF(A1019:A2189,A1019)</f>
        <v>1</v>
      </c>
      <c r="M1019" s="99">
        <f t="shared" si="986"/>
        <v>1</v>
      </c>
      <c r="N1019" s="84"/>
      <c r="O1019" s="84"/>
      <c r="P1019" s="84"/>
      <c r="Q1019" s="84"/>
      <c r="R1019" s="84"/>
    </row>
    <row r="1020" ht="15.75" customHeight="1">
      <c r="A1020" s="190">
        <v>1.207203E7</v>
      </c>
      <c r="B1020" s="106" t="s">
        <v>2177</v>
      </c>
      <c r="C1020" s="204"/>
      <c r="D1020" s="133"/>
      <c r="E1020" s="178"/>
      <c r="F1020" s="178"/>
      <c r="G1020" s="189" t="s">
        <v>420</v>
      </c>
      <c r="H1020" s="133"/>
      <c r="I1020" s="99"/>
      <c r="K1020" s="84"/>
      <c r="L1020" s="99">
        <f t="shared" ref="L1020:M1020" si="987">COUNTIF(A1020:A2190,A1020)</f>
        <v>1</v>
      </c>
      <c r="M1020" s="99">
        <f t="shared" si="987"/>
        <v>1</v>
      </c>
      <c r="N1020" s="84"/>
      <c r="O1020" s="84"/>
      <c r="P1020" s="84"/>
      <c r="Q1020" s="84"/>
      <c r="R1020" s="84"/>
    </row>
    <row r="1021" ht="15.75" customHeight="1">
      <c r="A1021" s="190">
        <v>1.2072031E7</v>
      </c>
      <c r="B1021" s="106" t="s">
        <v>2178</v>
      </c>
      <c r="C1021" s="204"/>
      <c r="D1021" s="133"/>
      <c r="E1021" s="178"/>
      <c r="F1021" s="178"/>
      <c r="G1021" s="189" t="s">
        <v>420</v>
      </c>
      <c r="H1021" s="133"/>
      <c r="I1021" s="99"/>
      <c r="K1021" s="84"/>
      <c r="L1021" s="99">
        <f t="shared" ref="L1021:M1021" si="988">COUNTIF(A1021:A2191,A1021)</f>
        <v>1</v>
      </c>
      <c r="M1021" s="99">
        <f t="shared" si="988"/>
        <v>1</v>
      </c>
      <c r="N1021" s="84"/>
      <c r="O1021" s="84"/>
      <c r="P1021" s="84"/>
      <c r="Q1021" s="84"/>
      <c r="R1021" s="84"/>
    </row>
    <row r="1022" ht="15.75" customHeight="1">
      <c r="A1022" s="190">
        <v>1.2072032E7</v>
      </c>
      <c r="B1022" s="106" t="s">
        <v>2179</v>
      </c>
      <c r="C1022" s="204"/>
      <c r="D1022" s="133"/>
      <c r="E1022" s="178"/>
      <c r="F1022" s="178"/>
      <c r="G1022" s="189" t="s">
        <v>420</v>
      </c>
      <c r="H1022" s="133"/>
      <c r="I1022" s="99"/>
      <c r="K1022" s="84"/>
      <c r="L1022" s="99">
        <f t="shared" ref="L1022:M1022" si="989">COUNTIF(A1022:A2192,A1022)</f>
        <v>1</v>
      </c>
      <c r="M1022" s="99">
        <f t="shared" si="989"/>
        <v>1</v>
      </c>
      <c r="N1022" s="84"/>
      <c r="O1022" s="84"/>
      <c r="P1022" s="84"/>
      <c r="Q1022" s="84"/>
      <c r="R1022" s="84"/>
    </row>
    <row r="1023" ht="15.75" customHeight="1">
      <c r="A1023" s="190">
        <v>1.2072033E7</v>
      </c>
      <c r="B1023" s="106" t="s">
        <v>2180</v>
      </c>
      <c r="C1023" s="204"/>
      <c r="D1023" s="133"/>
      <c r="E1023" s="178"/>
      <c r="F1023" s="178"/>
      <c r="G1023" s="189" t="s">
        <v>420</v>
      </c>
      <c r="H1023" s="133"/>
      <c r="I1023" s="99"/>
      <c r="K1023" s="84"/>
      <c r="L1023" s="99">
        <f t="shared" ref="L1023:M1023" si="990">COUNTIF(A1023:A2193,A1023)</f>
        <v>1</v>
      </c>
      <c r="M1023" s="99">
        <f t="shared" si="990"/>
        <v>1</v>
      </c>
      <c r="N1023" s="84"/>
      <c r="O1023" s="84"/>
      <c r="P1023" s="84"/>
      <c r="Q1023" s="84"/>
      <c r="R1023" s="84"/>
    </row>
    <row r="1024" ht="15.75" customHeight="1">
      <c r="A1024" s="190">
        <v>1.2072034E7</v>
      </c>
      <c r="B1024" s="106" t="s">
        <v>2181</v>
      </c>
      <c r="C1024" s="204"/>
      <c r="D1024" s="133"/>
      <c r="E1024" s="178"/>
      <c r="F1024" s="178"/>
      <c r="G1024" s="189" t="s">
        <v>420</v>
      </c>
      <c r="H1024" s="133"/>
      <c r="I1024" s="99"/>
      <c r="K1024" s="84"/>
      <c r="L1024" s="99">
        <f t="shared" ref="L1024:M1024" si="991">COUNTIF(A1024:A2194,A1024)</f>
        <v>1</v>
      </c>
      <c r="M1024" s="99">
        <f t="shared" si="991"/>
        <v>1</v>
      </c>
      <c r="N1024" s="84"/>
      <c r="O1024" s="84"/>
      <c r="P1024" s="84"/>
      <c r="Q1024" s="84"/>
      <c r="R1024" s="84"/>
    </row>
    <row r="1025" ht="15.75" customHeight="1">
      <c r="A1025" s="190">
        <v>1.2072035E7</v>
      </c>
      <c r="B1025" s="106" t="s">
        <v>2182</v>
      </c>
      <c r="C1025" s="204"/>
      <c r="D1025" s="133"/>
      <c r="E1025" s="178"/>
      <c r="F1025" s="178"/>
      <c r="G1025" s="189" t="s">
        <v>420</v>
      </c>
      <c r="H1025" s="133"/>
      <c r="I1025" s="99"/>
      <c r="K1025" s="84"/>
      <c r="L1025" s="99">
        <f t="shared" ref="L1025:M1025" si="992">COUNTIF(A1025:A2195,A1025)</f>
        <v>1</v>
      </c>
      <c r="M1025" s="99">
        <f t="shared" si="992"/>
        <v>1</v>
      </c>
      <c r="N1025" s="84"/>
      <c r="O1025" s="84"/>
      <c r="P1025" s="84"/>
      <c r="Q1025" s="84"/>
      <c r="R1025" s="84"/>
    </row>
    <row r="1026" ht="15.75" customHeight="1">
      <c r="A1026" s="190">
        <v>1.2073101E7</v>
      </c>
      <c r="B1026" s="106" t="s">
        <v>2183</v>
      </c>
      <c r="C1026" s="204"/>
      <c r="D1026" s="133"/>
      <c r="E1026" s="178"/>
      <c r="F1026" s="178"/>
      <c r="G1026" s="189" t="s">
        <v>420</v>
      </c>
      <c r="H1026" s="133"/>
      <c r="I1026" s="99"/>
      <c r="K1026" s="84"/>
      <c r="L1026" s="99">
        <f t="shared" ref="L1026:M1026" si="993">COUNTIF(A1026:A2196,A1026)</f>
        <v>1</v>
      </c>
      <c r="M1026" s="99">
        <f t="shared" si="993"/>
        <v>1</v>
      </c>
      <c r="N1026" s="84"/>
      <c r="O1026" s="84"/>
      <c r="P1026" s="84"/>
      <c r="Q1026" s="84"/>
      <c r="R1026" s="84"/>
    </row>
    <row r="1027" ht="15.75" customHeight="1">
      <c r="A1027" s="190">
        <v>1.2073102E7</v>
      </c>
      <c r="B1027" s="106" t="s">
        <v>2184</v>
      </c>
      <c r="C1027" s="204"/>
      <c r="D1027" s="133"/>
      <c r="E1027" s="178"/>
      <c r="F1027" s="178"/>
      <c r="G1027" s="189" t="s">
        <v>420</v>
      </c>
      <c r="H1027" s="133"/>
      <c r="I1027" s="99"/>
      <c r="K1027" s="84"/>
      <c r="L1027" s="99">
        <f t="shared" ref="L1027:M1027" si="994">COUNTIF(A1027:A2197,A1027)</f>
        <v>1</v>
      </c>
      <c r="M1027" s="99">
        <f t="shared" si="994"/>
        <v>1</v>
      </c>
      <c r="N1027" s="84"/>
      <c r="O1027" s="84"/>
      <c r="P1027" s="84"/>
      <c r="Q1027" s="84"/>
      <c r="R1027" s="84"/>
    </row>
    <row r="1028" ht="15.75" customHeight="1">
      <c r="A1028" s="190">
        <v>1.2073103E7</v>
      </c>
      <c r="B1028" s="106" t="s">
        <v>2185</v>
      </c>
      <c r="C1028" s="204"/>
      <c r="D1028" s="133"/>
      <c r="E1028" s="178"/>
      <c r="F1028" s="178"/>
      <c r="G1028" s="189" t="s">
        <v>420</v>
      </c>
      <c r="H1028" s="133"/>
      <c r="I1028" s="99"/>
      <c r="K1028" s="84"/>
      <c r="L1028" s="99">
        <f t="shared" ref="L1028:M1028" si="995">COUNTIF(A1028:A2198,A1028)</f>
        <v>1</v>
      </c>
      <c r="M1028" s="99">
        <f t="shared" si="995"/>
        <v>1</v>
      </c>
      <c r="N1028" s="84"/>
      <c r="O1028" s="84"/>
      <c r="P1028" s="84"/>
      <c r="Q1028" s="84"/>
      <c r="R1028" s="84"/>
    </row>
    <row r="1029" ht="15.75" customHeight="1">
      <c r="A1029" s="190">
        <v>1.2073104E7</v>
      </c>
      <c r="B1029" s="106" t="s">
        <v>2186</v>
      </c>
      <c r="C1029" s="204"/>
      <c r="D1029" s="133"/>
      <c r="E1029" s="178"/>
      <c r="F1029" s="178"/>
      <c r="G1029" s="189" t="s">
        <v>420</v>
      </c>
      <c r="H1029" s="133"/>
      <c r="I1029" s="99"/>
      <c r="K1029" s="84"/>
      <c r="L1029" s="99">
        <f t="shared" ref="L1029:M1029" si="996">COUNTIF(A1029:A2199,A1029)</f>
        <v>1</v>
      </c>
      <c r="M1029" s="99">
        <f t="shared" si="996"/>
        <v>1</v>
      </c>
      <c r="N1029" s="84"/>
      <c r="O1029" s="84"/>
      <c r="P1029" s="84"/>
      <c r="Q1029" s="84"/>
      <c r="R1029" s="84"/>
    </row>
    <row r="1030" ht="15.75" customHeight="1">
      <c r="A1030" s="190">
        <v>1.2073105E7</v>
      </c>
      <c r="B1030" s="106" t="s">
        <v>2187</v>
      </c>
      <c r="C1030" s="204"/>
      <c r="D1030" s="133"/>
      <c r="E1030" s="178"/>
      <c r="F1030" s="178"/>
      <c r="G1030" s="189" t="s">
        <v>420</v>
      </c>
      <c r="H1030" s="133"/>
      <c r="I1030" s="99"/>
      <c r="K1030" s="84"/>
      <c r="L1030" s="99">
        <f t="shared" ref="L1030:M1030" si="997">COUNTIF(A1030:A2200,A1030)</f>
        <v>1</v>
      </c>
      <c r="M1030" s="99">
        <f t="shared" si="997"/>
        <v>1</v>
      </c>
      <c r="N1030" s="84"/>
      <c r="O1030" s="84"/>
      <c r="P1030" s="84"/>
      <c r="Q1030" s="84"/>
      <c r="R1030" s="84"/>
    </row>
    <row r="1031" ht="15.75" customHeight="1">
      <c r="A1031" s="190">
        <v>1.2073106E7</v>
      </c>
      <c r="B1031" s="106" t="s">
        <v>2188</v>
      </c>
      <c r="C1031" s="204"/>
      <c r="D1031" s="133"/>
      <c r="E1031" s="178"/>
      <c r="F1031" s="178"/>
      <c r="G1031" s="189" t="s">
        <v>420</v>
      </c>
      <c r="H1031" s="133"/>
      <c r="I1031" s="99"/>
      <c r="K1031" s="84"/>
      <c r="L1031" s="99">
        <f t="shared" ref="L1031:M1031" si="998">COUNTIF(A1031:A2201,A1031)</f>
        <v>1</v>
      </c>
      <c r="M1031" s="99">
        <f t="shared" si="998"/>
        <v>1</v>
      </c>
      <c r="N1031" s="84"/>
      <c r="O1031" s="84"/>
      <c r="P1031" s="84"/>
      <c r="Q1031" s="84"/>
      <c r="R1031" s="84"/>
    </row>
    <row r="1032" ht="15.75" customHeight="1">
      <c r="A1032" s="190">
        <v>1.2073107E7</v>
      </c>
      <c r="B1032" s="106" t="s">
        <v>2189</v>
      </c>
      <c r="C1032" s="204"/>
      <c r="D1032" s="133"/>
      <c r="E1032" s="178"/>
      <c r="F1032" s="178"/>
      <c r="G1032" s="189" t="s">
        <v>420</v>
      </c>
      <c r="H1032" s="133"/>
      <c r="I1032" s="99"/>
      <c r="K1032" s="84"/>
      <c r="L1032" s="99">
        <f t="shared" ref="L1032:M1032" si="999">COUNTIF(A1032:A2202,A1032)</f>
        <v>1</v>
      </c>
      <c r="M1032" s="99">
        <f t="shared" si="999"/>
        <v>1</v>
      </c>
      <c r="N1032" s="84"/>
      <c r="O1032" s="84"/>
      <c r="P1032" s="84"/>
      <c r="Q1032" s="84"/>
      <c r="R1032" s="84"/>
    </row>
    <row r="1033" ht="15.75" customHeight="1">
      <c r="A1033" s="190">
        <v>1.2073108E7</v>
      </c>
      <c r="B1033" s="106" t="s">
        <v>2190</v>
      </c>
      <c r="C1033" s="204"/>
      <c r="D1033" s="133"/>
      <c r="E1033" s="178"/>
      <c r="F1033" s="178"/>
      <c r="G1033" s="189" t="s">
        <v>420</v>
      </c>
      <c r="H1033" s="133"/>
      <c r="I1033" s="99"/>
      <c r="K1033" s="84"/>
      <c r="L1033" s="99">
        <f t="shared" ref="L1033:M1033" si="1000">COUNTIF(A1033:A2203,A1033)</f>
        <v>1</v>
      </c>
      <c r="M1033" s="99">
        <f t="shared" si="1000"/>
        <v>1</v>
      </c>
      <c r="N1033" s="84"/>
      <c r="O1033" s="84"/>
      <c r="P1033" s="84"/>
      <c r="Q1033" s="84"/>
      <c r="R1033" s="84"/>
    </row>
    <row r="1034" ht="15.75" customHeight="1">
      <c r="A1034" s="190">
        <v>1.2073109E7</v>
      </c>
      <c r="B1034" s="106" t="s">
        <v>2191</v>
      </c>
      <c r="C1034" s="204"/>
      <c r="D1034" s="133"/>
      <c r="E1034" s="178"/>
      <c r="F1034" s="178"/>
      <c r="G1034" s="189" t="s">
        <v>420</v>
      </c>
      <c r="H1034" s="133"/>
      <c r="I1034" s="99"/>
      <c r="K1034" s="84"/>
      <c r="L1034" s="99">
        <f t="shared" ref="L1034:M1034" si="1001">COUNTIF(A1034:A2204,A1034)</f>
        <v>1</v>
      </c>
      <c r="M1034" s="99">
        <f t="shared" si="1001"/>
        <v>1</v>
      </c>
      <c r="N1034" s="84"/>
      <c r="O1034" s="84"/>
      <c r="P1034" s="84"/>
      <c r="Q1034" s="84"/>
      <c r="R1034" s="84"/>
    </row>
    <row r="1035" ht="15.75" customHeight="1">
      <c r="A1035" s="190">
        <v>1.207311E7</v>
      </c>
      <c r="B1035" s="106" t="s">
        <v>2192</v>
      </c>
      <c r="C1035" s="204"/>
      <c r="D1035" s="133"/>
      <c r="E1035" s="178"/>
      <c r="F1035" s="178"/>
      <c r="G1035" s="189" t="s">
        <v>420</v>
      </c>
      <c r="H1035" s="133"/>
      <c r="I1035" s="99"/>
      <c r="K1035" s="84"/>
      <c r="L1035" s="99">
        <f t="shared" ref="L1035:M1035" si="1002">COUNTIF(A1035:A2205,A1035)</f>
        <v>1</v>
      </c>
      <c r="M1035" s="99">
        <f t="shared" si="1002"/>
        <v>1</v>
      </c>
      <c r="N1035" s="84"/>
      <c r="O1035" s="84"/>
      <c r="P1035" s="84"/>
      <c r="Q1035" s="84"/>
      <c r="R1035" s="84"/>
    </row>
    <row r="1036" ht="15.75" customHeight="1">
      <c r="A1036" s="190">
        <v>1.2073111E7</v>
      </c>
      <c r="B1036" s="106" t="s">
        <v>2193</v>
      </c>
      <c r="C1036" s="204"/>
      <c r="D1036" s="133"/>
      <c r="E1036" s="178"/>
      <c r="F1036" s="178"/>
      <c r="G1036" s="189" t="s">
        <v>420</v>
      </c>
      <c r="H1036" s="133"/>
      <c r="I1036" s="99"/>
      <c r="K1036" s="84"/>
      <c r="L1036" s="99">
        <f t="shared" ref="L1036:M1036" si="1003">COUNTIF(A1036:A2206,A1036)</f>
        <v>1</v>
      </c>
      <c r="M1036" s="99">
        <f t="shared" si="1003"/>
        <v>1</v>
      </c>
      <c r="N1036" s="84"/>
      <c r="O1036" s="84"/>
      <c r="P1036" s="84"/>
      <c r="Q1036" s="84"/>
      <c r="R1036" s="84"/>
    </row>
    <row r="1037" ht="15.75" customHeight="1">
      <c r="A1037" s="190">
        <v>1.2073112E7</v>
      </c>
      <c r="B1037" s="106" t="s">
        <v>2194</v>
      </c>
      <c r="C1037" s="204"/>
      <c r="D1037" s="133"/>
      <c r="E1037" s="178"/>
      <c r="F1037" s="178"/>
      <c r="G1037" s="189" t="s">
        <v>420</v>
      </c>
      <c r="H1037" s="133"/>
      <c r="I1037" s="99"/>
      <c r="K1037" s="84"/>
      <c r="L1037" s="99">
        <f t="shared" ref="L1037:M1037" si="1004">COUNTIF(A1037:A2207,A1037)</f>
        <v>1</v>
      </c>
      <c r="M1037" s="99">
        <f t="shared" si="1004"/>
        <v>1</v>
      </c>
      <c r="N1037" s="84"/>
      <c r="O1037" s="84"/>
      <c r="P1037" s="84"/>
      <c r="Q1037" s="84"/>
      <c r="R1037" s="84"/>
    </row>
    <row r="1038" ht="15.75" customHeight="1">
      <c r="A1038" s="190">
        <v>1.2073113E7</v>
      </c>
      <c r="B1038" s="106" t="s">
        <v>2195</v>
      </c>
      <c r="C1038" s="204"/>
      <c r="D1038" s="133"/>
      <c r="E1038" s="178"/>
      <c r="F1038" s="178"/>
      <c r="G1038" s="189" t="s">
        <v>420</v>
      </c>
      <c r="H1038" s="133"/>
      <c r="I1038" s="99"/>
      <c r="K1038" s="84"/>
      <c r="L1038" s="99">
        <f t="shared" ref="L1038:M1038" si="1005">COUNTIF(A1038:A2208,A1038)</f>
        <v>1</v>
      </c>
      <c r="M1038" s="99">
        <f t="shared" si="1005"/>
        <v>1</v>
      </c>
      <c r="N1038" s="84"/>
      <c r="O1038" s="84"/>
      <c r="P1038" s="84"/>
      <c r="Q1038" s="84"/>
      <c r="R1038" s="84"/>
    </row>
    <row r="1039" ht="15.75" customHeight="1">
      <c r="A1039" s="190">
        <v>1.2073114E7</v>
      </c>
      <c r="B1039" s="106" t="s">
        <v>2196</v>
      </c>
      <c r="C1039" s="204"/>
      <c r="D1039" s="133"/>
      <c r="E1039" s="178"/>
      <c r="F1039" s="178"/>
      <c r="G1039" s="189" t="s">
        <v>420</v>
      </c>
      <c r="H1039" s="133"/>
      <c r="I1039" s="99"/>
      <c r="K1039" s="84"/>
      <c r="L1039" s="99">
        <f t="shared" ref="L1039:M1039" si="1006">COUNTIF(A1039:A2209,A1039)</f>
        <v>1</v>
      </c>
      <c r="M1039" s="99">
        <f t="shared" si="1006"/>
        <v>1</v>
      </c>
      <c r="N1039" s="84"/>
      <c r="O1039" s="84"/>
      <c r="P1039" s="84"/>
      <c r="Q1039" s="84"/>
      <c r="R1039" s="84"/>
    </row>
    <row r="1040" ht="15.75" customHeight="1">
      <c r="A1040" s="190">
        <v>1.2073115E7</v>
      </c>
      <c r="B1040" s="106" t="s">
        <v>2197</v>
      </c>
      <c r="C1040" s="204"/>
      <c r="D1040" s="133"/>
      <c r="E1040" s="178"/>
      <c r="F1040" s="178"/>
      <c r="G1040" s="189" t="s">
        <v>420</v>
      </c>
      <c r="H1040" s="133"/>
      <c r="I1040" s="99"/>
      <c r="K1040" s="84"/>
      <c r="L1040" s="99">
        <f t="shared" ref="L1040:M1040" si="1007">COUNTIF(A1040:A2210,A1040)</f>
        <v>1</v>
      </c>
      <c r="M1040" s="99">
        <f t="shared" si="1007"/>
        <v>1</v>
      </c>
      <c r="N1040" s="84"/>
      <c r="O1040" s="84"/>
      <c r="P1040" s="84"/>
      <c r="Q1040" s="84"/>
      <c r="R1040" s="84"/>
    </row>
    <row r="1041" ht="15.75" customHeight="1">
      <c r="A1041" s="190">
        <v>1.2073116E7</v>
      </c>
      <c r="B1041" s="106" t="s">
        <v>2198</v>
      </c>
      <c r="C1041" s="204"/>
      <c r="D1041" s="133"/>
      <c r="E1041" s="178"/>
      <c r="F1041" s="178"/>
      <c r="G1041" s="189" t="s">
        <v>420</v>
      </c>
      <c r="H1041" s="133"/>
      <c r="I1041" s="99"/>
      <c r="K1041" s="84"/>
      <c r="L1041" s="99">
        <f t="shared" ref="L1041:M1041" si="1008">COUNTIF(A1041:A2211,A1041)</f>
        <v>1</v>
      </c>
      <c r="M1041" s="99">
        <f t="shared" si="1008"/>
        <v>1</v>
      </c>
      <c r="N1041" s="84"/>
      <c r="O1041" s="84"/>
      <c r="P1041" s="84"/>
      <c r="Q1041" s="84"/>
      <c r="R1041" s="84"/>
    </row>
    <row r="1042" ht="15.75" customHeight="1">
      <c r="A1042" s="190">
        <v>1.2073117E7</v>
      </c>
      <c r="B1042" s="106" t="s">
        <v>2199</v>
      </c>
      <c r="C1042" s="204"/>
      <c r="D1042" s="133"/>
      <c r="E1042" s="178"/>
      <c r="F1042" s="178"/>
      <c r="G1042" s="189" t="s">
        <v>420</v>
      </c>
      <c r="H1042" s="133"/>
      <c r="I1042" s="99"/>
      <c r="K1042" s="84"/>
      <c r="L1042" s="99">
        <f t="shared" ref="L1042:M1042" si="1009">COUNTIF(A1042:A2212,A1042)</f>
        <v>1</v>
      </c>
      <c r="M1042" s="99">
        <f t="shared" si="1009"/>
        <v>1</v>
      </c>
      <c r="N1042" s="84"/>
      <c r="O1042" s="84"/>
      <c r="P1042" s="84"/>
      <c r="Q1042" s="84"/>
      <c r="R1042" s="84"/>
    </row>
    <row r="1043" ht="15.75" customHeight="1">
      <c r="A1043" s="190">
        <v>1.2073118E7</v>
      </c>
      <c r="B1043" s="106" t="s">
        <v>2200</v>
      </c>
      <c r="C1043" s="204"/>
      <c r="D1043" s="133"/>
      <c r="E1043" s="178"/>
      <c r="F1043" s="178"/>
      <c r="G1043" s="189" t="s">
        <v>420</v>
      </c>
      <c r="H1043" s="133"/>
      <c r="I1043" s="99"/>
      <c r="K1043" s="84"/>
      <c r="L1043" s="99">
        <f t="shared" ref="L1043:M1043" si="1010">COUNTIF(A1043:A2213,A1043)</f>
        <v>1</v>
      </c>
      <c r="M1043" s="99">
        <f t="shared" si="1010"/>
        <v>1</v>
      </c>
      <c r="N1043" s="84"/>
      <c r="O1043" s="84"/>
      <c r="P1043" s="84"/>
      <c r="Q1043" s="84"/>
      <c r="R1043" s="84"/>
    </row>
    <row r="1044" ht="15.75" customHeight="1">
      <c r="A1044" s="190">
        <v>1.2073119E7</v>
      </c>
      <c r="B1044" s="106" t="s">
        <v>2201</v>
      </c>
      <c r="C1044" s="204"/>
      <c r="D1044" s="133"/>
      <c r="E1044" s="178"/>
      <c r="F1044" s="178"/>
      <c r="G1044" s="189" t="s">
        <v>420</v>
      </c>
      <c r="H1044" s="133"/>
      <c r="I1044" s="99"/>
      <c r="K1044" s="84"/>
      <c r="L1044" s="99">
        <f t="shared" ref="L1044:M1044" si="1011">COUNTIF(A1044:A2214,A1044)</f>
        <v>1</v>
      </c>
      <c r="M1044" s="99">
        <f t="shared" si="1011"/>
        <v>1</v>
      </c>
      <c r="N1044" s="84"/>
      <c r="O1044" s="84"/>
      <c r="P1044" s="84"/>
      <c r="Q1044" s="84"/>
      <c r="R1044" s="84"/>
    </row>
    <row r="1045" ht="15.75" customHeight="1">
      <c r="A1045" s="190">
        <v>1.207312E7</v>
      </c>
      <c r="B1045" s="106" t="s">
        <v>2202</v>
      </c>
      <c r="C1045" s="204"/>
      <c r="D1045" s="133"/>
      <c r="E1045" s="178"/>
      <c r="F1045" s="178"/>
      <c r="G1045" s="189" t="s">
        <v>420</v>
      </c>
      <c r="H1045" s="133"/>
      <c r="I1045" s="99"/>
      <c r="K1045" s="84"/>
      <c r="L1045" s="99">
        <f t="shared" ref="L1045:M1045" si="1012">COUNTIF(A1045:A2215,A1045)</f>
        <v>1</v>
      </c>
      <c r="M1045" s="99">
        <f t="shared" si="1012"/>
        <v>1</v>
      </c>
      <c r="N1045" s="84"/>
      <c r="O1045" s="84"/>
      <c r="P1045" s="84"/>
      <c r="Q1045" s="84"/>
      <c r="R1045" s="84"/>
    </row>
    <row r="1046" ht="15.75" customHeight="1">
      <c r="A1046" s="190">
        <v>1.2073121E7</v>
      </c>
      <c r="B1046" s="106" t="s">
        <v>2203</v>
      </c>
      <c r="C1046" s="204"/>
      <c r="D1046" s="133"/>
      <c r="E1046" s="178"/>
      <c r="F1046" s="178"/>
      <c r="G1046" s="189" t="s">
        <v>420</v>
      </c>
      <c r="H1046" s="133"/>
      <c r="I1046" s="99"/>
      <c r="K1046" s="84"/>
      <c r="L1046" s="99">
        <f t="shared" ref="L1046:M1046" si="1013">COUNTIF(A1046:A2216,A1046)</f>
        <v>1</v>
      </c>
      <c r="M1046" s="99">
        <f t="shared" si="1013"/>
        <v>1</v>
      </c>
      <c r="N1046" s="84"/>
      <c r="O1046" s="84"/>
      <c r="P1046" s="84"/>
      <c r="Q1046" s="84"/>
      <c r="R1046" s="84"/>
    </row>
    <row r="1047" ht="15.75" customHeight="1">
      <c r="A1047" s="190">
        <v>1.2073122E7</v>
      </c>
      <c r="B1047" s="106" t="s">
        <v>2204</v>
      </c>
      <c r="C1047" s="204"/>
      <c r="D1047" s="133"/>
      <c r="E1047" s="178"/>
      <c r="F1047" s="178"/>
      <c r="G1047" s="189" t="s">
        <v>420</v>
      </c>
      <c r="H1047" s="133"/>
      <c r="I1047" s="99"/>
      <c r="K1047" s="84"/>
      <c r="L1047" s="99">
        <f t="shared" ref="L1047:M1047" si="1014">COUNTIF(A1047:A2217,A1047)</f>
        <v>1</v>
      </c>
      <c r="M1047" s="99">
        <f t="shared" si="1014"/>
        <v>1</v>
      </c>
      <c r="N1047" s="84"/>
      <c r="O1047" s="84"/>
      <c r="P1047" s="84"/>
      <c r="Q1047" s="84"/>
      <c r="R1047" s="84"/>
    </row>
    <row r="1048" ht="15.75" customHeight="1">
      <c r="A1048" s="190">
        <v>1.2073123E7</v>
      </c>
      <c r="B1048" s="106" t="s">
        <v>2205</v>
      </c>
      <c r="C1048" s="204"/>
      <c r="D1048" s="133"/>
      <c r="E1048" s="178"/>
      <c r="F1048" s="178"/>
      <c r="G1048" s="189" t="s">
        <v>420</v>
      </c>
      <c r="H1048" s="133"/>
      <c r="I1048" s="99"/>
      <c r="K1048" s="84"/>
      <c r="L1048" s="99">
        <f t="shared" ref="L1048:M1048" si="1015">COUNTIF(A1048:A2218,A1048)</f>
        <v>1</v>
      </c>
      <c r="M1048" s="99">
        <f t="shared" si="1015"/>
        <v>1</v>
      </c>
      <c r="N1048" s="84"/>
      <c r="O1048" s="84"/>
      <c r="P1048" s="84"/>
      <c r="Q1048" s="84"/>
      <c r="R1048" s="84"/>
    </row>
    <row r="1049" ht="15.75" customHeight="1">
      <c r="A1049" s="190">
        <v>1.2073124E7</v>
      </c>
      <c r="B1049" s="106" t="s">
        <v>2206</v>
      </c>
      <c r="C1049" s="204"/>
      <c r="D1049" s="133"/>
      <c r="E1049" s="178"/>
      <c r="F1049" s="178"/>
      <c r="G1049" s="189" t="s">
        <v>420</v>
      </c>
      <c r="H1049" s="133"/>
      <c r="I1049" s="99"/>
      <c r="K1049" s="84"/>
      <c r="L1049" s="99">
        <f t="shared" ref="L1049:M1049" si="1016">COUNTIF(A1049:A2219,A1049)</f>
        <v>1</v>
      </c>
      <c r="M1049" s="99">
        <f t="shared" si="1016"/>
        <v>1</v>
      </c>
      <c r="N1049" s="84"/>
      <c r="O1049" s="84"/>
      <c r="P1049" s="84"/>
      <c r="Q1049" s="84"/>
      <c r="R1049" s="84"/>
    </row>
    <row r="1050" ht="15.75" customHeight="1">
      <c r="A1050" s="190">
        <v>1.2073125E7</v>
      </c>
      <c r="B1050" s="106" t="s">
        <v>2207</v>
      </c>
      <c r="C1050" s="204"/>
      <c r="D1050" s="133"/>
      <c r="E1050" s="178"/>
      <c r="F1050" s="178"/>
      <c r="G1050" s="189" t="s">
        <v>420</v>
      </c>
      <c r="H1050" s="133"/>
      <c r="I1050" s="99"/>
      <c r="K1050" s="84"/>
      <c r="L1050" s="99">
        <f t="shared" ref="L1050:M1050" si="1017">COUNTIF(A1050:A2220,A1050)</f>
        <v>1</v>
      </c>
      <c r="M1050" s="99">
        <f t="shared" si="1017"/>
        <v>1</v>
      </c>
      <c r="N1050" s="84"/>
      <c r="O1050" s="84"/>
      <c r="P1050" s="84"/>
      <c r="Q1050" s="84"/>
      <c r="R1050" s="84"/>
    </row>
    <row r="1051" ht="15.75" customHeight="1">
      <c r="A1051" s="190">
        <v>1.2073126E7</v>
      </c>
      <c r="B1051" s="106" t="s">
        <v>2208</v>
      </c>
      <c r="C1051" s="204"/>
      <c r="D1051" s="133"/>
      <c r="E1051" s="178"/>
      <c r="F1051" s="178"/>
      <c r="G1051" s="189" t="s">
        <v>420</v>
      </c>
      <c r="H1051" s="133"/>
      <c r="I1051" s="99"/>
      <c r="K1051" s="84"/>
      <c r="L1051" s="99">
        <f t="shared" ref="L1051:M1051" si="1018">COUNTIF(A1051:A2221,A1051)</f>
        <v>1</v>
      </c>
      <c r="M1051" s="99">
        <f t="shared" si="1018"/>
        <v>1</v>
      </c>
      <c r="N1051" s="84"/>
      <c r="O1051" s="84"/>
      <c r="P1051" s="84"/>
      <c r="Q1051" s="84"/>
      <c r="R1051" s="84"/>
    </row>
    <row r="1052" ht="15.75" customHeight="1">
      <c r="A1052" s="190">
        <v>1.2073127E7</v>
      </c>
      <c r="B1052" s="106" t="s">
        <v>2209</v>
      </c>
      <c r="C1052" s="204"/>
      <c r="D1052" s="133"/>
      <c r="E1052" s="178"/>
      <c r="F1052" s="178"/>
      <c r="G1052" s="189" t="s">
        <v>420</v>
      </c>
      <c r="H1052" s="133"/>
      <c r="I1052" s="99"/>
      <c r="K1052" s="84"/>
      <c r="L1052" s="99">
        <f t="shared" ref="L1052:M1052" si="1019">COUNTIF(A1052:A2222,A1052)</f>
        <v>1</v>
      </c>
      <c r="M1052" s="99">
        <f t="shared" si="1019"/>
        <v>1</v>
      </c>
      <c r="N1052" s="84"/>
      <c r="O1052" s="84"/>
      <c r="P1052" s="84"/>
      <c r="Q1052" s="84"/>
      <c r="R1052" s="84"/>
    </row>
    <row r="1053" ht="15.75" customHeight="1">
      <c r="A1053" s="190">
        <v>1.2073128E7</v>
      </c>
      <c r="B1053" s="106" t="s">
        <v>2210</v>
      </c>
      <c r="C1053" s="204"/>
      <c r="D1053" s="133"/>
      <c r="E1053" s="178"/>
      <c r="F1053" s="178"/>
      <c r="G1053" s="189" t="s">
        <v>420</v>
      </c>
      <c r="H1053" s="133"/>
      <c r="I1053" s="99"/>
      <c r="K1053" s="84"/>
      <c r="L1053" s="99">
        <f t="shared" ref="L1053:M1053" si="1020">COUNTIF(A1053:A2223,A1053)</f>
        <v>1</v>
      </c>
      <c r="M1053" s="99">
        <f t="shared" si="1020"/>
        <v>1</v>
      </c>
      <c r="N1053" s="84"/>
      <c r="O1053" s="84"/>
      <c r="P1053" s="84"/>
      <c r="Q1053" s="84"/>
      <c r="R1053" s="84"/>
    </row>
    <row r="1054" ht="15.75" customHeight="1">
      <c r="A1054" s="190">
        <v>1.2073129E7</v>
      </c>
      <c r="B1054" s="106" t="s">
        <v>2211</v>
      </c>
      <c r="C1054" s="204"/>
      <c r="D1054" s="133"/>
      <c r="E1054" s="178"/>
      <c r="F1054" s="178"/>
      <c r="G1054" s="189" t="s">
        <v>420</v>
      </c>
      <c r="H1054" s="133"/>
      <c r="I1054" s="99"/>
      <c r="K1054" s="84"/>
      <c r="L1054" s="99">
        <f t="shared" ref="L1054:M1054" si="1021">COUNTIF(A1054:A2224,A1054)</f>
        <v>1</v>
      </c>
      <c r="M1054" s="99">
        <f t="shared" si="1021"/>
        <v>1</v>
      </c>
      <c r="N1054" s="84"/>
      <c r="O1054" s="84"/>
      <c r="P1054" s="84"/>
      <c r="Q1054" s="84"/>
      <c r="R1054" s="84"/>
    </row>
    <row r="1055" ht="15.75" customHeight="1">
      <c r="A1055" s="190">
        <v>1.207313E7</v>
      </c>
      <c r="B1055" s="106" t="s">
        <v>2212</v>
      </c>
      <c r="C1055" s="204"/>
      <c r="D1055" s="133"/>
      <c r="E1055" s="178"/>
      <c r="F1055" s="178"/>
      <c r="G1055" s="189" t="s">
        <v>420</v>
      </c>
      <c r="H1055" s="133"/>
      <c r="I1055" s="99"/>
      <c r="K1055" s="84"/>
      <c r="L1055" s="99">
        <f t="shared" ref="L1055:M1055" si="1022">COUNTIF(A1055:A2225,A1055)</f>
        <v>1</v>
      </c>
      <c r="M1055" s="99">
        <f t="shared" si="1022"/>
        <v>1</v>
      </c>
      <c r="N1055" s="84"/>
      <c r="O1055" s="84"/>
      <c r="P1055" s="84"/>
      <c r="Q1055" s="84"/>
      <c r="R1055" s="84"/>
    </row>
    <row r="1056" ht="15.75" customHeight="1">
      <c r="A1056" s="190">
        <v>1.2073131E7</v>
      </c>
      <c r="B1056" s="106" t="s">
        <v>2213</v>
      </c>
      <c r="C1056" s="204"/>
      <c r="D1056" s="133"/>
      <c r="E1056" s="178"/>
      <c r="F1056" s="178"/>
      <c r="G1056" s="189" t="s">
        <v>420</v>
      </c>
      <c r="H1056" s="133"/>
      <c r="I1056" s="99"/>
      <c r="K1056" s="84"/>
      <c r="L1056" s="99">
        <f t="shared" ref="L1056:M1056" si="1023">COUNTIF(A1056:A2226,A1056)</f>
        <v>1</v>
      </c>
      <c r="M1056" s="99">
        <f t="shared" si="1023"/>
        <v>1</v>
      </c>
      <c r="N1056" s="84"/>
      <c r="O1056" s="84"/>
      <c r="P1056" s="84"/>
      <c r="Q1056" s="84"/>
      <c r="R1056" s="84"/>
    </row>
    <row r="1057" ht="15.75" customHeight="1">
      <c r="A1057" s="190">
        <v>1.2073132E7</v>
      </c>
      <c r="B1057" s="106" t="s">
        <v>2214</v>
      </c>
      <c r="C1057" s="204"/>
      <c r="D1057" s="133"/>
      <c r="E1057" s="178"/>
      <c r="F1057" s="178"/>
      <c r="G1057" s="189" t="s">
        <v>420</v>
      </c>
      <c r="H1057" s="133"/>
      <c r="I1057" s="99"/>
      <c r="K1057" s="84"/>
      <c r="L1057" s="99">
        <f t="shared" ref="L1057:M1057" si="1024">COUNTIF(A1057:A2227,A1057)</f>
        <v>1</v>
      </c>
      <c r="M1057" s="99">
        <f t="shared" si="1024"/>
        <v>1</v>
      </c>
      <c r="N1057" s="84"/>
      <c r="O1057" s="84"/>
      <c r="P1057" s="84"/>
      <c r="Q1057" s="84"/>
      <c r="R1057" s="84"/>
    </row>
    <row r="1058" ht="15.75" customHeight="1">
      <c r="A1058" s="190">
        <v>1.2073133E7</v>
      </c>
      <c r="B1058" s="106" t="s">
        <v>2215</v>
      </c>
      <c r="C1058" s="204"/>
      <c r="D1058" s="133"/>
      <c r="E1058" s="178"/>
      <c r="F1058" s="178"/>
      <c r="G1058" s="189" t="s">
        <v>420</v>
      </c>
      <c r="H1058" s="133"/>
      <c r="I1058" s="99"/>
      <c r="K1058" s="84"/>
      <c r="L1058" s="99">
        <f t="shared" ref="L1058:M1058" si="1025">COUNTIF(A1058:A2228,A1058)</f>
        <v>1</v>
      </c>
      <c r="M1058" s="99">
        <f t="shared" si="1025"/>
        <v>1</v>
      </c>
      <c r="N1058" s="84"/>
      <c r="O1058" s="84"/>
      <c r="P1058" s="84"/>
      <c r="Q1058" s="84"/>
      <c r="R1058" s="84"/>
    </row>
    <row r="1059" ht="15.75" customHeight="1">
      <c r="A1059" s="190">
        <v>1.2073134E7</v>
      </c>
      <c r="B1059" s="106" t="s">
        <v>2216</v>
      </c>
      <c r="C1059" s="204"/>
      <c r="D1059" s="133"/>
      <c r="E1059" s="178"/>
      <c r="F1059" s="178"/>
      <c r="G1059" s="189" t="s">
        <v>420</v>
      </c>
      <c r="H1059" s="133"/>
      <c r="I1059" s="99"/>
      <c r="K1059" s="84"/>
      <c r="L1059" s="99">
        <f t="shared" ref="L1059:M1059" si="1026">COUNTIF(A1059:A2229,A1059)</f>
        <v>1</v>
      </c>
      <c r="M1059" s="99">
        <f t="shared" si="1026"/>
        <v>1</v>
      </c>
      <c r="N1059" s="84"/>
      <c r="O1059" s="84"/>
      <c r="P1059" s="84"/>
      <c r="Q1059" s="84"/>
      <c r="R1059" s="84"/>
    </row>
    <row r="1060" ht="15.75" customHeight="1">
      <c r="A1060" s="190">
        <v>1.2073135E7</v>
      </c>
      <c r="B1060" s="106" t="s">
        <v>2217</v>
      </c>
      <c r="C1060" s="204"/>
      <c r="D1060" s="133"/>
      <c r="E1060" s="178"/>
      <c r="F1060" s="178"/>
      <c r="G1060" s="189" t="s">
        <v>420</v>
      </c>
      <c r="H1060" s="133"/>
      <c r="I1060" s="99"/>
      <c r="K1060" s="84"/>
      <c r="L1060" s="99">
        <f t="shared" ref="L1060:M1060" si="1027">COUNTIF(A1060:A2230,A1060)</f>
        <v>1</v>
      </c>
      <c r="M1060" s="99">
        <f t="shared" si="1027"/>
        <v>1</v>
      </c>
      <c r="N1060" s="84"/>
      <c r="O1060" s="84"/>
      <c r="P1060" s="84"/>
      <c r="Q1060" s="84"/>
      <c r="R1060" s="84"/>
    </row>
    <row r="1061" ht="15.75" customHeight="1">
      <c r="A1061" s="190">
        <v>1.2060001E7</v>
      </c>
      <c r="B1061" s="106" t="s">
        <v>2218</v>
      </c>
      <c r="C1061" s="204"/>
      <c r="D1061" s="133"/>
      <c r="E1061" s="178"/>
      <c r="F1061" s="178"/>
      <c r="G1061" s="189" t="s">
        <v>420</v>
      </c>
      <c r="H1061" s="133"/>
      <c r="I1061" s="99"/>
      <c r="K1061" s="84"/>
      <c r="L1061" s="99">
        <f t="shared" ref="L1061:M1061" si="1028">COUNTIF(A1061:A2231,A1061)</f>
        <v>1</v>
      </c>
      <c r="M1061" s="99">
        <f t="shared" si="1028"/>
        <v>1</v>
      </c>
      <c r="N1061" s="84"/>
      <c r="O1061" s="84"/>
      <c r="P1061" s="84"/>
      <c r="Q1061" s="84"/>
      <c r="R1061" s="84"/>
    </row>
    <row r="1062" ht="15.75" customHeight="1">
      <c r="A1062" s="190">
        <v>1.2060002E7</v>
      </c>
      <c r="B1062" s="106" t="s">
        <v>2219</v>
      </c>
      <c r="C1062" s="204"/>
      <c r="D1062" s="133"/>
      <c r="E1062" s="178"/>
      <c r="F1062" s="178"/>
      <c r="G1062" s="189" t="s">
        <v>420</v>
      </c>
      <c r="H1062" s="133"/>
      <c r="I1062" s="99"/>
      <c r="K1062" s="84"/>
      <c r="L1062" s="99">
        <f t="shared" ref="L1062:M1062" si="1029">COUNTIF(A1062:A2232,A1062)</f>
        <v>1</v>
      </c>
      <c r="M1062" s="99">
        <f t="shared" si="1029"/>
        <v>1</v>
      </c>
      <c r="N1062" s="84"/>
      <c r="O1062" s="84"/>
      <c r="P1062" s="84"/>
      <c r="Q1062" s="84"/>
      <c r="R1062" s="84"/>
    </row>
    <row r="1063" ht="15.75" customHeight="1">
      <c r="A1063" s="190">
        <v>1.2060003E7</v>
      </c>
      <c r="B1063" s="106" t="s">
        <v>2220</v>
      </c>
      <c r="C1063" s="204"/>
      <c r="D1063" s="133"/>
      <c r="E1063" s="178"/>
      <c r="F1063" s="178"/>
      <c r="G1063" s="189" t="s">
        <v>420</v>
      </c>
      <c r="H1063" s="133"/>
      <c r="I1063" s="99"/>
      <c r="K1063" s="84"/>
      <c r="L1063" s="99">
        <f t="shared" ref="L1063:M1063" si="1030">COUNTIF(A1063:A2233,A1063)</f>
        <v>1</v>
      </c>
      <c r="M1063" s="99">
        <f t="shared" si="1030"/>
        <v>1</v>
      </c>
      <c r="N1063" s="84"/>
      <c r="O1063" s="84"/>
      <c r="P1063" s="84"/>
      <c r="Q1063" s="84"/>
      <c r="R1063" s="84"/>
    </row>
    <row r="1064" ht="15.75" customHeight="1">
      <c r="A1064" s="190">
        <v>1.2060004E7</v>
      </c>
      <c r="B1064" s="106" t="s">
        <v>2221</v>
      </c>
      <c r="C1064" s="204"/>
      <c r="D1064" s="133"/>
      <c r="E1064" s="178"/>
      <c r="F1064" s="178"/>
      <c r="G1064" s="189" t="s">
        <v>420</v>
      </c>
      <c r="H1064" s="133"/>
      <c r="I1064" s="99"/>
      <c r="K1064" s="84"/>
      <c r="L1064" s="99">
        <f t="shared" ref="L1064:M1064" si="1031">COUNTIF(A1064:A2234,A1064)</f>
        <v>1</v>
      </c>
      <c r="M1064" s="99">
        <f t="shared" si="1031"/>
        <v>1</v>
      </c>
      <c r="N1064" s="84"/>
      <c r="O1064" s="84"/>
      <c r="P1064" s="84"/>
      <c r="Q1064" s="84"/>
      <c r="R1064" s="84"/>
    </row>
    <row r="1065" ht="15.75" customHeight="1">
      <c r="A1065" s="190">
        <v>1.2060005E7</v>
      </c>
      <c r="B1065" s="106" t="s">
        <v>2222</v>
      </c>
      <c r="C1065" s="204"/>
      <c r="D1065" s="133"/>
      <c r="E1065" s="178"/>
      <c r="F1065" s="178"/>
      <c r="G1065" s="189" t="s">
        <v>420</v>
      </c>
      <c r="H1065" s="133"/>
      <c r="I1065" s="99"/>
      <c r="K1065" s="84"/>
      <c r="L1065" s="99">
        <f t="shared" ref="L1065:M1065" si="1032">COUNTIF(A1065:A2235,A1065)</f>
        <v>1</v>
      </c>
      <c r="M1065" s="99">
        <f t="shared" si="1032"/>
        <v>1</v>
      </c>
      <c r="N1065" s="84"/>
      <c r="O1065" s="84"/>
      <c r="P1065" s="84"/>
      <c r="Q1065" s="84"/>
      <c r="R1065" s="84"/>
    </row>
    <row r="1066" ht="15.75" customHeight="1">
      <c r="A1066" s="190">
        <v>1.2060006E7</v>
      </c>
      <c r="B1066" s="106" t="s">
        <v>2223</v>
      </c>
      <c r="C1066" s="204"/>
      <c r="D1066" s="133"/>
      <c r="E1066" s="178"/>
      <c r="F1066" s="178"/>
      <c r="G1066" s="189" t="s">
        <v>420</v>
      </c>
      <c r="H1066" s="133"/>
      <c r="I1066" s="99"/>
      <c r="K1066" s="84"/>
      <c r="L1066" s="99">
        <f t="shared" ref="L1066:M1066" si="1033">COUNTIF(A1066:A2236,A1066)</f>
        <v>1</v>
      </c>
      <c r="M1066" s="99">
        <f t="shared" si="1033"/>
        <v>1</v>
      </c>
      <c r="N1066" s="84"/>
      <c r="O1066" s="84"/>
      <c r="P1066" s="84"/>
      <c r="Q1066" s="84"/>
      <c r="R1066" s="84"/>
    </row>
    <row r="1067" ht="15.75" customHeight="1">
      <c r="A1067" s="190">
        <v>1.2060007E7</v>
      </c>
      <c r="B1067" s="106" t="s">
        <v>2224</v>
      </c>
      <c r="C1067" s="204"/>
      <c r="D1067" s="133"/>
      <c r="E1067" s="178"/>
      <c r="F1067" s="178"/>
      <c r="G1067" s="189" t="s">
        <v>420</v>
      </c>
      <c r="H1067" s="133"/>
      <c r="I1067" s="99"/>
      <c r="K1067" s="84"/>
      <c r="L1067" s="99">
        <f t="shared" ref="L1067:M1067" si="1034">COUNTIF(A1067:A2237,A1067)</f>
        <v>1</v>
      </c>
      <c r="M1067" s="99">
        <f t="shared" si="1034"/>
        <v>1</v>
      </c>
      <c r="N1067" s="84"/>
      <c r="O1067" s="84"/>
      <c r="P1067" s="84"/>
      <c r="Q1067" s="84"/>
      <c r="R1067" s="84"/>
    </row>
    <row r="1068" ht="15.75" customHeight="1">
      <c r="A1068" s="190">
        <v>1.2060008E7</v>
      </c>
      <c r="B1068" s="106" t="s">
        <v>2225</v>
      </c>
      <c r="C1068" s="204"/>
      <c r="D1068" s="133"/>
      <c r="E1068" s="178"/>
      <c r="F1068" s="178"/>
      <c r="G1068" s="189" t="s">
        <v>420</v>
      </c>
      <c r="H1068" s="133"/>
      <c r="I1068" s="99"/>
      <c r="K1068" s="84"/>
      <c r="L1068" s="99">
        <f t="shared" ref="L1068:M1068" si="1035">COUNTIF(A1068:A2238,A1068)</f>
        <v>1</v>
      </c>
      <c r="M1068" s="99">
        <f t="shared" si="1035"/>
        <v>1</v>
      </c>
      <c r="N1068" s="84"/>
      <c r="O1068" s="84"/>
      <c r="P1068" s="84"/>
      <c r="Q1068" s="84"/>
      <c r="R1068" s="84"/>
    </row>
    <row r="1069" ht="15.75" customHeight="1">
      <c r="A1069" s="190">
        <v>1.2060009E7</v>
      </c>
      <c r="B1069" s="106" t="s">
        <v>2226</v>
      </c>
      <c r="C1069" s="204"/>
      <c r="D1069" s="133"/>
      <c r="E1069" s="178"/>
      <c r="F1069" s="178"/>
      <c r="G1069" s="189" t="s">
        <v>420</v>
      </c>
      <c r="H1069" s="133"/>
      <c r="I1069" s="99"/>
      <c r="K1069" s="84"/>
      <c r="L1069" s="99">
        <f t="shared" ref="L1069:M1069" si="1036">COUNTIF(A1069:A2239,A1069)</f>
        <v>1</v>
      </c>
      <c r="M1069" s="99">
        <f t="shared" si="1036"/>
        <v>1</v>
      </c>
      <c r="N1069" s="84"/>
      <c r="O1069" s="84"/>
      <c r="P1069" s="84"/>
      <c r="Q1069" s="84"/>
      <c r="R1069" s="84"/>
    </row>
    <row r="1070" ht="15.75" customHeight="1">
      <c r="A1070" s="190">
        <v>1.206001E7</v>
      </c>
      <c r="B1070" s="106" t="s">
        <v>2227</v>
      </c>
      <c r="C1070" s="204"/>
      <c r="D1070" s="133"/>
      <c r="E1070" s="178"/>
      <c r="F1070" s="178"/>
      <c r="G1070" s="189" t="s">
        <v>420</v>
      </c>
      <c r="H1070" s="133"/>
      <c r="I1070" s="99"/>
      <c r="K1070" s="84"/>
      <c r="L1070" s="99">
        <f t="shared" ref="L1070:M1070" si="1037">COUNTIF(A1070:A2240,A1070)</f>
        <v>1</v>
      </c>
      <c r="M1070" s="99">
        <f t="shared" si="1037"/>
        <v>1</v>
      </c>
      <c r="N1070" s="84"/>
      <c r="O1070" s="84"/>
      <c r="P1070" s="84"/>
      <c r="Q1070" s="84"/>
      <c r="R1070" s="84"/>
    </row>
    <row r="1071" ht="15.75" customHeight="1">
      <c r="A1071" s="190">
        <v>1.2060011E7</v>
      </c>
      <c r="B1071" s="106" t="s">
        <v>2228</v>
      </c>
      <c r="C1071" s="204"/>
      <c r="D1071" s="133"/>
      <c r="E1071" s="178"/>
      <c r="F1071" s="178"/>
      <c r="G1071" s="189" t="s">
        <v>420</v>
      </c>
      <c r="H1071" s="133"/>
      <c r="I1071" s="99"/>
      <c r="K1071" s="84"/>
      <c r="L1071" s="99">
        <f t="shared" ref="L1071:M1071" si="1038">COUNTIF(A1071:A2241,A1071)</f>
        <v>1</v>
      </c>
      <c r="M1071" s="99">
        <f t="shared" si="1038"/>
        <v>1</v>
      </c>
      <c r="N1071" s="84"/>
      <c r="O1071" s="84"/>
      <c r="P1071" s="84"/>
      <c r="Q1071" s="84"/>
      <c r="R1071" s="84"/>
    </row>
    <row r="1072" ht="15.75" customHeight="1">
      <c r="A1072" s="190">
        <v>1.2060012E7</v>
      </c>
      <c r="B1072" s="106" t="s">
        <v>2229</v>
      </c>
      <c r="C1072" s="204"/>
      <c r="D1072" s="133"/>
      <c r="E1072" s="178"/>
      <c r="F1072" s="178"/>
      <c r="G1072" s="189" t="s">
        <v>420</v>
      </c>
      <c r="H1072" s="133"/>
      <c r="I1072" s="99"/>
      <c r="K1072" s="84"/>
      <c r="L1072" s="99">
        <f t="shared" ref="L1072:M1072" si="1039">COUNTIF(A1072:A2242,A1072)</f>
        <v>1</v>
      </c>
      <c r="M1072" s="99">
        <f t="shared" si="1039"/>
        <v>1</v>
      </c>
      <c r="N1072" s="84"/>
      <c r="O1072" s="84"/>
      <c r="P1072" s="84"/>
      <c r="Q1072" s="84"/>
      <c r="R1072" s="84"/>
    </row>
    <row r="1073" ht="15.75" customHeight="1">
      <c r="A1073" s="190">
        <v>1.2060013E7</v>
      </c>
      <c r="B1073" s="106" t="s">
        <v>2230</v>
      </c>
      <c r="C1073" s="204"/>
      <c r="D1073" s="133"/>
      <c r="E1073" s="178"/>
      <c r="F1073" s="178"/>
      <c r="G1073" s="189" t="s">
        <v>420</v>
      </c>
      <c r="H1073" s="133"/>
      <c r="I1073" s="99"/>
      <c r="K1073" s="84"/>
      <c r="L1073" s="99">
        <f t="shared" ref="L1073:M1073" si="1040">COUNTIF(A1073:A2243,A1073)</f>
        <v>1</v>
      </c>
      <c r="M1073" s="99">
        <f t="shared" si="1040"/>
        <v>1</v>
      </c>
      <c r="N1073" s="84"/>
      <c r="O1073" s="84"/>
      <c r="P1073" s="84"/>
      <c r="Q1073" s="84"/>
      <c r="R1073" s="84"/>
    </row>
    <row r="1074" ht="15.75" customHeight="1">
      <c r="A1074" s="190">
        <v>1.2060014E7</v>
      </c>
      <c r="B1074" s="106" t="s">
        <v>2231</v>
      </c>
      <c r="C1074" s="204"/>
      <c r="D1074" s="133"/>
      <c r="E1074" s="178"/>
      <c r="F1074" s="178"/>
      <c r="G1074" s="189" t="s">
        <v>420</v>
      </c>
      <c r="H1074" s="133"/>
      <c r="I1074" s="99"/>
      <c r="K1074" s="84"/>
      <c r="L1074" s="99">
        <f t="shared" ref="L1074:M1074" si="1041">COUNTIF(A1074:A2244,A1074)</f>
        <v>1</v>
      </c>
      <c r="M1074" s="99">
        <f t="shared" si="1041"/>
        <v>1</v>
      </c>
      <c r="N1074" s="84"/>
      <c r="O1074" s="84"/>
      <c r="P1074" s="84"/>
      <c r="Q1074" s="84"/>
      <c r="R1074" s="84"/>
    </row>
    <row r="1075" ht="15.75" customHeight="1">
      <c r="A1075" s="190">
        <v>1.2060015E7</v>
      </c>
      <c r="B1075" s="106" t="s">
        <v>2232</v>
      </c>
      <c r="C1075" s="204"/>
      <c r="D1075" s="133"/>
      <c r="E1075" s="178"/>
      <c r="F1075" s="178"/>
      <c r="G1075" s="189" t="s">
        <v>420</v>
      </c>
      <c r="H1075" s="133"/>
      <c r="I1075" s="99"/>
      <c r="K1075" s="84"/>
      <c r="L1075" s="99">
        <f t="shared" ref="L1075:M1075" si="1042">COUNTIF(A1075:A2245,A1075)</f>
        <v>1</v>
      </c>
      <c r="M1075" s="99">
        <f t="shared" si="1042"/>
        <v>1</v>
      </c>
      <c r="N1075" s="84"/>
      <c r="O1075" s="84"/>
      <c r="P1075" s="84"/>
      <c r="Q1075" s="84"/>
      <c r="R1075" s="84"/>
    </row>
    <row r="1076" ht="15.75" customHeight="1">
      <c r="A1076" s="190">
        <v>1.2060016E7</v>
      </c>
      <c r="B1076" s="106" t="s">
        <v>2233</v>
      </c>
      <c r="C1076" s="204"/>
      <c r="D1076" s="133"/>
      <c r="E1076" s="178"/>
      <c r="F1076" s="178"/>
      <c r="G1076" s="189" t="s">
        <v>420</v>
      </c>
      <c r="H1076" s="133"/>
      <c r="I1076" s="99"/>
      <c r="K1076" s="84"/>
      <c r="L1076" s="99">
        <f t="shared" ref="L1076:M1076" si="1043">COUNTIF(A1076:A2246,A1076)</f>
        <v>1</v>
      </c>
      <c r="M1076" s="99">
        <f t="shared" si="1043"/>
        <v>1</v>
      </c>
      <c r="N1076" s="84"/>
      <c r="O1076" s="84"/>
      <c r="P1076" s="84"/>
      <c r="Q1076" s="84"/>
      <c r="R1076" s="84"/>
    </row>
    <row r="1077" ht="15.75" customHeight="1">
      <c r="A1077" s="190">
        <v>1.2060017E7</v>
      </c>
      <c r="B1077" s="106" t="s">
        <v>2234</v>
      </c>
      <c r="C1077" s="204"/>
      <c r="D1077" s="133"/>
      <c r="E1077" s="178"/>
      <c r="F1077" s="178"/>
      <c r="G1077" s="189" t="s">
        <v>420</v>
      </c>
      <c r="H1077" s="133"/>
      <c r="I1077" s="99"/>
      <c r="K1077" s="84"/>
      <c r="L1077" s="99">
        <f t="shared" ref="L1077:M1077" si="1044">COUNTIF(A1077:A2247,A1077)</f>
        <v>1</v>
      </c>
      <c r="M1077" s="99">
        <f t="shared" si="1044"/>
        <v>1</v>
      </c>
      <c r="N1077" s="84"/>
      <c r="O1077" s="84"/>
      <c r="P1077" s="84"/>
      <c r="Q1077" s="84"/>
      <c r="R1077" s="84"/>
    </row>
    <row r="1078" ht="15.75" customHeight="1">
      <c r="A1078" s="190">
        <v>1.2060018E7</v>
      </c>
      <c r="B1078" s="106" t="s">
        <v>2235</v>
      </c>
      <c r="C1078" s="204"/>
      <c r="D1078" s="133"/>
      <c r="E1078" s="178"/>
      <c r="F1078" s="178"/>
      <c r="G1078" s="189" t="s">
        <v>420</v>
      </c>
      <c r="H1078" s="133"/>
      <c r="I1078" s="99"/>
      <c r="K1078" s="84"/>
      <c r="L1078" s="99">
        <f t="shared" ref="L1078:M1078" si="1045">COUNTIF(A1078:A2248,A1078)</f>
        <v>1</v>
      </c>
      <c r="M1078" s="99">
        <f t="shared" si="1045"/>
        <v>1</v>
      </c>
      <c r="N1078" s="84"/>
      <c r="O1078" s="84"/>
      <c r="P1078" s="84"/>
      <c r="Q1078" s="84"/>
      <c r="R1078" s="84"/>
    </row>
    <row r="1079" ht="15.75" customHeight="1">
      <c r="A1079" s="190">
        <v>1.2060019E7</v>
      </c>
      <c r="B1079" s="106" t="s">
        <v>2236</v>
      </c>
      <c r="C1079" s="204"/>
      <c r="D1079" s="133"/>
      <c r="E1079" s="178"/>
      <c r="F1079" s="178"/>
      <c r="G1079" s="189" t="s">
        <v>420</v>
      </c>
      <c r="H1079" s="133"/>
      <c r="I1079" s="99"/>
      <c r="K1079" s="84"/>
      <c r="L1079" s="99">
        <f t="shared" ref="L1079:M1079" si="1046">COUNTIF(A1079:A2249,A1079)</f>
        <v>1</v>
      </c>
      <c r="M1079" s="99">
        <f t="shared" si="1046"/>
        <v>1</v>
      </c>
      <c r="N1079" s="84"/>
      <c r="O1079" s="84"/>
      <c r="P1079" s="84"/>
      <c r="Q1079" s="84"/>
      <c r="R1079" s="84"/>
    </row>
    <row r="1080" ht="15.75" customHeight="1">
      <c r="A1080" s="190">
        <v>1.206002E7</v>
      </c>
      <c r="B1080" s="106" t="s">
        <v>2237</v>
      </c>
      <c r="C1080" s="204"/>
      <c r="D1080" s="133"/>
      <c r="E1080" s="178"/>
      <c r="F1080" s="178"/>
      <c r="G1080" s="189" t="s">
        <v>420</v>
      </c>
      <c r="H1080" s="133"/>
      <c r="I1080" s="99"/>
      <c r="K1080" s="84"/>
      <c r="L1080" s="99">
        <f t="shared" ref="L1080:M1080" si="1047">COUNTIF(A1080:A2250,A1080)</f>
        <v>1</v>
      </c>
      <c r="M1080" s="99">
        <f t="shared" si="1047"/>
        <v>1</v>
      </c>
      <c r="N1080" s="84"/>
      <c r="O1080" s="84"/>
      <c r="P1080" s="84"/>
      <c r="Q1080" s="84"/>
      <c r="R1080" s="84"/>
    </row>
    <row r="1081" ht="15.75" customHeight="1">
      <c r="A1081" s="190">
        <v>1.2060021E7</v>
      </c>
      <c r="B1081" s="106" t="s">
        <v>2238</v>
      </c>
      <c r="C1081" s="204"/>
      <c r="D1081" s="133"/>
      <c r="E1081" s="178"/>
      <c r="F1081" s="178"/>
      <c r="G1081" s="189" t="s">
        <v>420</v>
      </c>
      <c r="H1081" s="133"/>
      <c r="I1081" s="99"/>
      <c r="K1081" s="84"/>
      <c r="L1081" s="99">
        <f t="shared" ref="L1081:M1081" si="1048">COUNTIF(A1081:A2251,A1081)</f>
        <v>1</v>
      </c>
      <c r="M1081" s="99">
        <f t="shared" si="1048"/>
        <v>1</v>
      </c>
      <c r="N1081" s="84"/>
      <c r="O1081" s="84"/>
      <c r="P1081" s="84"/>
      <c r="Q1081" s="84"/>
      <c r="R1081" s="84"/>
    </row>
    <row r="1082" ht="15.75" customHeight="1">
      <c r="A1082" s="190">
        <v>1.2060022E7</v>
      </c>
      <c r="B1082" s="106" t="s">
        <v>2239</v>
      </c>
      <c r="C1082" s="204"/>
      <c r="D1082" s="133"/>
      <c r="E1082" s="178"/>
      <c r="F1082" s="178"/>
      <c r="G1082" s="189" t="s">
        <v>420</v>
      </c>
      <c r="H1082" s="133"/>
      <c r="I1082" s="99"/>
      <c r="K1082" s="84"/>
      <c r="L1082" s="99">
        <f t="shared" ref="L1082:M1082" si="1049">COUNTIF(A1082:A2252,A1082)</f>
        <v>1</v>
      </c>
      <c r="M1082" s="99">
        <f t="shared" si="1049"/>
        <v>1</v>
      </c>
      <c r="N1082" s="84"/>
      <c r="O1082" s="84"/>
      <c r="P1082" s="84"/>
      <c r="Q1082" s="84"/>
      <c r="R1082" s="84"/>
    </row>
    <row r="1083" ht="15.75" customHeight="1">
      <c r="A1083" s="190">
        <v>1.2060023E7</v>
      </c>
      <c r="B1083" s="106" t="s">
        <v>2240</v>
      </c>
      <c r="C1083" s="204"/>
      <c r="D1083" s="133"/>
      <c r="E1083" s="178"/>
      <c r="F1083" s="178"/>
      <c r="G1083" s="189" t="s">
        <v>420</v>
      </c>
      <c r="H1083" s="133"/>
      <c r="I1083" s="99"/>
      <c r="K1083" s="84"/>
      <c r="L1083" s="99">
        <f t="shared" ref="L1083:M1083" si="1050">COUNTIF(A1083:A2253,A1083)</f>
        <v>1</v>
      </c>
      <c r="M1083" s="99">
        <f t="shared" si="1050"/>
        <v>1</v>
      </c>
      <c r="N1083" s="84"/>
      <c r="O1083" s="84"/>
      <c r="P1083" s="84"/>
      <c r="Q1083" s="84"/>
      <c r="R1083" s="84"/>
    </row>
    <row r="1084" ht="15.75" customHeight="1">
      <c r="A1084" s="190">
        <v>1.2060024E7</v>
      </c>
      <c r="B1084" s="106" t="s">
        <v>2241</v>
      </c>
      <c r="C1084" s="204"/>
      <c r="D1084" s="133"/>
      <c r="E1084" s="178"/>
      <c r="F1084" s="178"/>
      <c r="G1084" s="189" t="s">
        <v>420</v>
      </c>
      <c r="H1084" s="133"/>
      <c r="I1084" s="99"/>
      <c r="K1084" s="84"/>
      <c r="L1084" s="99">
        <f t="shared" ref="L1084:M1084" si="1051">COUNTIF(A1084:A2254,A1084)</f>
        <v>1</v>
      </c>
      <c r="M1084" s="99">
        <f t="shared" si="1051"/>
        <v>1</v>
      </c>
      <c r="N1084" s="84"/>
      <c r="O1084" s="84"/>
      <c r="P1084" s="84"/>
      <c r="Q1084" s="84"/>
      <c r="R1084" s="84"/>
    </row>
    <row r="1085" ht="15.75" customHeight="1">
      <c r="A1085" s="190">
        <v>1.2060025E7</v>
      </c>
      <c r="B1085" s="106" t="s">
        <v>2242</v>
      </c>
      <c r="C1085" s="204"/>
      <c r="D1085" s="133"/>
      <c r="E1085" s="178"/>
      <c r="F1085" s="178"/>
      <c r="G1085" s="189" t="s">
        <v>420</v>
      </c>
      <c r="H1085" s="133"/>
      <c r="I1085" s="99"/>
      <c r="K1085" s="84"/>
      <c r="L1085" s="99">
        <f t="shared" ref="L1085:M1085" si="1052">COUNTIF(A1085:A2255,A1085)</f>
        <v>1</v>
      </c>
      <c r="M1085" s="99">
        <f t="shared" si="1052"/>
        <v>1</v>
      </c>
      <c r="N1085" s="84"/>
      <c r="O1085" s="84"/>
      <c r="P1085" s="84"/>
      <c r="Q1085" s="84"/>
      <c r="R1085" s="84"/>
    </row>
    <row r="1086" ht="15.75" customHeight="1">
      <c r="A1086" s="190">
        <v>1.2060026E7</v>
      </c>
      <c r="B1086" s="106" t="s">
        <v>2243</v>
      </c>
      <c r="C1086" s="204"/>
      <c r="D1086" s="133"/>
      <c r="E1086" s="178"/>
      <c r="F1086" s="178"/>
      <c r="G1086" s="189" t="s">
        <v>420</v>
      </c>
      <c r="H1086" s="133"/>
      <c r="I1086" s="99"/>
      <c r="K1086" s="84"/>
      <c r="L1086" s="99">
        <f t="shared" ref="L1086:M1086" si="1053">COUNTIF(A1086:A2256,A1086)</f>
        <v>1</v>
      </c>
      <c r="M1086" s="99">
        <f t="shared" si="1053"/>
        <v>1</v>
      </c>
      <c r="N1086" s="84"/>
      <c r="O1086" s="84"/>
      <c r="P1086" s="84"/>
      <c r="Q1086" s="84"/>
      <c r="R1086" s="84"/>
    </row>
    <row r="1087" ht="15.75" customHeight="1">
      <c r="A1087" s="190">
        <v>1.2060027E7</v>
      </c>
      <c r="B1087" s="106" t="s">
        <v>2244</v>
      </c>
      <c r="C1087" s="204"/>
      <c r="D1087" s="133"/>
      <c r="E1087" s="178"/>
      <c r="F1087" s="178"/>
      <c r="G1087" s="189" t="s">
        <v>420</v>
      </c>
      <c r="H1087" s="133"/>
      <c r="I1087" s="99"/>
      <c r="K1087" s="84"/>
      <c r="L1087" s="99">
        <f t="shared" ref="L1087:M1087" si="1054">COUNTIF(A1087:A2257,A1087)</f>
        <v>1</v>
      </c>
      <c r="M1087" s="99">
        <f t="shared" si="1054"/>
        <v>1</v>
      </c>
      <c r="N1087" s="84"/>
      <c r="O1087" s="84"/>
      <c r="P1087" s="84"/>
      <c r="Q1087" s="84"/>
      <c r="R1087" s="84"/>
    </row>
    <row r="1088" ht="15.75" customHeight="1">
      <c r="A1088" s="190">
        <v>1.2060028E7</v>
      </c>
      <c r="B1088" s="106" t="s">
        <v>2245</v>
      </c>
      <c r="C1088" s="204"/>
      <c r="D1088" s="133"/>
      <c r="E1088" s="178"/>
      <c r="F1088" s="178"/>
      <c r="G1088" s="189" t="s">
        <v>420</v>
      </c>
      <c r="H1088" s="133"/>
      <c r="I1088" s="99"/>
      <c r="K1088" s="84"/>
      <c r="L1088" s="99">
        <f t="shared" ref="L1088:M1088" si="1055">COUNTIF(A1088:A2258,A1088)</f>
        <v>1</v>
      </c>
      <c r="M1088" s="99">
        <f t="shared" si="1055"/>
        <v>1</v>
      </c>
      <c r="N1088" s="84"/>
      <c r="O1088" s="84"/>
      <c r="P1088" s="84"/>
      <c r="Q1088" s="84"/>
      <c r="R1088" s="84"/>
    </row>
    <row r="1089" ht="15.75" customHeight="1">
      <c r="A1089" s="190">
        <v>1.2060029E7</v>
      </c>
      <c r="B1089" s="106" t="s">
        <v>2246</v>
      </c>
      <c r="C1089" s="204"/>
      <c r="D1089" s="133"/>
      <c r="E1089" s="159"/>
      <c r="F1089" s="159"/>
      <c r="G1089" s="189" t="s">
        <v>420</v>
      </c>
      <c r="H1089" s="133"/>
      <c r="I1089" s="99"/>
      <c r="K1089" s="84"/>
      <c r="L1089" s="99">
        <f t="shared" ref="L1089:M1089" si="1056">COUNTIF(A1089:A2259,A1089)</f>
        <v>1</v>
      </c>
      <c r="M1089" s="99">
        <f t="shared" si="1056"/>
        <v>1</v>
      </c>
      <c r="N1089" s="84"/>
      <c r="O1089" s="84"/>
      <c r="P1089" s="84"/>
      <c r="Q1089" s="84"/>
      <c r="R1089" s="84"/>
    </row>
    <row r="1090" ht="15.75" customHeight="1">
      <c r="A1090" s="190">
        <v>1.206003E7</v>
      </c>
      <c r="B1090" s="106" t="s">
        <v>2247</v>
      </c>
      <c r="C1090" s="204"/>
      <c r="D1090" s="133"/>
      <c r="E1090" s="159"/>
      <c r="F1090" s="159"/>
      <c r="G1090" s="189" t="s">
        <v>420</v>
      </c>
      <c r="H1090" s="133"/>
      <c r="I1090" s="99"/>
      <c r="K1090" s="84"/>
      <c r="L1090" s="99">
        <f t="shared" ref="L1090:M1090" si="1057">COUNTIF(A1090:A2260,A1090)</f>
        <v>1</v>
      </c>
      <c r="M1090" s="99">
        <f t="shared" si="1057"/>
        <v>1</v>
      </c>
      <c r="N1090" s="84"/>
      <c r="O1090" s="84"/>
      <c r="P1090" s="84"/>
      <c r="Q1090" s="84"/>
      <c r="R1090" s="84"/>
    </row>
    <row r="1091" ht="15.75" customHeight="1">
      <c r="A1091" s="190">
        <v>1.2060031E7</v>
      </c>
      <c r="B1091" s="106" t="s">
        <v>2248</v>
      </c>
      <c r="C1091" s="204"/>
      <c r="D1091" s="133"/>
      <c r="E1091" s="159"/>
      <c r="F1091" s="159"/>
      <c r="G1091" s="189" t="s">
        <v>420</v>
      </c>
      <c r="H1091" s="133"/>
      <c r="I1091" s="99"/>
      <c r="K1091" s="84"/>
      <c r="L1091" s="99">
        <f t="shared" ref="L1091:M1091" si="1058">COUNTIF(A1091:A2261,A1091)</f>
        <v>1</v>
      </c>
      <c r="M1091" s="99">
        <f t="shared" si="1058"/>
        <v>1</v>
      </c>
      <c r="N1091" s="84"/>
      <c r="O1091" s="84"/>
      <c r="P1091" s="84"/>
      <c r="Q1091" s="84"/>
      <c r="R1091" s="84"/>
    </row>
    <row r="1092" ht="15.75" customHeight="1">
      <c r="A1092" s="190">
        <v>1.2060032E7</v>
      </c>
      <c r="B1092" s="106" t="s">
        <v>2249</v>
      </c>
      <c r="C1092" s="204"/>
      <c r="D1092" s="133"/>
      <c r="E1092" s="159"/>
      <c r="F1092" s="159"/>
      <c r="G1092" s="189" t="s">
        <v>420</v>
      </c>
      <c r="H1092" s="133"/>
      <c r="I1092" s="99"/>
      <c r="K1092" s="84"/>
      <c r="L1092" s="99">
        <f t="shared" ref="L1092:M1092" si="1059">COUNTIF(A1092:A2262,A1092)</f>
        <v>1</v>
      </c>
      <c r="M1092" s="99">
        <f t="shared" si="1059"/>
        <v>1</v>
      </c>
      <c r="N1092" s="84"/>
      <c r="O1092" s="84"/>
      <c r="P1092" s="84"/>
      <c r="Q1092" s="84"/>
      <c r="R1092" s="84"/>
    </row>
    <row r="1093" ht="15.75" customHeight="1">
      <c r="A1093" s="190">
        <v>1.2060033E7</v>
      </c>
      <c r="B1093" s="106" t="s">
        <v>2250</v>
      </c>
      <c r="C1093" s="204"/>
      <c r="D1093" s="133"/>
      <c r="E1093" s="178"/>
      <c r="F1093" s="178"/>
      <c r="G1093" s="189" t="s">
        <v>420</v>
      </c>
      <c r="H1093" s="133"/>
      <c r="I1093" s="99"/>
      <c r="K1093" s="84"/>
      <c r="L1093" s="99">
        <f t="shared" ref="L1093:M1093" si="1060">COUNTIF(A1093:A2263,A1093)</f>
        <v>1</v>
      </c>
      <c r="M1093" s="99">
        <f t="shared" si="1060"/>
        <v>1</v>
      </c>
      <c r="N1093" s="84"/>
      <c r="O1093" s="84"/>
      <c r="P1093" s="84"/>
      <c r="Q1093" s="84"/>
      <c r="R1093" s="84"/>
    </row>
    <row r="1094" ht="15.75" customHeight="1">
      <c r="A1094" s="190">
        <v>1.2060034E7</v>
      </c>
      <c r="B1094" s="106" t="s">
        <v>2251</v>
      </c>
      <c r="C1094" s="204"/>
      <c r="D1094" s="133"/>
      <c r="E1094" s="178"/>
      <c r="F1094" s="178"/>
      <c r="G1094" s="189" t="s">
        <v>420</v>
      </c>
      <c r="H1094" s="133"/>
      <c r="I1094" s="99"/>
      <c r="K1094" s="84"/>
      <c r="L1094" s="99">
        <f t="shared" ref="L1094:M1094" si="1061">COUNTIF(A1094:A2264,A1094)</f>
        <v>1</v>
      </c>
      <c r="M1094" s="99">
        <f t="shared" si="1061"/>
        <v>1</v>
      </c>
      <c r="N1094" s="84"/>
      <c r="O1094" s="84"/>
      <c r="P1094" s="84"/>
      <c r="Q1094" s="84"/>
      <c r="R1094" s="84"/>
    </row>
    <row r="1095" ht="15.75" customHeight="1">
      <c r="A1095" s="190">
        <v>1.2060035E7</v>
      </c>
      <c r="B1095" s="106" t="s">
        <v>2252</v>
      </c>
      <c r="C1095" s="204"/>
      <c r="D1095" s="133"/>
      <c r="E1095" s="178"/>
      <c r="F1095" s="178"/>
      <c r="G1095" s="189" t="s">
        <v>420</v>
      </c>
      <c r="H1095" s="133"/>
      <c r="I1095" s="99"/>
      <c r="K1095" s="84"/>
      <c r="L1095" s="99">
        <f t="shared" ref="L1095:M1095" si="1062">COUNTIF(A1095:A2265,A1095)</f>
        <v>1</v>
      </c>
      <c r="M1095" s="99">
        <f t="shared" si="1062"/>
        <v>1</v>
      </c>
      <c r="N1095" s="84"/>
      <c r="O1095" s="84"/>
      <c r="P1095" s="84"/>
      <c r="Q1095" s="84"/>
      <c r="R1095" s="84"/>
    </row>
    <row r="1096" ht="15.75" customHeight="1">
      <c r="A1096" s="190">
        <v>1.2054001E7</v>
      </c>
      <c r="B1096" s="106" t="s">
        <v>2253</v>
      </c>
      <c r="C1096" s="204"/>
      <c r="D1096" s="133"/>
      <c r="E1096" s="178"/>
      <c r="F1096" s="178"/>
      <c r="G1096" s="189" t="s">
        <v>420</v>
      </c>
      <c r="H1096" s="133"/>
      <c r="I1096" s="99"/>
      <c r="K1096" s="84"/>
      <c r="L1096" s="99">
        <f t="shared" ref="L1096:M1096" si="1063">COUNTIF(A1096:A2266,A1096)</f>
        <v>1</v>
      </c>
      <c r="M1096" s="99">
        <f t="shared" si="1063"/>
        <v>1</v>
      </c>
      <c r="N1096" s="84"/>
      <c r="O1096" s="84"/>
      <c r="P1096" s="84"/>
      <c r="Q1096" s="84"/>
      <c r="R1096" s="84"/>
    </row>
    <row r="1097" ht="15.75" customHeight="1">
      <c r="A1097" s="190">
        <v>1.2054002E7</v>
      </c>
      <c r="B1097" s="106" t="s">
        <v>2254</v>
      </c>
      <c r="C1097" s="204"/>
      <c r="D1097" s="133"/>
      <c r="E1097" s="178"/>
      <c r="F1097" s="178"/>
      <c r="G1097" s="189" t="s">
        <v>420</v>
      </c>
      <c r="H1097" s="133"/>
      <c r="I1097" s="99"/>
      <c r="K1097" s="84"/>
      <c r="L1097" s="99">
        <f t="shared" ref="L1097:M1097" si="1064">COUNTIF(A1097:A2267,A1097)</f>
        <v>1</v>
      </c>
      <c r="M1097" s="99">
        <f t="shared" si="1064"/>
        <v>1</v>
      </c>
      <c r="N1097" s="84"/>
      <c r="O1097" s="84"/>
      <c r="P1097" s="84"/>
      <c r="Q1097" s="84"/>
      <c r="R1097" s="84"/>
    </row>
    <row r="1098" ht="15.75" customHeight="1">
      <c r="A1098" s="190">
        <v>1.2054003E7</v>
      </c>
      <c r="B1098" s="106" t="s">
        <v>2255</v>
      </c>
      <c r="C1098" s="204"/>
      <c r="D1098" s="133"/>
      <c r="E1098" s="178"/>
      <c r="F1098" s="178"/>
      <c r="G1098" s="189" t="s">
        <v>420</v>
      </c>
      <c r="H1098" s="133"/>
      <c r="I1098" s="99"/>
      <c r="K1098" s="84"/>
      <c r="L1098" s="99">
        <f t="shared" ref="L1098:M1098" si="1065">COUNTIF(A1098:A2268,A1098)</f>
        <v>1</v>
      </c>
      <c r="M1098" s="99">
        <f t="shared" si="1065"/>
        <v>1</v>
      </c>
      <c r="N1098" s="84"/>
      <c r="O1098" s="84"/>
      <c r="P1098" s="84"/>
      <c r="Q1098" s="84"/>
      <c r="R1098" s="84"/>
    </row>
    <row r="1099" ht="15.75" customHeight="1">
      <c r="A1099" s="190">
        <v>1.2054004E7</v>
      </c>
      <c r="B1099" s="106" t="s">
        <v>2256</v>
      </c>
      <c r="C1099" s="204"/>
      <c r="D1099" s="133"/>
      <c r="E1099" s="178"/>
      <c r="F1099" s="178"/>
      <c r="G1099" s="189" t="s">
        <v>420</v>
      </c>
      <c r="H1099" s="133"/>
      <c r="I1099" s="99"/>
      <c r="K1099" s="84"/>
      <c r="L1099" s="99">
        <f t="shared" ref="L1099:M1099" si="1066">COUNTIF(A1099:A2269,A1099)</f>
        <v>1</v>
      </c>
      <c r="M1099" s="99">
        <f t="shared" si="1066"/>
        <v>1</v>
      </c>
      <c r="N1099" s="84"/>
      <c r="O1099" s="84"/>
      <c r="P1099" s="84"/>
      <c r="Q1099" s="84"/>
      <c r="R1099" s="84"/>
    </row>
    <row r="1100" ht="15.75" customHeight="1">
      <c r="A1100" s="190">
        <v>1.2054005E7</v>
      </c>
      <c r="B1100" s="106" t="s">
        <v>2257</v>
      </c>
      <c r="C1100" s="204"/>
      <c r="D1100" s="133"/>
      <c r="E1100" s="178"/>
      <c r="F1100" s="178"/>
      <c r="G1100" s="189" t="s">
        <v>420</v>
      </c>
      <c r="H1100" s="133"/>
      <c r="I1100" s="99"/>
      <c r="K1100" s="84"/>
      <c r="L1100" s="99">
        <f t="shared" ref="L1100:M1100" si="1067">COUNTIF(A1100:A2270,A1100)</f>
        <v>1</v>
      </c>
      <c r="M1100" s="99">
        <f t="shared" si="1067"/>
        <v>1</v>
      </c>
      <c r="N1100" s="84"/>
      <c r="O1100" s="84"/>
      <c r="P1100" s="84"/>
      <c r="Q1100" s="84"/>
      <c r="R1100" s="84"/>
    </row>
    <row r="1101" ht="15.75" customHeight="1">
      <c r="A1101" s="190">
        <v>1.2054006E7</v>
      </c>
      <c r="B1101" s="106" t="s">
        <v>2258</v>
      </c>
      <c r="C1101" s="204"/>
      <c r="D1101" s="133"/>
      <c r="E1101" s="178"/>
      <c r="F1101" s="178"/>
      <c r="G1101" s="189" t="s">
        <v>420</v>
      </c>
      <c r="H1101" s="133"/>
      <c r="I1101" s="99"/>
      <c r="K1101" s="84"/>
      <c r="L1101" s="99">
        <f t="shared" ref="L1101:M1101" si="1068">COUNTIF(A1101:A2271,A1101)</f>
        <v>1</v>
      </c>
      <c r="M1101" s="99">
        <f t="shared" si="1068"/>
        <v>1</v>
      </c>
      <c r="N1101" s="84"/>
      <c r="O1101" s="84"/>
      <c r="P1101" s="84"/>
      <c r="Q1101" s="84"/>
      <c r="R1101" s="84"/>
    </row>
    <row r="1102" ht="15.75" customHeight="1">
      <c r="A1102" s="190">
        <v>1.2054007E7</v>
      </c>
      <c r="B1102" s="106" t="s">
        <v>2259</v>
      </c>
      <c r="C1102" s="204"/>
      <c r="D1102" s="133"/>
      <c r="E1102" s="178"/>
      <c r="F1102" s="178"/>
      <c r="G1102" s="189" t="s">
        <v>420</v>
      </c>
      <c r="H1102" s="133"/>
      <c r="I1102" s="99"/>
      <c r="K1102" s="84"/>
      <c r="L1102" s="99">
        <f t="shared" ref="L1102:M1102" si="1069">COUNTIF(A1102:A2272,A1102)</f>
        <v>1</v>
      </c>
      <c r="M1102" s="99">
        <f t="shared" si="1069"/>
        <v>1</v>
      </c>
      <c r="N1102" s="84"/>
      <c r="O1102" s="84"/>
      <c r="P1102" s="84"/>
      <c r="Q1102" s="84"/>
      <c r="R1102" s="84"/>
    </row>
    <row r="1103" ht="15.75" customHeight="1">
      <c r="A1103" s="190">
        <v>1.2054008E7</v>
      </c>
      <c r="B1103" s="106" t="s">
        <v>2260</v>
      </c>
      <c r="C1103" s="204"/>
      <c r="D1103" s="133"/>
      <c r="E1103" s="178"/>
      <c r="F1103" s="178"/>
      <c r="G1103" s="189" t="s">
        <v>420</v>
      </c>
      <c r="H1103" s="133"/>
      <c r="I1103" s="99"/>
      <c r="K1103" s="84"/>
      <c r="L1103" s="99">
        <f t="shared" ref="L1103:M1103" si="1070">COUNTIF(A1103:A2273,A1103)</f>
        <v>1</v>
      </c>
      <c r="M1103" s="99">
        <f t="shared" si="1070"/>
        <v>1</v>
      </c>
      <c r="N1103" s="84"/>
      <c r="O1103" s="84"/>
      <c r="P1103" s="84"/>
      <c r="Q1103" s="84"/>
      <c r="R1103" s="84"/>
    </row>
    <row r="1104" ht="15.75" customHeight="1">
      <c r="A1104" s="190">
        <v>1.2054009E7</v>
      </c>
      <c r="B1104" s="106" t="s">
        <v>2261</v>
      </c>
      <c r="C1104" s="204"/>
      <c r="D1104" s="133"/>
      <c r="E1104" s="178"/>
      <c r="F1104" s="178"/>
      <c r="G1104" s="189" t="s">
        <v>420</v>
      </c>
      <c r="H1104" s="133"/>
      <c r="I1104" s="99"/>
      <c r="K1104" s="84"/>
      <c r="L1104" s="99">
        <f t="shared" ref="L1104:M1104" si="1071">COUNTIF(A1104:A2274,A1104)</f>
        <v>1</v>
      </c>
      <c r="M1104" s="99">
        <f t="shared" si="1071"/>
        <v>1</v>
      </c>
      <c r="N1104" s="84"/>
      <c r="O1104" s="84"/>
      <c r="P1104" s="84"/>
      <c r="Q1104" s="84"/>
      <c r="R1104" s="84"/>
    </row>
    <row r="1105" ht="15.75" customHeight="1">
      <c r="A1105" s="190">
        <v>1.205401E7</v>
      </c>
      <c r="B1105" s="106" t="s">
        <v>2262</v>
      </c>
      <c r="C1105" s="204"/>
      <c r="D1105" s="133"/>
      <c r="E1105" s="178"/>
      <c r="F1105" s="178"/>
      <c r="G1105" s="189" t="s">
        <v>420</v>
      </c>
      <c r="H1105" s="133"/>
      <c r="I1105" s="99"/>
      <c r="K1105" s="84"/>
      <c r="L1105" s="99">
        <f t="shared" ref="L1105:M1105" si="1072">COUNTIF(A1105:A2275,A1105)</f>
        <v>1</v>
      </c>
      <c r="M1105" s="99">
        <f t="shared" si="1072"/>
        <v>1</v>
      </c>
      <c r="N1105" s="84"/>
      <c r="O1105" s="84"/>
      <c r="P1105" s="84"/>
      <c r="Q1105" s="84"/>
      <c r="R1105" s="84"/>
    </row>
    <row r="1106" ht="15.75" customHeight="1">
      <c r="A1106" s="190">
        <v>1.2054011E7</v>
      </c>
      <c r="B1106" s="106" t="s">
        <v>2263</v>
      </c>
      <c r="C1106" s="204"/>
      <c r="D1106" s="133"/>
      <c r="E1106" s="178"/>
      <c r="F1106" s="178"/>
      <c r="G1106" s="189" t="s">
        <v>420</v>
      </c>
      <c r="H1106" s="133"/>
      <c r="I1106" s="99"/>
      <c r="K1106" s="84"/>
      <c r="L1106" s="99">
        <f t="shared" ref="L1106:M1106" si="1073">COUNTIF(A1106:A2276,A1106)</f>
        <v>1</v>
      </c>
      <c r="M1106" s="99">
        <f t="shared" si="1073"/>
        <v>1</v>
      </c>
      <c r="N1106" s="84"/>
      <c r="O1106" s="84"/>
      <c r="P1106" s="84"/>
      <c r="Q1106" s="84"/>
      <c r="R1106" s="84"/>
    </row>
    <row r="1107" ht="15.75" customHeight="1">
      <c r="A1107" s="190">
        <v>1.2054012E7</v>
      </c>
      <c r="B1107" s="106" t="s">
        <v>2264</v>
      </c>
      <c r="C1107" s="204"/>
      <c r="D1107" s="133"/>
      <c r="E1107" s="178"/>
      <c r="F1107" s="178"/>
      <c r="G1107" s="189" t="s">
        <v>420</v>
      </c>
      <c r="H1107" s="133"/>
      <c r="I1107" s="99"/>
      <c r="K1107" s="84"/>
      <c r="L1107" s="99">
        <f t="shared" ref="L1107:M1107" si="1074">COUNTIF(A1107:A2277,A1107)</f>
        <v>1</v>
      </c>
      <c r="M1107" s="99">
        <f t="shared" si="1074"/>
        <v>1</v>
      </c>
      <c r="N1107" s="84"/>
      <c r="O1107" s="84"/>
      <c r="P1107" s="84"/>
      <c r="Q1107" s="84"/>
      <c r="R1107" s="84"/>
    </row>
    <row r="1108" ht="15.75" customHeight="1">
      <c r="A1108" s="190">
        <v>1.2054013E7</v>
      </c>
      <c r="B1108" s="106" t="s">
        <v>2265</v>
      </c>
      <c r="C1108" s="204"/>
      <c r="D1108" s="133"/>
      <c r="E1108" s="178"/>
      <c r="F1108" s="178"/>
      <c r="G1108" s="189" t="s">
        <v>420</v>
      </c>
      <c r="H1108" s="133"/>
      <c r="I1108" s="99"/>
      <c r="K1108" s="84"/>
      <c r="L1108" s="99">
        <f t="shared" ref="L1108:M1108" si="1075">COUNTIF(A1108:A2278,A1108)</f>
        <v>1</v>
      </c>
      <c r="M1108" s="99">
        <f t="shared" si="1075"/>
        <v>1</v>
      </c>
      <c r="N1108" s="84"/>
      <c r="O1108" s="84"/>
      <c r="P1108" s="84"/>
      <c r="Q1108" s="84"/>
      <c r="R1108" s="84"/>
    </row>
    <row r="1109" ht="15.75" customHeight="1">
      <c r="A1109" s="190">
        <v>1.2054014E7</v>
      </c>
      <c r="B1109" s="106" t="s">
        <v>2266</v>
      </c>
      <c r="C1109" s="204"/>
      <c r="D1109" s="133"/>
      <c r="E1109" s="178"/>
      <c r="F1109" s="178"/>
      <c r="G1109" s="189" t="s">
        <v>420</v>
      </c>
      <c r="H1109" s="133"/>
      <c r="I1109" s="99"/>
      <c r="K1109" s="84"/>
      <c r="L1109" s="99">
        <f t="shared" ref="L1109:M1109" si="1076">COUNTIF(A1109:A2279,A1109)</f>
        <v>1</v>
      </c>
      <c r="M1109" s="99">
        <f t="shared" si="1076"/>
        <v>1</v>
      </c>
      <c r="N1109" s="84"/>
      <c r="O1109" s="84"/>
      <c r="P1109" s="84"/>
      <c r="Q1109" s="84"/>
      <c r="R1109" s="84"/>
    </row>
    <row r="1110" ht="15.75" customHeight="1">
      <c r="A1110" s="190">
        <v>1.2054015E7</v>
      </c>
      <c r="B1110" s="106" t="s">
        <v>2267</v>
      </c>
      <c r="C1110" s="204"/>
      <c r="D1110" s="133"/>
      <c r="E1110" s="178"/>
      <c r="F1110" s="178"/>
      <c r="G1110" s="189" t="s">
        <v>420</v>
      </c>
      <c r="H1110" s="133"/>
      <c r="I1110" s="99"/>
      <c r="K1110" s="84"/>
      <c r="L1110" s="99">
        <f t="shared" ref="L1110:M1110" si="1077">COUNTIF(A1110:A2280,A1110)</f>
        <v>1</v>
      </c>
      <c r="M1110" s="99">
        <f t="shared" si="1077"/>
        <v>1</v>
      </c>
      <c r="N1110" s="84"/>
      <c r="O1110" s="84"/>
      <c r="P1110" s="84"/>
      <c r="Q1110" s="84"/>
      <c r="R1110" s="84"/>
    </row>
    <row r="1111" ht="15.75" customHeight="1">
      <c r="A1111" s="190">
        <v>1.2054016E7</v>
      </c>
      <c r="B1111" s="106" t="s">
        <v>2268</v>
      </c>
      <c r="C1111" s="204"/>
      <c r="D1111" s="133"/>
      <c r="E1111" s="178"/>
      <c r="F1111" s="178"/>
      <c r="G1111" s="189" t="s">
        <v>420</v>
      </c>
      <c r="H1111" s="133"/>
      <c r="I1111" s="99"/>
      <c r="K1111" s="84"/>
      <c r="L1111" s="99">
        <f t="shared" ref="L1111:M1111" si="1078">COUNTIF(A1111:A2281,A1111)</f>
        <v>1</v>
      </c>
      <c r="M1111" s="99">
        <f t="shared" si="1078"/>
        <v>1</v>
      </c>
      <c r="N1111" s="84"/>
      <c r="O1111" s="84"/>
      <c r="P1111" s="84"/>
      <c r="Q1111" s="84"/>
      <c r="R1111" s="84"/>
    </row>
    <row r="1112" ht="15.75" customHeight="1">
      <c r="A1112" s="190">
        <v>1.2054017E7</v>
      </c>
      <c r="B1112" s="106" t="s">
        <v>2269</v>
      </c>
      <c r="C1112" s="204"/>
      <c r="D1112" s="133"/>
      <c r="E1112" s="178"/>
      <c r="F1112" s="178"/>
      <c r="G1112" s="189" t="s">
        <v>420</v>
      </c>
      <c r="H1112" s="133"/>
      <c r="I1112" s="99"/>
      <c r="K1112" s="84"/>
      <c r="L1112" s="99">
        <f t="shared" ref="L1112:M1112" si="1079">COUNTIF(A1112:A2282,A1112)</f>
        <v>1</v>
      </c>
      <c r="M1112" s="99">
        <f t="shared" si="1079"/>
        <v>1</v>
      </c>
      <c r="N1112" s="84"/>
      <c r="O1112" s="84"/>
      <c r="P1112" s="84"/>
      <c r="Q1112" s="84"/>
      <c r="R1112" s="84"/>
    </row>
    <row r="1113" ht="15.75" customHeight="1">
      <c r="A1113" s="190">
        <v>1.2054018E7</v>
      </c>
      <c r="B1113" s="106" t="s">
        <v>2270</v>
      </c>
      <c r="C1113" s="204"/>
      <c r="D1113" s="133"/>
      <c r="E1113" s="178"/>
      <c r="F1113" s="178"/>
      <c r="G1113" s="189" t="s">
        <v>420</v>
      </c>
      <c r="H1113" s="133"/>
      <c r="I1113" s="99"/>
      <c r="K1113" s="84"/>
      <c r="L1113" s="99">
        <f t="shared" ref="L1113:M1113" si="1080">COUNTIF(A1113:A2283,A1113)</f>
        <v>1</v>
      </c>
      <c r="M1113" s="99">
        <f t="shared" si="1080"/>
        <v>1</v>
      </c>
      <c r="N1113" s="84"/>
      <c r="O1113" s="84"/>
      <c r="P1113" s="84"/>
      <c r="Q1113" s="84"/>
      <c r="R1113" s="84"/>
    </row>
    <row r="1114" ht="15.75" customHeight="1">
      <c r="A1114" s="190">
        <v>1.2054019E7</v>
      </c>
      <c r="B1114" s="106" t="s">
        <v>2271</v>
      </c>
      <c r="C1114" s="204"/>
      <c r="D1114" s="133"/>
      <c r="E1114" s="178"/>
      <c r="F1114" s="178"/>
      <c r="G1114" s="189" t="s">
        <v>420</v>
      </c>
      <c r="H1114" s="133"/>
      <c r="I1114" s="99"/>
      <c r="K1114" s="84"/>
      <c r="L1114" s="99">
        <f t="shared" ref="L1114:M1114" si="1081">COUNTIF(A1114:A2284,A1114)</f>
        <v>1</v>
      </c>
      <c r="M1114" s="99">
        <f t="shared" si="1081"/>
        <v>1</v>
      </c>
      <c r="N1114" s="84"/>
      <c r="O1114" s="84"/>
      <c r="P1114" s="84"/>
      <c r="Q1114" s="84"/>
      <c r="R1114" s="84"/>
    </row>
    <row r="1115" ht="15.75" customHeight="1">
      <c r="A1115" s="190">
        <v>1.205402E7</v>
      </c>
      <c r="B1115" s="106" t="s">
        <v>2272</v>
      </c>
      <c r="C1115" s="204"/>
      <c r="D1115" s="133"/>
      <c r="E1115" s="178"/>
      <c r="F1115" s="178"/>
      <c r="G1115" s="189" t="s">
        <v>420</v>
      </c>
      <c r="H1115" s="133"/>
      <c r="I1115" s="99"/>
      <c r="K1115" s="84"/>
      <c r="L1115" s="99">
        <f t="shared" ref="L1115:M1115" si="1082">COUNTIF(A1115:A2285,A1115)</f>
        <v>1</v>
      </c>
      <c r="M1115" s="99">
        <f t="shared" si="1082"/>
        <v>1</v>
      </c>
      <c r="N1115" s="84"/>
      <c r="O1115" s="84"/>
      <c r="P1115" s="84"/>
      <c r="Q1115" s="84"/>
      <c r="R1115" s="84"/>
    </row>
    <row r="1116" ht="15.75" customHeight="1">
      <c r="A1116" s="190">
        <v>1.2054021E7</v>
      </c>
      <c r="B1116" s="106" t="s">
        <v>2273</v>
      </c>
      <c r="C1116" s="204"/>
      <c r="D1116" s="133"/>
      <c r="E1116" s="178"/>
      <c r="F1116" s="178"/>
      <c r="G1116" s="189" t="s">
        <v>420</v>
      </c>
      <c r="H1116" s="133"/>
      <c r="I1116" s="99"/>
      <c r="K1116" s="84"/>
      <c r="L1116" s="99">
        <f t="shared" ref="L1116:M1116" si="1083">COUNTIF(A1116:A2286,A1116)</f>
        <v>1</v>
      </c>
      <c r="M1116" s="99">
        <f t="shared" si="1083"/>
        <v>1</v>
      </c>
      <c r="N1116" s="84"/>
      <c r="O1116" s="84"/>
      <c r="P1116" s="84"/>
      <c r="Q1116" s="84"/>
      <c r="R1116" s="84"/>
    </row>
    <row r="1117" ht="15.75" customHeight="1">
      <c r="A1117" s="190">
        <v>1.2054022E7</v>
      </c>
      <c r="B1117" s="106" t="s">
        <v>2274</v>
      </c>
      <c r="C1117" s="204"/>
      <c r="D1117" s="133"/>
      <c r="E1117" s="178"/>
      <c r="F1117" s="178"/>
      <c r="G1117" s="189" t="s">
        <v>420</v>
      </c>
      <c r="H1117" s="133"/>
      <c r="I1117" s="99"/>
      <c r="K1117" s="84"/>
      <c r="L1117" s="99">
        <f t="shared" ref="L1117:M1117" si="1084">COUNTIF(A1117:A2287,A1117)</f>
        <v>1</v>
      </c>
      <c r="M1117" s="99">
        <f t="shared" si="1084"/>
        <v>1</v>
      </c>
      <c r="N1117" s="84"/>
      <c r="O1117" s="84"/>
      <c r="P1117" s="84"/>
      <c r="Q1117" s="84"/>
      <c r="R1117" s="84"/>
    </row>
    <row r="1118" ht="15.75" customHeight="1">
      <c r="A1118" s="190">
        <v>1.2054023E7</v>
      </c>
      <c r="B1118" s="106" t="s">
        <v>2275</v>
      </c>
      <c r="C1118" s="204"/>
      <c r="D1118" s="133"/>
      <c r="E1118" s="178"/>
      <c r="F1118" s="178"/>
      <c r="G1118" s="189" t="s">
        <v>420</v>
      </c>
      <c r="H1118" s="133"/>
      <c r="I1118" s="99"/>
      <c r="K1118" s="84"/>
      <c r="L1118" s="99">
        <f t="shared" ref="L1118:M1118" si="1085">COUNTIF(A1118:A2288,A1118)</f>
        <v>1</v>
      </c>
      <c r="M1118" s="99">
        <f t="shared" si="1085"/>
        <v>1</v>
      </c>
      <c r="N1118" s="84"/>
      <c r="O1118" s="84"/>
      <c r="P1118" s="84"/>
      <c r="Q1118" s="84"/>
      <c r="R1118" s="84"/>
    </row>
    <row r="1119" ht="15.75" customHeight="1">
      <c r="A1119" s="190">
        <v>1.2054024E7</v>
      </c>
      <c r="B1119" s="106" t="s">
        <v>2276</v>
      </c>
      <c r="C1119" s="204"/>
      <c r="D1119" s="133"/>
      <c r="E1119" s="178"/>
      <c r="F1119" s="178"/>
      <c r="G1119" s="189" t="s">
        <v>420</v>
      </c>
      <c r="H1119" s="133"/>
      <c r="I1119" s="99"/>
      <c r="K1119" s="84"/>
      <c r="L1119" s="99">
        <f t="shared" ref="L1119:M1119" si="1086">COUNTIF(A1119:A2289,A1119)</f>
        <v>1</v>
      </c>
      <c r="M1119" s="99">
        <f t="shared" si="1086"/>
        <v>1</v>
      </c>
      <c r="N1119" s="84"/>
      <c r="O1119" s="84"/>
      <c r="P1119" s="84"/>
      <c r="Q1119" s="84"/>
      <c r="R1119" s="84"/>
    </row>
    <row r="1120" ht="15.75" customHeight="1">
      <c r="A1120" s="190">
        <v>1.2054025E7</v>
      </c>
      <c r="B1120" s="106" t="s">
        <v>2277</v>
      </c>
      <c r="C1120" s="204"/>
      <c r="D1120" s="133"/>
      <c r="E1120" s="178"/>
      <c r="F1120" s="178"/>
      <c r="G1120" s="189" t="s">
        <v>420</v>
      </c>
      <c r="H1120" s="133"/>
      <c r="I1120" s="99"/>
      <c r="K1120" s="84"/>
      <c r="L1120" s="99">
        <f t="shared" ref="L1120:M1120" si="1087">COUNTIF(A1120:A2290,A1120)</f>
        <v>1</v>
      </c>
      <c r="M1120" s="99">
        <f t="shared" si="1087"/>
        <v>1</v>
      </c>
      <c r="N1120" s="84"/>
      <c r="O1120" s="84"/>
      <c r="P1120" s="84"/>
      <c r="Q1120" s="84"/>
      <c r="R1120" s="84"/>
    </row>
    <row r="1121" ht="15.75" customHeight="1">
      <c r="A1121" s="190">
        <v>1.2054026E7</v>
      </c>
      <c r="B1121" s="106" t="s">
        <v>2278</v>
      </c>
      <c r="C1121" s="204"/>
      <c r="D1121" s="133"/>
      <c r="E1121" s="178"/>
      <c r="F1121" s="178"/>
      <c r="G1121" s="189" t="s">
        <v>420</v>
      </c>
      <c r="H1121" s="133"/>
      <c r="I1121" s="99"/>
      <c r="K1121" s="84"/>
      <c r="L1121" s="99">
        <f t="shared" ref="L1121:M1121" si="1088">COUNTIF(A1121:A2291,A1121)</f>
        <v>1</v>
      </c>
      <c r="M1121" s="99">
        <f t="shared" si="1088"/>
        <v>1</v>
      </c>
      <c r="N1121" s="84"/>
      <c r="O1121" s="84"/>
      <c r="P1121" s="84"/>
      <c r="Q1121" s="84"/>
      <c r="R1121" s="84"/>
    </row>
    <row r="1122" ht="15.75" customHeight="1">
      <c r="A1122" s="190">
        <v>1.2054027E7</v>
      </c>
      <c r="B1122" s="106" t="s">
        <v>2279</v>
      </c>
      <c r="C1122" s="204"/>
      <c r="D1122" s="133"/>
      <c r="E1122" s="178"/>
      <c r="F1122" s="178"/>
      <c r="G1122" s="189" t="s">
        <v>420</v>
      </c>
      <c r="H1122" s="133"/>
      <c r="I1122" s="99"/>
      <c r="K1122" s="84"/>
      <c r="L1122" s="99">
        <f t="shared" ref="L1122:M1122" si="1089">COUNTIF(A1122:A2292,A1122)</f>
        <v>1</v>
      </c>
      <c r="M1122" s="99">
        <f t="shared" si="1089"/>
        <v>1</v>
      </c>
      <c r="N1122" s="84"/>
      <c r="O1122" s="84"/>
      <c r="P1122" s="84"/>
      <c r="Q1122" s="84"/>
      <c r="R1122" s="84"/>
    </row>
    <row r="1123" ht="15.75" customHeight="1">
      <c r="A1123" s="190">
        <v>1.2054028E7</v>
      </c>
      <c r="B1123" s="106" t="s">
        <v>2280</v>
      </c>
      <c r="C1123" s="204"/>
      <c r="D1123" s="133"/>
      <c r="E1123" s="178"/>
      <c r="F1123" s="178"/>
      <c r="G1123" s="189" t="s">
        <v>420</v>
      </c>
      <c r="H1123" s="133"/>
      <c r="I1123" s="99"/>
      <c r="K1123" s="84"/>
      <c r="L1123" s="99">
        <f t="shared" ref="L1123:M1123" si="1090">COUNTIF(A1123:A2293,A1123)</f>
        <v>1</v>
      </c>
      <c r="M1123" s="99">
        <f t="shared" si="1090"/>
        <v>1</v>
      </c>
      <c r="N1123" s="84"/>
      <c r="O1123" s="84"/>
      <c r="P1123" s="84"/>
      <c r="Q1123" s="84"/>
      <c r="R1123" s="84"/>
    </row>
    <row r="1124" ht="15.75" customHeight="1">
      <c r="A1124" s="190">
        <v>1.2054029E7</v>
      </c>
      <c r="B1124" s="106" t="s">
        <v>2281</v>
      </c>
      <c r="C1124" s="204"/>
      <c r="D1124" s="133"/>
      <c r="E1124" s="178"/>
      <c r="F1124" s="178"/>
      <c r="G1124" s="189" t="s">
        <v>420</v>
      </c>
      <c r="H1124" s="133"/>
      <c r="I1124" s="99"/>
      <c r="K1124" s="84"/>
      <c r="L1124" s="99">
        <f t="shared" ref="L1124:M1124" si="1091">COUNTIF(A1124:A2294,A1124)</f>
        <v>1</v>
      </c>
      <c r="M1124" s="99">
        <f t="shared" si="1091"/>
        <v>1</v>
      </c>
      <c r="N1124" s="84"/>
      <c r="O1124" s="84"/>
      <c r="P1124" s="84"/>
      <c r="Q1124" s="84"/>
      <c r="R1124" s="84"/>
    </row>
    <row r="1125" ht="15.75" customHeight="1">
      <c r="A1125" s="190">
        <v>1.205403E7</v>
      </c>
      <c r="B1125" s="106" t="s">
        <v>2282</v>
      </c>
      <c r="C1125" s="204"/>
      <c r="D1125" s="133"/>
      <c r="E1125" s="178"/>
      <c r="F1125" s="178"/>
      <c r="G1125" s="189" t="s">
        <v>420</v>
      </c>
      <c r="H1125" s="133"/>
      <c r="I1125" s="99"/>
      <c r="K1125" s="84"/>
      <c r="L1125" s="99">
        <f t="shared" ref="L1125:M1125" si="1092">COUNTIF(A1125:A2295,A1125)</f>
        <v>1</v>
      </c>
      <c r="M1125" s="99">
        <f t="shared" si="1092"/>
        <v>1</v>
      </c>
      <c r="N1125" s="84"/>
      <c r="O1125" s="84"/>
      <c r="P1125" s="84"/>
      <c r="Q1125" s="84"/>
      <c r="R1125" s="84"/>
    </row>
    <row r="1126" ht="15.75" customHeight="1">
      <c r="A1126" s="190">
        <v>1.2054031E7</v>
      </c>
      <c r="B1126" s="106" t="s">
        <v>2283</v>
      </c>
      <c r="C1126" s="204"/>
      <c r="D1126" s="133"/>
      <c r="E1126" s="178"/>
      <c r="F1126" s="178"/>
      <c r="G1126" s="189" t="s">
        <v>420</v>
      </c>
      <c r="H1126" s="133"/>
      <c r="I1126" s="99"/>
      <c r="K1126" s="84"/>
      <c r="L1126" s="99">
        <f t="shared" ref="L1126:M1126" si="1093">COUNTIF(A1126:A2296,A1126)</f>
        <v>1</v>
      </c>
      <c r="M1126" s="99">
        <f t="shared" si="1093"/>
        <v>1</v>
      </c>
      <c r="N1126" s="84"/>
      <c r="O1126" s="84"/>
      <c r="P1126" s="84"/>
      <c r="Q1126" s="84"/>
      <c r="R1126" s="84"/>
    </row>
    <row r="1127" ht="15.75" customHeight="1">
      <c r="A1127" s="190">
        <v>1.2054032E7</v>
      </c>
      <c r="B1127" s="106" t="s">
        <v>2284</v>
      </c>
      <c r="C1127" s="204"/>
      <c r="D1127" s="133"/>
      <c r="E1127" s="178"/>
      <c r="F1127" s="178"/>
      <c r="G1127" s="189" t="s">
        <v>420</v>
      </c>
      <c r="H1127" s="133"/>
      <c r="I1127" s="99"/>
      <c r="K1127" s="84"/>
      <c r="L1127" s="99">
        <f t="shared" ref="L1127:M1127" si="1094">COUNTIF(A1127:A2297,A1127)</f>
        <v>1</v>
      </c>
      <c r="M1127" s="99">
        <f t="shared" si="1094"/>
        <v>1</v>
      </c>
      <c r="N1127" s="84"/>
      <c r="O1127" s="84"/>
      <c r="P1127" s="84"/>
      <c r="Q1127" s="84"/>
      <c r="R1127" s="84"/>
    </row>
    <row r="1128" ht="15.75" customHeight="1">
      <c r="A1128" s="190">
        <v>1.2054033E7</v>
      </c>
      <c r="B1128" s="106" t="s">
        <v>2285</v>
      </c>
      <c r="C1128" s="204"/>
      <c r="D1128" s="133"/>
      <c r="E1128" s="178"/>
      <c r="F1128" s="178"/>
      <c r="G1128" s="189" t="s">
        <v>420</v>
      </c>
      <c r="H1128" s="133"/>
      <c r="I1128" s="99"/>
      <c r="K1128" s="84"/>
      <c r="L1128" s="99">
        <f t="shared" ref="L1128:M1128" si="1095">COUNTIF(A1128:A2298,A1128)</f>
        <v>1</v>
      </c>
      <c r="M1128" s="99">
        <f t="shared" si="1095"/>
        <v>1</v>
      </c>
      <c r="N1128" s="84"/>
      <c r="O1128" s="84"/>
      <c r="P1128" s="84"/>
      <c r="Q1128" s="84"/>
      <c r="R1128" s="84"/>
    </row>
    <row r="1129" ht="15.75" customHeight="1">
      <c r="A1129" s="190">
        <v>1.2054034E7</v>
      </c>
      <c r="B1129" s="106" t="s">
        <v>2286</v>
      </c>
      <c r="C1129" s="204"/>
      <c r="D1129" s="133"/>
      <c r="E1129" s="178"/>
      <c r="F1129" s="178"/>
      <c r="G1129" s="189" t="s">
        <v>420</v>
      </c>
      <c r="H1129" s="133"/>
      <c r="I1129" s="99"/>
      <c r="K1129" s="84"/>
      <c r="L1129" s="99">
        <f t="shared" ref="L1129:M1129" si="1096">COUNTIF(A1129:A2299,A1129)</f>
        <v>1</v>
      </c>
      <c r="M1129" s="99">
        <f t="shared" si="1096"/>
        <v>1</v>
      </c>
      <c r="N1129" s="84"/>
      <c r="O1129" s="84"/>
      <c r="P1129" s="84"/>
      <c r="Q1129" s="84"/>
      <c r="R1129" s="84"/>
    </row>
    <row r="1130" ht="15.75" customHeight="1">
      <c r="A1130" s="190">
        <v>1.2054035E7</v>
      </c>
      <c r="B1130" s="106" t="s">
        <v>2287</v>
      </c>
      <c r="C1130" s="204"/>
      <c r="D1130" s="133"/>
      <c r="E1130" s="178"/>
      <c r="F1130" s="178"/>
      <c r="G1130" s="189" t="s">
        <v>420</v>
      </c>
      <c r="H1130" s="133"/>
      <c r="I1130" s="99"/>
      <c r="K1130" s="84"/>
      <c r="L1130" s="99">
        <f t="shared" ref="L1130:M1130" si="1097">COUNTIF(A1130:A2300,A1130)</f>
        <v>1</v>
      </c>
      <c r="M1130" s="99">
        <f t="shared" si="1097"/>
        <v>1</v>
      </c>
      <c r="N1130" s="84"/>
      <c r="O1130" s="84"/>
      <c r="P1130" s="84"/>
      <c r="Q1130" s="84"/>
      <c r="R1130" s="84"/>
    </row>
    <row r="1131" ht="15.75" customHeight="1">
      <c r="A1131" s="129">
        <v>3.0000001E7</v>
      </c>
      <c r="B1131" s="106" t="s">
        <v>1094</v>
      </c>
      <c r="C1131" s="134"/>
      <c r="D1131" s="134"/>
      <c r="E1131" s="176" t="s">
        <v>235</v>
      </c>
      <c r="F1131" s="176" t="s">
        <v>235</v>
      </c>
      <c r="G1131" s="134"/>
      <c r="H1131" s="134"/>
      <c r="I1131" s="99"/>
      <c r="K1131" s="84"/>
      <c r="L1131" s="99">
        <f t="shared" ref="L1131:M1131" si="1098">COUNTIF(A1131:A2301,A1131)</f>
        <v>1</v>
      </c>
      <c r="M1131" s="99">
        <f t="shared" si="1098"/>
        <v>1</v>
      </c>
      <c r="N1131" s="84"/>
      <c r="O1131" s="84"/>
      <c r="P1131" s="84"/>
      <c r="Q1131" s="84"/>
      <c r="R1131" s="84"/>
    </row>
    <row r="1132" ht="15.75" customHeight="1">
      <c r="A1132" s="129">
        <v>3.0000002E7</v>
      </c>
      <c r="B1132" s="106" t="s">
        <v>1095</v>
      </c>
      <c r="C1132" s="134"/>
      <c r="D1132" s="134"/>
      <c r="E1132" s="176" t="s">
        <v>1096</v>
      </c>
      <c r="F1132" s="176" t="s">
        <v>1096</v>
      </c>
      <c r="G1132" s="134"/>
      <c r="H1132" s="134"/>
      <c r="I1132" s="99"/>
      <c r="K1132" s="84"/>
      <c r="L1132" s="99">
        <f t="shared" ref="L1132:M1132" si="1099">COUNTIF(A1132:A2302,A1132)</f>
        <v>1</v>
      </c>
      <c r="M1132" s="99">
        <f t="shared" si="1099"/>
        <v>1</v>
      </c>
      <c r="N1132" s="84"/>
      <c r="O1132" s="84"/>
      <c r="P1132" s="84"/>
      <c r="Q1132" s="84"/>
      <c r="R1132" s="84"/>
    </row>
    <row r="1133" ht="15.75" customHeight="1">
      <c r="A1133" s="129">
        <v>3.0000003E7</v>
      </c>
      <c r="B1133" s="106" t="s">
        <v>1097</v>
      </c>
      <c r="C1133" s="134"/>
      <c r="D1133" s="134"/>
      <c r="E1133" s="176" t="s">
        <v>235</v>
      </c>
      <c r="F1133" s="176" t="s">
        <v>235</v>
      </c>
      <c r="G1133" s="134"/>
      <c r="H1133" s="134"/>
      <c r="I1133" s="99"/>
      <c r="K1133" s="84"/>
      <c r="L1133" s="99">
        <f t="shared" ref="L1133:M1133" si="1100">COUNTIF(A1133:A2303,A1133)</f>
        <v>1</v>
      </c>
      <c r="M1133" s="99">
        <f t="shared" si="1100"/>
        <v>1</v>
      </c>
      <c r="N1133" s="84"/>
      <c r="O1133" s="84"/>
      <c r="P1133" s="84"/>
      <c r="Q1133" s="84"/>
      <c r="R1133" s="84"/>
    </row>
    <row r="1134" ht="15.75" customHeight="1">
      <c r="A1134" s="129">
        <v>3.0000004E7</v>
      </c>
      <c r="B1134" s="106" t="s">
        <v>1098</v>
      </c>
      <c r="C1134" s="134"/>
      <c r="D1134" s="134"/>
      <c r="E1134" s="176" t="s">
        <v>235</v>
      </c>
      <c r="F1134" s="176" t="s">
        <v>235</v>
      </c>
      <c r="G1134" s="134"/>
      <c r="H1134" s="134"/>
      <c r="I1134" s="99"/>
      <c r="K1134" s="84"/>
      <c r="L1134" s="99">
        <f t="shared" ref="L1134:M1134" si="1101">COUNTIF(A1134:A2304,A1134)</f>
        <v>1</v>
      </c>
      <c r="M1134" s="99">
        <f t="shared" si="1101"/>
        <v>1</v>
      </c>
      <c r="N1134" s="84"/>
      <c r="O1134" s="84"/>
      <c r="P1134" s="84"/>
      <c r="Q1134" s="84"/>
      <c r="R1134" s="84"/>
    </row>
    <row r="1135" ht="15.75" customHeight="1">
      <c r="A1135" s="205">
        <v>1.2099307E7</v>
      </c>
      <c r="B1135" s="106" t="s">
        <v>2288</v>
      </c>
      <c r="C1135" s="200"/>
      <c r="D1135" s="200"/>
      <c r="E1135" s="202"/>
      <c r="F1135" s="202"/>
      <c r="G1135" s="200"/>
      <c r="H1135" s="200"/>
      <c r="I1135" s="99"/>
      <c r="K1135" s="84"/>
      <c r="L1135" s="99">
        <f t="shared" ref="L1135:M1135" si="1102">COUNTIF(A1135:A2305,A1135)</f>
        <v>1</v>
      </c>
      <c r="M1135" s="99">
        <f t="shared" si="1102"/>
        <v>1</v>
      </c>
      <c r="N1135" s="84"/>
      <c r="O1135" s="84"/>
      <c r="P1135" s="84"/>
      <c r="Q1135" s="84"/>
      <c r="R1135" s="84"/>
    </row>
    <row r="1136" ht="15.75" customHeight="1">
      <c r="A1136" s="205">
        <v>1.2099308E7</v>
      </c>
      <c r="B1136" s="106" t="s">
        <v>2289</v>
      </c>
      <c r="C1136" s="200"/>
      <c r="D1136" s="200"/>
      <c r="E1136" s="201" t="s">
        <v>235</v>
      </c>
      <c r="F1136" s="202"/>
      <c r="G1136" s="200"/>
      <c r="H1136" s="200"/>
      <c r="I1136" s="99"/>
      <c r="K1136" s="84"/>
      <c r="L1136" s="99">
        <f t="shared" ref="L1136:M1136" si="1103">COUNTIF(A1136:A2306,A1136)</f>
        <v>1</v>
      </c>
      <c r="M1136" s="99">
        <f t="shared" si="1103"/>
        <v>1</v>
      </c>
      <c r="N1136" s="84"/>
      <c r="O1136" s="84"/>
      <c r="P1136" s="84"/>
      <c r="Q1136" s="84"/>
      <c r="R1136" s="84"/>
    </row>
    <row r="1137" ht="15.75" customHeight="1">
      <c r="A1137" s="205">
        <v>1.2099309E7</v>
      </c>
      <c r="B1137" s="106" t="s">
        <v>2290</v>
      </c>
      <c r="C1137" s="200"/>
      <c r="D1137" s="200"/>
      <c r="E1137" s="202"/>
      <c r="F1137" s="202"/>
      <c r="G1137" s="200"/>
      <c r="H1137" s="200"/>
      <c r="I1137" s="99"/>
      <c r="K1137" s="122"/>
      <c r="L1137" s="99">
        <f t="shared" ref="L1137:M1137" si="1104">COUNTIF(A1137:A2307,A1137)</f>
        <v>1</v>
      </c>
      <c r="M1137" s="99">
        <f t="shared" si="1104"/>
        <v>1</v>
      </c>
      <c r="N1137" s="122"/>
      <c r="O1137" s="122"/>
      <c r="P1137" s="122"/>
      <c r="Q1137" s="122"/>
      <c r="R1137" s="122"/>
    </row>
    <row r="1138" ht="15.75" customHeight="1">
      <c r="A1138" s="205">
        <v>1.209931E7</v>
      </c>
      <c r="B1138" s="106" t="s">
        <v>2291</v>
      </c>
      <c r="C1138" s="200"/>
      <c r="D1138" s="200"/>
      <c r="E1138" s="201" t="s">
        <v>235</v>
      </c>
      <c r="F1138" s="202"/>
      <c r="G1138" s="200"/>
      <c r="H1138" s="200"/>
      <c r="I1138" s="99"/>
      <c r="K1138" s="122"/>
      <c r="L1138" s="99">
        <f t="shared" ref="L1138:M1138" si="1105">COUNTIF(A1138:A2308,A1138)</f>
        <v>1</v>
      </c>
      <c r="M1138" s="99">
        <f t="shared" si="1105"/>
        <v>1</v>
      </c>
      <c r="N1138" s="122"/>
      <c r="O1138" s="122"/>
      <c r="P1138" s="122"/>
      <c r="Q1138" s="122"/>
      <c r="R1138" s="122"/>
    </row>
    <row r="1139" ht="15.75" customHeight="1">
      <c r="A1139" s="205">
        <v>1.2099311E7</v>
      </c>
      <c r="B1139" s="106" t="s">
        <v>2292</v>
      </c>
      <c r="C1139" s="200"/>
      <c r="D1139" s="200"/>
      <c r="E1139" s="202"/>
      <c r="F1139" s="202"/>
      <c r="G1139" s="200"/>
      <c r="H1139" s="200"/>
      <c r="I1139" s="99"/>
      <c r="K1139" s="122"/>
      <c r="L1139" s="99">
        <f t="shared" ref="L1139:M1139" si="1106">COUNTIF(A1139:A2309,A1139)</f>
        <v>1</v>
      </c>
      <c r="M1139" s="99">
        <f t="shared" si="1106"/>
        <v>1</v>
      </c>
      <c r="N1139" s="122"/>
      <c r="O1139" s="122"/>
      <c r="P1139" s="122"/>
      <c r="Q1139" s="122"/>
      <c r="R1139" s="122"/>
    </row>
    <row r="1140" ht="15.75" customHeight="1">
      <c r="A1140" s="205">
        <v>1.2099312E7</v>
      </c>
      <c r="B1140" s="106" t="s">
        <v>2293</v>
      </c>
      <c r="C1140" s="200"/>
      <c r="D1140" s="200"/>
      <c r="E1140" s="201" t="s">
        <v>235</v>
      </c>
      <c r="F1140" s="202"/>
      <c r="G1140" s="200"/>
      <c r="H1140" s="200"/>
      <c r="I1140" s="99"/>
      <c r="K1140" s="122"/>
      <c r="L1140" s="99">
        <f t="shared" ref="L1140:M1140" si="1107">COUNTIF(A1140:A2310,A1140)</f>
        <v>1</v>
      </c>
      <c r="M1140" s="99">
        <f t="shared" si="1107"/>
        <v>1</v>
      </c>
      <c r="N1140" s="122"/>
      <c r="O1140" s="122"/>
      <c r="P1140" s="122"/>
      <c r="Q1140" s="122"/>
      <c r="R1140" s="122"/>
    </row>
    <row r="1141" ht="15.75" customHeight="1">
      <c r="A1141" s="205">
        <v>1.2099313E7</v>
      </c>
      <c r="B1141" s="106" t="s">
        <v>2294</v>
      </c>
      <c r="C1141" s="200"/>
      <c r="D1141" s="200"/>
      <c r="E1141" s="202"/>
      <c r="F1141" s="202"/>
      <c r="G1141" s="200"/>
      <c r="H1141" s="200"/>
      <c r="I1141" s="99"/>
      <c r="K1141" s="122"/>
      <c r="L1141" s="99">
        <f t="shared" ref="L1141:M1141" si="1108">COUNTIF(A1141:A2311,A1141)</f>
        <v>1</v>
      </c>
      <c r="M1141" s="99">
        <f t="shared" si="1108"/>
        <v>1</v>
      </c>
      <c r="N1141" s="122"/>
      <c r="O1141" s="122"/>
      <c r="P1141" s="122"/>
      <c r="Q1141" s="122"/>
      <c r="R1141" s="122"/>
    </row>
    <row r="1142" ht="15.75" customHeight="1">
      <c r="A1142" s="205">
        <v>1.2099314E7</v>
      </c>
      <c r="B1142" s="106" t="s">
        <v>2295</v>
      </c>
      <c r="C1142" s="200"/>
      <c r="D1142" s="200"/>
      <c r="E1142" s="201" t="s">
        <v>235</v>
      </c>
      <c r="F1142" s="202"/>
      <c r="G1142" s="200"/>
      <c r="H1142" s="200"/>
      <c r="I1142" s="99"/>
      <c r="K1142" s="122"/>
      <c r="L1142" s="99">
        <f t="shared" ref="L1142:M1142" si="1109">COUNTIF(A1142:A2312,A1142)</f>
        <v>1</v>
      </c>
      <c r="M1142" s="99">
        <f t="shared" si="1109"/>
        <v>1</v>
      </c>
      <c r="N1142" s="122"/>
      <c r="O1142" s="122"/>
      <c r="P1142" s="122"/>
      <c r="Q1142" s="122"/>
      <c r="R1142" s="122"/>
    </row>
    <row r="1143" ht="15.75" customHeight="1">
      <c r="A1143" s="205">
        <v>1.2099321E7</v>
      </c>
      <c r="B1143" s="106" t="s">
        <v>2296</v>
      </c>
      <c r="C1143" s="200"/>
      <c r="D1143" s="200"/>
      <c r="E1143" s="202"/>
      <c r="F1143" s="202"/>
      <c r="G1143" s="200"/>
      <c r="H1143" s="200"/>
      <c r="I1143" s="99"/>
      <c r="K1143" s="122"/>
      <c r="L1143" s="99">
        <f t="shared" ref="L1143:M1143" si="1110">COUNTIF(A1143:A2313,A1143)</f>
        <v>1</v>
      </c>
      <c r="M1143" s="99">
        <f t="shared" si="1110"/>
        <v>1</v>
      </c>
      <c r="N1143" s="122"/>
      <c r="O1143" s="122"/>
      <c r="P1143" s="122"/>
      <c r="Q1143" s="122"/>
      <c r="R1143" s="122"/>
    </row>
    <row r="1144" ht="15.75" customHeight="1">
      <c r="A1144" s="205">
        <v>1.2099322E7</v>
      </c>
      <c r="B1144" s="106" t="s">
        <v>2297</v>
      </c>
      <c r="C1144" s="200"/>
      <c r="D1144" s="200"/>
      <c r="E1144" s="201" t="s">
        <v>235</v>
      </c>
      <c r="F1144" s="202"/>
      <c r="G1144" s="200"/>
      <c r="H1144" s="200"/>
      <c r="I1144" s="99"/>
      <c r="K1144" s="122"/>
      <c r="L1144" s="99">
        <f t="shared" ref="L1144:M1144" si="1111">COUNTIF(A1144:A2314,A1144)</f>
        <v>1</v>
      </c>
      <c r="M1144" s="99">
        <f t="shared" si="1111"/>
        <v>1</v>
      </c>
      <c r="N1144" s="122"/>
      <c r="O1144" s="122"/>
      <c r="P1144" s="122"/>
      <c r="Q1144" s="122"/>
      <c r="R1144" s="122"/>
    </row>
    <row r="1145" ht="15.75" customHeight="1">
      <c r="A1145" s="205">
        <v>1.2099323E7</v>
      </c>
      <c r="B1145" s="106" t="s">
        <v>2298</v>
      </c>
      <c r="C1145" s="200"/>
      <c r="D1145" s="200"/>
      <c r="E1145" s="202"/>
      <c r="F1145" s="202"/>
      <c r="G1145" s="200"/>
      <c r="H1145" s="200"/>
      <c r="I1145" s="99"/>
      <c r="K1145" s="122"/>
      <c r="L1145" s="99">
        <f t="shared" ref="L1145:M1145" si="1112">COUNTIF(A1145:A2315,A1145)</f>
        <v>1</v>
      </c>
      <c r="M1145" s="99">
        <f t="shared" si="1112"/>
        <v>1</v>
      </c>
      <c r="N1145" s="122"/>
      <c r="O1145" s="122"/>
      <c r="P1145" s="122"/>
      <c r="Q1145" s="122"/>
      <c r="R1145" s="122"/>
    </row>
    <row r="1146" ht="15.75" customHeight="1">
      <c r="A1146" s="205">
        <v>1.2099324E7</v>
      </c>
      <c r="B1146" s="106" t="s">
        <v>2299</v>
      </c>
      <c r="C1146" s="200"/>
      <c r="D1146" s="200"/>
      <c r="E1146" s="201" t="s">
        <v>235</v>
      </c>
      <c r="F1146" s="202"/>
      <c r="G1146" s="200"/>
      <c r="H1146" s="200"/>
      <c r="I1146" s="99"/>
      <c r="K1146" s="122"/>
      <c r="L1146" s="99">
        <f t="shared" ref="L1146:M1146" si="1113">COUNTIF(A1146:A2316,A1146)</f>
        <v>1</v>
      </c>
      <c r="M1146" s="99">
        <f t="shared" si="1113"/>
        <v>1</v>
      </c>
      <c r="N1146" s="122"/>
      <c r="O1146" s="122"/>
      <c r="P1146" s="122"/>
      <c r="Q1146" s="122"/>
      <c r="R1146" s="122"/>
    </row>
    <row r="1147" ht="15.75" customHeight="1">
      <c r="A1147" s="205">
        <v>1.20984E7</v>
      </c>
      <c r="B1147" s="206" t="s">
        <v>2300</v>
      </c>
      <c r="C1147" s="200"/>
      <c r="D1147" s="200"/>
      <c r="E1147" s="202"/>
      <c r="F1147" s="202"/>
      <c r="G1147" s="200"/>
      <c r="H1147" s="200"/>
      <c r="I1147" s="99"/>
      <c r="K1147" s="127"/>
      <c r="L1147" s="99">
        <f t="shared" ref="L1147:M1147" si="1114">COUNTIF(A1147:A2317,A1147)</f>
        <v>1</v>
      </c>
      <c r="M1147" s="99">
        <f t="shared" si="1114"/>
        <v>1</v>
      </c>
      <c r="N1147" s="127"/>
      <c r="O1147" s="127"/>
      <c r="P1147" s="127"/>
      <c r="Q1147" s="127"/>
      <c r="R1147" s="127"/>
    </row>
    <row r="1148" ht="15.75" customHeight="1">
      <c r="A1148" s="205">
        <v>1.2098401E7</v>
      </c>
      <c r="B1148" s="206" t="s">
        <v>2301</v>
      </c>
      <c r="C1148" s="200"/>
      <c r="D1148" s="200"/>
      <c r="E1148" s="207" t="s">
        <v>2302</v>
      </c>
      <c r="F1148" s="207" t="s">
        <v>2303</v>
      </c>
      <c r="G1148" s="200"/>
      <c r="H1148" s="200"/>
      <c r="I1148" s="99"/>
      <c r="K1148" s="84"/>
      <c r="L1148" s="99">
        <f t="shared" ref="L1148:M1148" si="1115">COUNTIF(A1148:A2318,A1148)</f>
        <v>1</v>
      </c>
      <c r="M1148" s="99">
        <f t="shared" si="1115"/>
        <v>1</v>
      </c>
      <c r="N1148" s="84"/>
      <c r="O1148" s="84"/>
      <c r="P1148" s="84"/>
      <c r="Q1148" s="84"/>
      <c r="R1148" s="84"/>
    </row>
    <row r="1149" ht="15.75" customHeight="1">
      <c r="A1149" s="205">
        <v>1.209841E7</v>
      </c>
      <c r="B1149" s="206" t="s">
        <v>2304</v>
      </c>
      <c r="C1149" s="200"/>
      <c r="D1149" s="200"/>
      <c r="E1149" s="202"/>
      <c r="F1149" s="202"/>
      <c r="G1149" s="200"/>
      <c r="H1149" s="200"/>
      <c r="I1149" s="99"/>
      <c r="K1149" s="84"/>
      <c r="L1149" s="99">
        <f t="shared" ref="L1149:M1149" si="1116">COUNTIF(A1149:A2319,A1149)</f>
        <v>1</v>
      </c>
      <c r="M1149" s="99">
        <f t="shared" si="1116"/>
        <v>1</v>
      </c>
      <c r="N1149" s="84"/>
      <c r="O1149" s="84"/>
      <c r="P1149" s="84"/>
      <c r="Q1149" s="84"/>
      <c r="R1149" s="84"/>
    </row>
    <row r="1150" ht="15.75" customHeight="1">
      <c r="A1150" s="205">
        <v>1.2098411E7</v>
      </c>
      <c r="B1150" s="206" t="s">
        <v>2305</v>
      </c>
      <c r="C1150" s="200"/>
      <c r="D1150" s="200"/>
      <c r="E1150" s="207" t="s">
        <v>2302</v>
      </c>
      <c r="F1150" s="207" t="s">
        <v>2303</v>
      </c>
      <c r="G1150" s="200"/>
      <c r="H1150" s="200"/>
      <c r="I1150" s="99"/>
      <c r="K1150" s="84"/>
      <c r="L1150" s="99">
        <f t="shared" ref="L1150:M1150" si="1117">COUNTIF(A1150:A2320,A1150)</f>
        <v>1</v>
      </c>
      <c r="M1150" s="99">
        <f t="shared" si="1117"/>
        <v>1</v>
      </c>
      <c r="N1150" s="84"/>
      <c r="O1150" s="84"/>
      <c r="P1150" s="84"/>
      <c r="Q1150" s="84"/>
      <c r="R1150" s="84"/>
    </row>
    <row r="1151" ht="15.75" customHeight="1">
      <c r="A1151" s="205">
        <v>1.209842E7</v>
      </c>
      <c r="B1151" s="206" t="s">
        <v>2306</v>
      </c>
      <c r="C1151" s="200"/>
      <c r="D1151" s="200"/>
      <c r="E1151" s="202"/>
      <c r="F1151" s="202"/>
      <c r="G1151" s="200"/>
      <c r="H1151" s="200"/>
      <c r="I1151" s="99"/>
      <c r="K1151" s="84"/>
      <c r="L1151" s="99">
        <f t="shared" ref="L1151:M1151" si="1118">COUNTIF(A1151:A2321,A1151)</f>
        <v>1</v>
      </c>
      <c r="M1151" s="99">
        <f t="shared" si="1118"/>
        <v>1</v>
      </c>
      <c r="N1151" s="84"/>
      <c r="O1151" s="84"/>
      <c r="P1151" s="84"/>
      <c r="Q1151" s="84"/>
      <c r="R1151" s="84"/>
    </row>
    <row r="1152" ht="15.75" customHeight="1">
      <c r="A1152" s="205">
        <v>1.2098421E7</v>
      </c>
      <c r="B1152" s="206" t="s">
        <v>2307</v>
      </c>
      <c r="C1152" s="200"/>
      <c r="D1152" s="200"/>
      <c r="E1152" s="207" t="s">
        <v>2302</v>
      </c>
      <c r="F1152" s="207" t="s">
        <v>2303</v>
      </c>
      <c r="G1152" s="200"/>
      <c r="H1152" s="200"/>
      <c r="I1152" s="99"/>
      <c r="K1152" s="84"/>
      <c r="L1152" s="99">
        <f t="shared" ref="L1152:M1152" si="1119">COUNTIF(A1152:A2322,A1152)</f>
        <v>1</v>
      </c>
      <c r="M1152" s="99">
        <f t="shared" si="1119"/>
        <v>1</v>
      </c>
      <c r="N1152" s="84"/>
      <c r="O1152" s="84"/>
      <c r="P1152" s="84"/>
      <c r="Q1152" s="84"/>
      <c r="R1152" s="84"/>
    </row>
    <row r="1153" ht="15.75" customHeight="1">
      <c r="A1153" s="208">
        <v>1.2098001E7</v>
      </c>
      <c r="B1153" s="209" t="s">
        <v>2308</v>
      </c>
      <c r="C1153" s="200"/>
      <c r="D1153" s="200"/>
      <c r="E1153" s="202"/>
      <c r="F1153" s="202"/>
      <c r="G1153" s="200"/>
      <c r="H1153" s="200"/>
      <c r="I1153" s="99"/>
      <c r="K1153" s="84"/>
      <c r="L1153" s="99">
        <f t="shared" ref="L1153:M1153" si="1120">COUNTIF(A1153:A2323,A1153)</f>
        <v>1</v>
      </c>
      <c r="M1153" s="99">
        <f t="shared" si="1120"/>
        <v>1</v>
      </c>
      <c r="N1153" s="84"/>
      <c r="O1153" s="84"/>
      <c r="P1153" s="84"/>
      <c r="Q1153" s="84"/>
      <c r="R1153" s="84"/>
    </row>
    <row r="1154" ht="15.75" customHeight="1">
      <c r="A1154" s="208">
        <v>1.2098002E7</v>
      </c>
      <c r="B1154" s="209" t="s">
        <v>2309</v>
      </c>
      <c r="C1154" s="200"/>
      <c r="D1154" s="200"/>
      <c r="E1154" s="202"/>
      <c r="F1154" s="202"/>
      <c r="G1154" s="200"/>
      <c r="H1154" s="200"/>
      <c r="I1154" s="99"/>
      <c r="K1154" s="84"/>
      <c r="L1154" s="99">
        <f t="shared" ref="L1154:M1154" si="1121">COUNTIF(A1154:A2324,A1154)</f>
        <v>1</v>
      </c>
      <c r="M1154" s="99">
        <f t="shared" si="1121"/>
        <v>1</v>
      </c>
      <c r="N1154" s="84"/>
      <c r="O1154" s="84"/>
      <c r="P1154" s="84"/>
      <c r="Q1154" s="84"/>
      <c r="R1154" s="84"/>
    </row>
    <row r="1155" ht="15.75" customHeight="1">
      <c r="A1155" s="208">
        <v>1.2098003E7</v>
      </c>
      <c r="B1155" s="209" t="s">
        <v>2310</v>
      </c>
      <c r="C1155" s="200"/>
      <c r="D1155" s="200"/>
      <c r="E1155" s="202"/>
      <c r="F1155" s="202"/>
      <c r="G1155" s="200"/>
      <c r="H1155" s="200"/>
      <c r="I1155" s="99"/>
      <c r="K1155" s="84"/>
      <c r="L1155" s="99">
        <f t="shared" ref="L1155:M1155" si="1122">COUNTIF(A1155:A2325,A1155)</f>
        <v>1</v>
      </c>
      <c r="M1155" s="99">
        <f t="shared" si="1122"/>
        <v>1</v>
      </c>
      <c r="N1155" s="84"/>
      <c r="O1155" s="84"/>
      <c r="P1155" s="84"/>
      <c r="Q1155" s="84"/>
      <c r="R1155" s="84"/>
    </row>
    <row r="1156" ht="15.75" customHeight="1">
      <c r="A1156" s="208">
        <v>1.2098004E7</v>
      </c>
      <c r="B1156" s="209" t="s">
        <v>2311</v>
      </c>
      <c r="C1156" s="200"/>
      <c r="D1156" s="200"/>
      <c r="E1156" s="202"/>
      <c r="F1156" s="202"/>
      <c r="G1156" s="200"/>
      <c r="H1156" s="200"/>
      <c r="I1156" s="99"/>
      <c r="K1156" s="84"/>
      <c r="L1156" s="99">
        <f t="shared" ref="L1156:M1156" si="1123">COUNTIF(A1156:A2326,A1156)</f>
        <v>1</v>
      </c>
      <c r="M1156" s="99">
        <f t="shared" si="1123"/>
        <v>1</v>
      </c>
      <c r="N1156" s="84"/>
      <c r="O1156" s="84"/>
      <c r="P1156" s="84"/>
      <c r="Q1156" s="84"/>
      <c r="R1156" s="84"/>
    </row>
    <row r="1157" ht="15.75" customHeight="1">
      <c r="A1157" s="208">
        <v>1.2098005E7</v>
      </c>
      <c r="B1157" s="209" t="s">
        <v>2312</v>
      </c>
      <c r="C1157" s="200"/>
      <c r="D1157" s="200"/>
      <c r="E1157" s="202"/>
      <c r="F1157" s="202"/>
      <c r="G1157" s="200"/>
      <c r="H1157" s="200"/>
      <c r="I1157" s="99"/>
      <c r="K1157" s="84"/>
      <c r="L1157" s="99">
        <f t="shared" ref="L1157:M1157" si="1124">COUNTIF(A1157:A2327,A1157)</f>
        <v>1</v>
      </c>
      <c r="M1157" s="99">
        <f t="shared" si="1124"/>
        <v>1</v>
      </c>
      <c r="N1157" s="84"/>
      <c r="O1157" s="84"/>
      <c r="P1157" s="84"/>
      <c r="Q1157" s="84"/>
      <c r="R1157" s="84"/>
    </row>
    <row r="1158" ht="15.75" customHeight="1">
      <c r="A1158" s="208">
        <v>1.2098006E7</v>
      </c>
      <c r="B1158" s="209" t="s">
        <v>2313</v>
      </c>
      <c r="C1158" s="200"/>
      <c r="D1158" s="200"/>
      <c r="E1158" s="202"/>
      <c r="F1158" s="202"/>
      <c r="G1158" s="200"/>
      <c r="H1158" s="200"/>
      <c r="I1158" s="99"/>
      <c r="K1158" s="84"/>
      <c r="L1158" s="99">
        <f t="shared" ref="L1158:M1158" si="1125">COUNTIF(A1158:A2328,A1158)</f>
        <v>1</v>
      </c>
      <c r="M1158" s="99">
        <f t="shared" si="1125"/>
        <v>1</v>
      </c>
      <c r="N1158" s="84"/>
      <c r="O1158" s="84"/>
      <c r="P1158" s="84"/>
      <c r="Q1158" s="84"/>
      <c r="R1158" s="84"/>
    </row>
    <row r="1159" ht="15.75" customHeight="1">
      <c r="A1159" s="208">
        <v>1.2098007E7</v>
      </c>
      <c r="B1159" s="209" t="s">
        <v>2314</v>
      </c>
      <c r="C1159" s="200"/>
      <c r="D1159" s="200"/>
      <c r="E1159" s="202"/>
      <c r="F1159" s="202"/>
      <c r="G1159" s="200"/>
      <c r="H1159" s="200"/>
      <c r="I1159" s="99"/>
      <c r="K1159" s="84"/>
      <c r="L1159" s="99">
        <f t="shared" ref="L1159:M1159" si="1126">COUNTIF(A1159:A2329,A1159)</f>
        <v>1</v>
      </c>
      <c r="M1159" s="99">
        <f t="shared" si="1126"/>
        <v>1</v>
      </c>
      <c r="N1159" s="84"/>
      <c r="O1159" s="84"/>
      <c r="P1159" s="84"/>
      <c r="Q1159" s="84"/>
      <c r="R1159" s="84"/>
    </row>
    <row r="1160" ht="15.75" customHeight="1">
      <c r="A1160" s="208">
        <v>1.2098008E7</v>
      </c>
      <c r="B1160" s="209" t="s">
        <v>2315</v>
      </c>
      <c r="C1160" s="200"/>
      <c r="D1160" s="200"/>
      <c r="E1160" s="202"/>
      <c r="F1160" s="202"/>
      <c r="G1160" s="200"/>
      <c r="H1160" s="200"/>
      <c r="I1160" s="99"/>
      <c r="K1160" s="84"/>
      <c r="L1160" s="99">
        <f t="shared" ref="L1160:M1160" si="1127">COUNTIF(A1160:A2330,A1160)</f>
        <v>1</v>
      </c>
      <c r="M1160" s="99">
        <f t="shared" si="1127"/>
        <v>1</v>
      </c>
      <c r="N1160" s="84"/>
      <c r="O1160" s="84"/>
      <c r="P1160" s="84"/>
      <c r="Q1160" s="84"/>
      <c r="R1160" s="84"/>
    </row>
    <row r="1161" ht="15.75" customHeight="1">
      <c r="A1161" s="208">
        <v>1.2098009E7</v>
      </c>
      <c r="B1161" s="209" t="s">
        <v>2316</v>
      </c>
      <c r="C1161" s="200"/>
      <c r="D1161" s="200"/>
      <c r="E1161" s="202"/>
      <c r="F1161" s="202"/>
      <c r="G1161" s="200"/>
      <c r="H1161" s="200"/>
      <c r="I1161" s="99"/>
      <c r="K1161" s="84"/>
      <c r="L1161" s="99">
        <f t="shared" ref="L1161:M1161" si="1128">COUNTIF(A1161:A2331,A1161)</f>
        <v>1</v>
      </c>
      <c r="M1161" s="99">
        <f t="shared" si="1128"/>
        <v>1</v>
      </c>
      <c r="N1161" s="84"/>
      <c r="O1161" s="84"/>
      <c r="P1161" s="84"/>
      <c r="Q1161" s="84"/>
      <c r="R1161" s="84"/>
    </row>
    <row r="1162" ht="15.75" customHeight="1">
      <c r="A1162" s="208">
        <v>1.209801E7</v>
      </c>
      <c r="B1162" s="209" t="s">
        <v>2317</v>
      </c>
      <c r="C1162" s="200"/>
      <c r="D1162" s="200"/>
      <c r="E1162" s="202"/>
      <c r="F1162" s="202"/>
      <c r="G1162" s="200"/>
      <c r="H1162" s="200"/>
      <c r="I1162" s="99"/>
      <c r="K1162" s="84"/>
      <c r="L1162" s="99">
        <f t="shared" ref="L1162:M1162" si="1129">COUNTIF(A1162:A2332,A1162)</f>
        <v>1</v>
      </c>
      <c r="M1162" s="99">
        <f t="shared" si="1129"/>
        <v>1</v>
      </c>
      <c r="N1162" s="84"/>
      <c r="O1162" s="84"/>
      <c r="P1162" s="84"/>
      <c r="Q1162" s="84"/>
      <c r="R1162" s="84"/>
    </row>
    <row r="1163" ht="15.75" customHeight="1">
      <c r="A1163" s="208">
        <v>1.2098011E7</v>
      </c>
      <c r="B1163" s="209" t="s">
        <v>2318</v>
      </c>
      <c r="C1163" s="200"/>
      <c r="D1163" s="200"/>
      <c r="E1163" s="202"/>
      <c r="F1163" s="202"/>
      <c r="G1163" s="200"/>
      <c r="H1163" s="200"/>
      <c r="I1163" s="99"/>
      <c r="K1163" s="84"/>
      <c r="L1163" s="99">
        <f t="shared" ref="L1163:M1163" si="1130">COUNTIF(A1163:A2333,A1163)</f>
        <v>1</v>
      </c>
      <c r="M1163" s="99">
        <f t="shared" si="1130"/>
        <v>1</v>
      </c>
      <c r="N1163" s="84"/>
      <c r="O1163" s="84"/>
      <c r="P1163" s="84"/>
      <c r="Q1163" s="84"/>
      <c r="R1163" s="84"/>
    </row>
    <row r="1164" ht="15.75" customHeight="1">
      <c r="A1164" s="208">
        <v>1.2098012E7</v>
      </c>
      <c r="B1164" s="209" t="s">
        <v>2319</v>
      </c>
      <c r="C1164" s="200"/>
      <c r="D1164" s="200"/>
      <c r="E1164" s="202"/>
      <c r="F1164" s="202"/>
      <c r="G1164" s="200"/>
      <c r="H1164" s="200"/>
      <c r="I1164" s="99"/>
      <c r="K1164" s="84"/>
      <c r="L1164" s="99">
        <f t="shared" ref="L1164:M1164" si="1131">COUNTIF(A1164:A2334,A1164)</f>
        <v>1</v>
      </c>
      <c r="M1164" s="99">
        <f t="shared" si="1131"/>
        <v>1</v>
      </c>
      <c r="N1164" s="84"/>
      <c r="O1164" s="84"/>
      <c r="P1164" s="84"/>
      <c r="Q1164" s="84"/>
      <c r="R1164" s="84"/>
    </row>
    <row r="1165" ht="15.75" customHeight="1">
      <c r="A1165" s="208">
        <v>1.2098013E7</v>
      </c>
      <c r="B1165" s="206" t="s">
        <v>2320</v>
      </c>
      <c r="C1165" s="200"/>
      <c r="D1165" s="200"/>
      <c r="E1165" s="202"/>
      <c r="F1165" s="202"/>
      <c r="G1165" s="200"/>
      <c r="H1165" s="200"/>
      <c r="I1165" s="99"/>
      <c r="K1165" s="84"/>
      <c r="L1165" s="99">
        <f t="shared" ref="L1165:M1165" si="1132">COUNTIF(A1165:A2335,A1165)</f>
        <v>1</v>
      </c>
      <c r="M1165" s="99">
        <f t="shared" si="1132"/>
        <v>1</v>
      </c>
      <c r="N1165" s="84"/>
      <c r="O1165" s="84"/>
      <c r="P1165" s="84"/>
      <c r="Q1165" s="84"/>
      <c r="R1165" s="84"/>
    </row>
    <row r="1166" ht="15.75" customHeight="1">
      <c r="A1166" s="208">
        <v>1.2098014E7</v>
      </c>
      <c r="B1166" s="206" t="s">
        <v>2321</v>
      </c>
      <c r="C1166" s="200"/>
      <c r="D1166" s="200"/>
      <c r="E1166" s="202"/>
      <c r="F1166" s="202"/>
      <c r="G1166" s="200"/>
      <c r="H1166" s="200"/>
      <c r="I1166" s="99"/>
      <c r="K1166" s="84"/>
      <c r="L1166" s="99">
        <f t="shared" ref="L1166:M1166" si="1133">COUNTIF(A1166:A2336,A1166)</f>
        <v>1</v>
      </c>
      <c r="M1166" s="99">
        <f t="shared" si="1133"/>
        <v>1</v>
      </c>
      <c r="N1166" s="84"/>
      <c r="O1166" s="84"/>
      <c r="P1166" s="84"/>
      <c r="Q1166" s="84"/>
      <c r="R1166" s="84"/>
    </row>
    <row r="1167" ht="15.75" customHeight="1">
      <c r="A1167" s="208">
        <v>1.2098015E7</v>
      </c>
      <c r="B1167" s="206" t="s">
        <v>2322</v>
      </c>
      <c r="C1167" s="200"/>
      <c r="D1167" s="200"/>
      <c r="E1167" s="202"/>
      <c r="F1167" s="202"/>
      <c r="G1167" s="200"/>
      <c r="H1167" s="200"/>
      <c r="I1167" s="99"/>
      <c r="K1167" s="84"/>
      <c r="L1167" s="99">
        <f t="shared" ref="L1167:M1167" si="1134">COUNTIF(A1167:A2337,A1167)</f>
        <v>1</v>
      </c>
      <c r="M1167" s="99">
        <f t="shared" si="1134"/>
        <v>1</v>
      </c>
      <c r="N1167" s="84"/>
      <c r="O1167" s="84"/>
      <c r="P1167" s="84"/>
      <c r="Q1167" s="84"/>
      <c r="R1167" s="84"/>
    </row>
    <row r="1168" ht="15.75" customHeight="1">
      <c r="A1168" s="208">
        <v>1.2098016E7</v>
      </c>
      <c r="B1168" s="206" t="s">
        <v>2323</v>
      </c>
      <c r="C1168" s="200"/>
      <c r="D1168" s="200"/>
      <c r="E1168" s="202"/>
      <c r="F1168" s="202"/>
      <c r="G1168" s="200"/>
      <c r="H1168" s="200"/>
      <c r="I1168" s="99"/>
      <c r="K1168" s="84"/>
      <c r="L1168" s="99">
        <f t="shared" ref="L1168:M1168" si="1135">COUNTIF(A1168:A2338,A1168)</f>
        <v>1</v>
      </c>
      <c r="M1168" s="99">
        <f t="shared" si="1135"/>
        <v>1</v>
      </c>
      <c r="N1168" s="84"/>
      <c r="O1168" s="84"/>
      <c r="P1168" s="84"/>
      <c r="Q1168" s="84"/>
      <c r="R1168" s="84"/>
    </row>
    <row r="1169" ht="15.75" customHeight="1">
      <c r="A1169" s="208">
        <v>1.2098017E7</v>
      </c>
      <c r="B1169" s="206" t="s">
        <v>2324</v>
      </c>
      <c r="C1169" s="200"/>
      <c r="D1169" s="200"/>
      <c r="E1169" s="202"/>
      <c r="F1169" s="202"/>
      <c r="G1169" s="200"/>
      <c r="H1169" s="200"/>
      <c r="I1169" s="99"/>
      <c r="K1169" s="84"/>
      <c r="L1169" s="99">
        <f t="shared" ref="L1169:M1169" si="1136">COUNTIF(A1169:A2339,A1169)</f>
        <v>1</v>
      </c>
      <c r="M1169" s="99">
        <f t="shared" si="1136"/>
        <v>1</v>
      </c>
      <c r="N1169" s="84"/>
      <c r="O1169" s="84"/>
      <c r="P1169" s="84"/>
      <c r="Q1169" s="84"/>
      <c r="R1169" s="84"/>
    </row>
    <row r="1170" ht="15.75" customHeight="1">
      <c r="A1170" s="208">
        <v>1.2098018E7</v>
      </c>
      <c r="B1170" s="206" t="s">
        <v>2325</v>
      </c>
      <c r="C1170" s="200"/>
      <c r="D1170" s="200"/>
      <c r="E1170" s="202"/>
      <c r="F1170" s="202"/>
      <c r="G1170" s="200"/>
      <c r="H1170" s="200"/>
      <c r="I1170" s="99"/>
      <c r="K1170" s="84"/>
      <c r="L1170" s="99">
        <f t="shared" ref="L1170:M1170" si="1137">COUNTIF(A1170:A2340,A1170)</f>
        <v>1</v>
      </c>
      <c r="M1170" s="99">
        <f t="shared" si="1137"/>
        <v>1</v>
      </c>
      <c r="N1170" s="84"/>
      <c r="O1170" s="84"/>
      <c r="P1170" s="84"/>
      <c r="Q1170" s="84"/>
      <c r="R1170" s="84"/>
    </row>
    <row r="1171" ht="15.75" customHeight="1">
      <c r="A1171" s="208">
        <v>1.2098055E7</v>
      </c>
      <c r="B1171" s="206" t="s">
        <v>2326</v>
      </c>
      <c r="C1171" s="200"/>
      <c r="D1171" s="200"/>
      <c r="E1171" s="202"/>
      <c r="F1171" s="202"/>
      <c r="G1171" s="200"/>
      <c r="H1171" s="200"/>
      <c r="I1171" s="99"/>
      <c r="K1171" s="84"/>
      <c r="L1171" s="99">
        <f t="shared" ref="L1171:M1171" si="1138">COUNTIF(A1171:A2328,A1171)</f>
        <v>1</v>
      </c>
      <c r="M1171" s="99">
        <f t="shared" si="1138"/>
        <v>1</v>
      </c>
      <c r="N1171" s="84"/>
      <c r="O1171" s="84"/>
      <c r="P1171" s="84"/>
      <c r="Q1171" s="84"/>
      <c r="R1171" s="84"/>
    </row>
    <row r="1172" ht="15.75" customHeight="1">
      <c r="A1172" s="208">
        <v>1.2098019E7</v>
      </c>
      <c r="B1172" s="206" t="s">
        <v>2327</v>
      </c>
      <c r="C1172" s="200"/>
      <c r="D1172" s="200"/>
      <c r="E1172" s="202"/>
      <c r="F1172" s="202"/>
      <c r="G1172" s="200"/>
      <c r="H1172" s="200"/>
      <c r="I1172" s="99"/>
      <c r="K1172" s="84"/>
      <c r="L1172" s="99">
        <f t="shared" ref="L1172:M1172" si="1139">COUNTIF(A1172:A2329,A1172)</f>
        <v>1</v>
      </c>
      <c r="M1172" s="99">
        <f t="shared" si="1139"/>
        <v>1</v>
      </c>
      <c r="N1172" s="84"/>
      <c r="O1172" s="84"/>
      <c r="P1172" s="84"/>
      <c r="Q1172" s="84"/>
      <c r="R1172" s="84"/>
    </row>
    <row r="1173" ht="15.75" customHeight="1">
      <c r="A1173" s="208">
        <v>1.209802E7</v>
      </c>
      <c r="B1173" s="206" t="s">
        <v>2328</v>
      </c>
      <c r="C1173" s="200"/>
      <c r="D1173" s="200"/>
      <c r="E1173" s="202"/>
      <c r="F1173" s="202"/>
      <c r="G1173" s="200"/>
      <c r="H1173" s="200"/>
      <c r="I1173" s="99"/>
      <c r="K1173" s="84"/>
      <c r="L1173" s="99">
        <f t="shared" ref="L1173:M1173" si="1140">COUNTIF(A1173:A2330,A1173)</f>
        <v>1</v>
      </c>
      <c r="M1173" s="99">
        <f t="shared" si="1140"/>
        <v>1</v>
      </c>
      <c r="N1173" s="84"/>
      <c r="O1173" s="84"/>
      <c r="P1173" s="84"/>
      <c r="Q1173" s="84"/>
      <c r="R1173" s="84"/>
    </row>
    <row r="1174" ht="15.75" customHeight="1">
      <c r="A1174" s="208">
        <v>1.2098021E7</v>
      </c>
      <c r="B1174" s="206" t="s">
        <v>2329</v>
      </c>
      <c r="C1174" s="200"/>
      <c r="D1174" s="200"/>
      <c r="E1174" s="202"/>
      <c r="F1174" s="202"/>
      <c r="G1174" s="200"/>
      <c r="H1174" s="200"/>
      <c r="I1174" s="99"/>
      <c r="K1174" s="84"/>
      <c r="L1174" s="99">
        <f t="shared" ref="L1174:M1174" si="1141">COUNTIF(A1174:A2331,A1174)</f>
        <v>1</v>
      </c>
      <c r="M1174" s="99">
        <f t="shared" si="1141"/>
        <v>1</v>
      </c>
      <c r="N1174" s="84"/>
      <c r="O1174" s="84"/>
      <c r="P1174" s="84"/>
      <c r="Q1174" s="84"/>
      <c r="R1174" s="84"/>
    </row>
    <row r="1175" ht="15.75" customHeight="1">
      <c r="A1175" s="208">
        <v>1.2098022E7</v>
      </c>
      <c r="B1175" s="206" t="s">
        <v>2330</v>
      </c>
      <c r="C1175" s="200"/>
      <c r="D1175" s="200"/>
      <c r="E1175" s="202"/>
      <c r="F1175" s="202"/>
      <c r="G1175" s="200"/>
      <c r="H1175" s="200"/>
      <c r="I1175" s="99"/>
      <c r="K1175" s="84"/>
      <c r="L1175" s="99">
        <f t="shared" ref="L1175:M1175" si="1142">COUNTIF(A1175:A2332,A1175)</f>
        <v>1</v>
      </c>
      <c r="M1175" s="99">
        <f t="shared" si="1142"/>
        <v>1</v>
      </c>
      <c r="N1175" s="84"/>
      <c r="O1175" s="84"/>
      <c r="P1175" s="84"/>
      <c r="Q1175" s="84"/>
      <c r="R1175" s="84"/>
    </row>
    <row r="1176" ht="15.75" customHeight="1">
      <c r="A1176" s="208">
        <v>1.2098023E7</v>
      </c>
      <c r="B1176" s="206" t="s">
        <v>2331</v>
      </c>
      <c r="C1176" s="200"/>
      <c r="D1176" s="200"/>
      <c r="E1176" s="202"/>
      <c r="F1176" s="202"/>
      <c r="G1176" s="200"/>
      <c r="H1176" s="200"/>
      <c r="I1176" s="99"/>
      <c r="K1176" s="84"/>
      <c r="L1176" s="99">
        <f t="shared" ref="L1176:M1176" si="1143">COUNTIF(A1176:A2333,A1176)</f>
        <v>1</v>
      </c>
      <c r="M1176" s="99">
        <f t="shared" si="1143"/>
        <v>1</v>
      </c>
      <c r="N1176" s="84"/>
      <c r="O1176" s="84"/>
      <c r="P1176" s="84"/>
      <c r="Q1176" s="84"/>
      <c r="R1176" s="84"/>
    </row>
    <row r="1177" ht="15.75" customHeight="1">
      <c r="A1177" s="208">
        <v>1.2098024E7</v>
      </c>
      <c r="B1177" s="206" t="s">
        <v>2332</v>
      </c>
      <c r="C1177" s="200"/>
      <c r="D1177" s="200"/>
      <c r="E1177" s="202"/>
      <c r="F1177" s="202"/>
      <c r="G1177" s="200"/>
      <c r="H1177" s="200"/>
      <c r="I1177" s="99"/>
      <c r="K1177" s="84"/>
      <c r="L1177" s="99">
        <f t="shared" ref="L1177:M1177" si="1144">COUNTIF(A1177:A2334,A1177)</f>
        <v>1</v>
      </c>
      <c r="M1177" s="99">
        <f t="shared" si="1144"/>
        <v>1</v>
      </c>
      <c r="N1177" s="84"/>
      <c r="O1177" s="84"/>
      <c r="P1177" s="84"/>
      <c r="Q1177" s="84"/>
      <c r="R1177" s="84"/>
    </row>
    <row r="1178" ht="15.75" customHeight="1">
      <c r="A1178" s="205">
        <v>1.2098101E7</v>
      </c>
      <c r="B1178" s="206" t="s">
        <v>2333</v>
      </c>
      <c r="C1178" s="200"/>
      <c r="D1178" s="200"/>
      <c r="E1178" s="202"/>
      <c r="F1178" s="202"/>
      <c r="G1178" s="200"/>
      <c r="H1178" s="200"/>
      <c r="I1178" s="99"/>
      <c r="K1178" s="84"/>
      <c r="L1178" s="99">
        <f t="shared" ref="L1178:M1178" si="1145">COUNTIF(A1178:A2335,A1178)</f>
        <v>1</v>
      </c>
      <c r="M1178" s="99">
        <f t="shared" si="1145"/>
        <v>1</v>
      </c>
      <c r="N1178" s="84"/>
      <c r="O1178" s="84"/>
      <c r="P1178" s="84"/>
      <c r="Q1178" s="84"/>
      <c r="R1178" s="84"/>
    </row>
    <row r="1179" ht="15.75" customHeight="1">
      <c r="A1179" s="205">
        <v>1.2098102E7</v>
      </c>
      <c r="B1179" s="206" t="s">
        <v>2334</v>
      </c>
      <c r="C1179" s="200"/>
      <c r="D1179" s="200"/>
      <c r="E1179" s="202"/>
      <c r="F1179" s="202"/>
      <c r="G1179" s="200"/>
      <c r="H1179" s="200"/>
      <c r="I1179" s="99"/>
      <c r="K1179" s="84"/>
      <c r="L1179" s="99">
        <f t="shared" ref="L1179:M1179" si="1146">COUNTIF(A1179:A2336,A1179)</f>
        <v>1</v>
      </c>
      <c r="M1179" s="99">
        <f t="shared" si="1146"/>
        <v>1</v>
      </c>
      <c r="N1179" s="84"/>
      <c r="O1179" s="84"/>
      <c r="P1179" s="84"/>
      <c r="Q1179" s="84"/>
      <c r="R1179" s="84"/>
    </row>
    <row r="1180" ht="15.75" customHeight="1">
      <c r="A1180" s="205">
        <v>1.2098103E7</v>
      </c>
      <c r="B1180" s="206" t="s">
        <v>2335</v>
      </c>
      <c r="C1180" s="200"/>
      <c r="D1180" s="200"/>
      <c r="E1180" s="202"/>
      <c r="F1180" s="202"/>
      <c r="G1180" s="200"/>
      <c r="H1180" s="200"/>
      <c r="I1180" s="99"/>
      <c r="K1180" s="84"/>
      <c r="L1180" s="99">
        <f t="shared" ref="L1180:M1180" si="1147">COUNTIF(A1180:A2337,A1180)</f>
        <v>1</v>
      </c>
      <c r="M1180" s="99">
        <f t="shared" si="1147"/>
        <v>1</v>
      </c>
      <c r="N1180" s="84"/>
      <c r="O1180" s="84"/>
      <c r="P1180" s="84"/>
      <c r="Q1180" s="84"/>
      <c r="R1180" s="84"/>
    </row>
    <row r="1181" ht="15.75" customHeight="1">
      <c r="A1181" s="205">
        <v>1.2098104E7</v>
      </c>
      <c r="B1181" s="206" t="s">
        <v>2336</v>
      </c>
      <c r="C1181" s="200"/>
      <c r="D1181" s="200"/>
      <c r="E1181" s="202"/>
      <c r="F1181" s="202"/>
      <c r="G1181" s="200"/>
      <c r="H1181" s="200"/>
      <c r="I1181" s="99"/>
      <c r="K1181" s="84"/>
      <c r="L1181" s="99">
        <f t="shared" ref="L1181:M1181" si="1148">COUNTIF(A1181:A2338,A1181)</f>
        <v>1</v>
      </c>
      <c r="M1181" s="99">
        <f t="shared" si="1148"/>
        <v>1</v>
      </c>
      <c r="N1181" s="84"/>
      <c r="O1181" s="84"/>
      <c r="P1181" s="84"/>
      <c r="Q1181" s="84"/>
      <c r="R1181" s="84"/>
    </row>
    <row r="1182" ht="15.75" customHeight="1">
      <c r="A1182" s="205">
        <v>1.2098105E7</v>
      </c>
      <c r="B1182" s="206" t="s">
        <v>2337</v>
      </c>
      <c r="C1182" s="200"/>
      <c r="D1182" s="200"/>
      <c r="E1182" s="202"/>
      <c r="F1182" s="202"/>
      <c r="G1182" s="200"/>
      <c r="H1182" s="200"/>
      <c r="I1182" s="99"/>
      <c r="K1182" s="84"/>
      <c r="L1182" s="99">
        <f t="shared" ref="L1182:M1182" si="1149">COUNTIF(A1182:A2339,A1182)</f>
        <v>1</v>
      </c>
      <c r="M1182" s="99">
        <f t="shared" si="1149"/>
        <v>1</v>
      </c>
      <c r="N1182" s="84"/>
      <c r="O1182" s="84"/>
      <c r="P1182" s="84"/>
      <c r="Q1182" s="84"/>
      <c r="R1182" s="84"/>
    </row>
    <row r="1183" ht="15.75" customHeight="1">
      <c r="A1183" s="205">
        <v>1.2098106E7</v>
      </c>
      <c r="B1183" s="206" t="s">
        <v>2338</v>
      </c>
      <c r="C1183" s="200"/>
      <c r="D1183" s="200"/>
      <c r="E1183" s="202"/>
      <c r="F1183" s="202"/>
      <c r="G1183" s="200"/>
      <c r="H1183" s="200"/>
      <c r="I1183" s="99"/>
      <c r="K1183" s="84"/>
      <c r="L1183" s="99">
        <f t="shared" ref="L1183:M1183" si="1150">COUNTIF(A1183:A2340,A1183)</f>
        <v>1</v>
      </c>
      <c r="M1183" s="99">
        <f t="shared" si="1150"/>
        <v>1</v>
      </c>
      <c r="N1183" s="84"/>
      <c r="O1183" s="84"/>
      <c r="P1183" s="84"/>
      <c r="Q1183" s="84"/>
      <c r="R1183" s="84"/>
    </row>
    <row r="1184" ht="15.75" customHeight="1">
      <c r="A1184" s="205">
        <v>1.2098107E7</v>
      </c>
      <c r="B1184" s="206" t="s">
        <v>2339</v>
      </c>
      <c r="C1184" s="200"/>
      <c r="D1184" s="200"/>
      <c r="E1184" s="202"/>
      <c r="F1184" s="202"/>
      <c r="G1184" s="200"/>
      <c r="H1184" s="200"/>
      <c r="I1184" s="99"/>
      <c r="K1184" s="84"/>
      <c r="L1184" s="99">
        <f t="shared" ref="L1184:M1184" si="1151">COUNTIF(A1184:A2341,A1184)</f>
        <v>1</v>
      </c>
      <c r="M1184" s="99">
        <f t="shared" si="1151"/>
        <v>1</v>
      </c>
      <c r="N1184" s="84"/>
      <c r="O1184" s="84"/>
      <c r="P1184" s="84"/>
      <c r="Q1184" s="84"/>
      <c r="R1184" s="84"/>
    </row>
    <row r="1185" ht="15.75" customHeight="1">
      <c r="A1185" s="205">
        <v>1.2098108E7</v>
      </c>
      <c r="B1185" s="206" t="s">
        <v>2340</v>
      </c>
      <c r="C1185" s="200"/>
      <c r="D1185" s="200"/>
      <c r="E1185" s="202"/>
      <c r="F1185" s="202"/>
      <c r="G1185" s="200"/>
      <c r="H1185" s="200"/>
      <c r="I1185" s="99"/>
      <c r="K1185" s="84"/>
      <c r="L1185" s="99">
        <f t="shared" ref="L1185:M1185" si="1152">COUNTIF(A1185:A2342,A1185)</f>
        <v>1</v>
      </c>
      <c r="M1185" s="99">
        <f t="shared" si="1152"/>
        <v>1</v>
      </c>
      <c r="N1185" s="84"/>
      <c r="O1185" s="84"/>
      <c r="P1185" s="84"/>
      <c r="Q1185" s="84"/>
      <c r="R1185" s="84"/>
    </row>
    <row r="1186" ht="15.75" customHeight="1">
      <c r="A1186" s="205">
        <v>1.2098109E7</v>
      </c>
      <c r="B1186" s="206" t="s">
        <v>2341</v>
      </c>
      <c r="C1186" s="200"/>
      <c r="D1186" s="200"/>
      <c r="E1186" s="202"/>
      <c r="F1186" s="202"/>
      <c r="G1186" s="200"/>
      <c r="H1186" s="200"/>
      <c r="I1186" s="99"/>
      <c r="K1186" s="84"/>
      <c r="L1186" s="99">
        <f t="shared" ref="L1186:M1186" si="1153">COUNTIF(A1186:A2343,A1186)</f>
        <v>1</v>
      </c>
      <c r="M1186" s="99">
        <f t="shared" si="1153"/>
        <v>1</v>
      </c>
      <c r="N1186" s="84"/>
      <c r="O1186" s="84"/>
      <c r="P1186" s="84"/>
      <c r="Q1186" s="84"/>
      <c r="R1186" s="84"/>
    </row>
    <row r="1187" ht="15.75" customHeight="1">
      <c r="A1187" s="205">
        <v>1.209811E7</v>
      </c>
      <c r="B1187" s="206" t="s">
        <v>2342</v>
      </c>
      <c r="C1187" s="200"/>
      <c r="D1187" s="200"/>
      <c r="E1187" s="202"/>
      <c r="F1187" s="202"/>
      <c r="G1187" s="200"/>
      <c r="H1187" s="200"/>
      <c r="I1187" s="99"/>
      <c r="K1187" s="84"/>
      <c r="L1187" s="99">
        <f t="shared" ref="L1187:M1187" si="1154">COUNTIF(A1187:A2344,A1187)</f>
        <v>1</v>
      </c>
      <c r="M1187" s="99">
        <f t="shared" si="1154"/>
        <v>1</v>
      </c>
      <c r="N1187" s="84"/>
      <c r="O1187" s="84"/>
      <c r="P1187" s="84"/>
      <c r="Q1187" s="84"/>
      <c r="R1187" s="84"/>
    </row>
    <row r="1188" ht="15.75" customHeight="1">
      <c r="A1188" s="205">
        <v>1.2098111E7</v>
      </c>
      <c r="B1188" s="206" t="s">
        <v>2343</v>
      </c>
      <c r="C1188" s="200"/>
      <c r="D1188" s="200"/>
      <c r="E1188" s="202"/>
      <c r="F1188" s="202"/>
      <c r="G1188" s="200"/>
      <c r="H1188" s="200"/>
      <c r="I1188" s="99"/>
      <c r="K1188" s="84"/>
      <c r="L1188" s="99">
        <f t="shared" ref="L1188:M1188" si="1155">COUNTIF(A1188:A2345,A1188)</f>
        <v>1</v>
      </c>
      <c r="M1188" s="99">
        <f t="shared" si="1155"/>
        <v>1</v>
      </c>
      <c r="N1188" s="84"/>
      <c r="O1188" s="84"/>
      <c r="P1188" s="84"/>
      <c r="Q1188" s="84"/>
      <c r="R1188" s="84"/>
    </row>
    <row r="1189" ht="15.75" customHeight="1">
      <c r="A1189" s="205">
        <v>1.2098112E7</v>
      </c>
      <c r="B1189" s="206" t="s">
        <v>2344</v>
      </c>
      <c r="C1189" s="200"/>
      <c r="D1189" s="200"/>
      <c r="E1189" s="202"/>
      <c r="F1189" s="202"/>
      <c r="G1189" s="200"/>
      <c r="H1189" s="200"/>
      <c r="I1189" s="99"/>
      <c r="K1189" s="84"/>
      <c r="L1189" s="99">
        <f t="shared" ref="L1189:M1189" si="1156">COUNTIF(A1189:A2346,A1189)</f>
        <v>1</v>
      </c>
      <c r="M1189" s="99">
        <f t="shared" si="1156"/>
        <v>1</v>
      </c>
      <c r="N1189" s="84"/>
      <c r="O1189" s="84"/>
      <c r="P1189" s="84"/>
      <c r="Q1189" s="84"/>
      <c r="R1189" s="84"/>
    </row>
    <row r="1190" ht="15.75" customHeight="1">
      <c r="A1190" s="208">
        <v>1.2098113E7</v>
      </c>
      <c r="B1190" s="206" t="s">
        <v>2345</v>
      </c>
      <c r="C1190" s="200"/>
      <c r="D1190" s="200"/>
      <c r="E1190" s="202"/>
      <c r="F1190" s="202"/>
      <c r="G1190" s="200"/>
      <c r="H1190" s="200"/>
      <c r="I1190" s="99"/>
      <c r="K1190" s="84"/>
      <c r="L1190" s="99"/>
      <c r="M1190" s="99"/>
      <c r="N1190" s="84"/>
      <c r="O1190" s="84"/>
      <c r="P1190" s="84"/>
      <c r="Q1190" s="84"/>
      <c r="R1190" s="84"/>
    </row>
    <row r="1191" ht="15.75" customHeight="1">
      <c r="A1191" s="208">
        <v>1.2098114E7</v>
      </c>
      <c r="B1191" s="206" t="s">
        <v>2346</v>
      </c>
      <c r="C1191" s="200"/>
      <c r="D1191" s="200"/>
      <c r="E1191" s="202"/>
      <c r="F1191" s="202"/>
      <c r="G1191" s="200"/>
      <c r="H1191" s="200"/>
      <c r="I1191" s="99"/>
      <c r="K1191" s="84"/>
      <c r="L1191" s="99"/>
      <c r="M1191" s="99"/>
      <c r="N1191" s="84"/>
      <c r="O1191" s="84"/>
      <c r="P1191" s="84"/>
      <c r="Q1191" s="84"/>
      <c r="R1191" s="84"/>
    </row>
    <row r="1192" ht="15.75" customHeight="1">
      <c r="A1192" s="208">
        <v>1.2098115E7</v>
      </c>
      <c r="B1192" s="206" t="s">
        <v>2347</v>
      </c>
      <c r="C1192" s="200"/>
      <c r="D1192" s="200"/>
      <c r="E1192" s="202"/>
      <c r="F1192" s="202"/>
      <c r="G1192" s="200"/>
      <c r="H1192" s="200"/>
      <c r="I1192" s="99"/>
      <c r="K1192" s="84"/>
      <c r="L1192" s="99"/>
      <c r="M1192" s="99"/>
      <c r="N1192" s="84"/>
      <c r="O1192" s="84"/>
      <c r="P1192" s="84"/>
      <c r="Q1192" s="84"/>
      <c r="R1192" s="84"/>
    </row>
    <row r="1193" ht="15.75" customHeight="1">
      <c r="A1193" s="208">
        <v>1.2098116E7</v>
      </c>
      <c r="B1193" s="206" t="s">
        <v>2348</v>
      </c>
      <c r="C1193" s="200"/>
      <c r="D1193" s="200"/>
      <c r="E1193" s="202"/>
      <c r="F1193" s="202"/>
      <c r="G1193" s="200"/>
      <c r="H1193" s="200"/>
      <c r="I1193" s="99"/>
      <c r="K1193" s="84"/>
      <c r="L1193" s="99"/>
      <c r="M1193" s="99"/>
      <c r="N1193" s="84"/>
      <c r="O1193" s="84"/>
      <c r="P1193" s="84"/>
      <c r="Q1193" s="84"/>
      <c r="R1193" s="84"/>
    </row>
    <row r="1194" ht="15.75" customHeight="1">
      <c r="A1194" s="208">
        <v>1.2098117E7</v>
      </c>
      <c r="B1194" s="206" t="s">
        <v>2349</v>
      </c>
      <c r="C1194" s="200"/>
      <c r="D1194" s="200"/>
      <c r="E1194" s="202"/>
      <c r="F1194" s="202"/>
      <c r="G1194" s="200"/>
      <c r="H1194" s="200"/>
      <c r="I1194" s="99"/>
      <c r="K1194" s="84"/>
      <c r="L1194" s="99"/>
      <c r="M1194" s="99"/>
      <c r="N1194" s="84"/>
      <c r="O1194" s="84"/>
      <c r="P1194" s="84"/>
      <c r="Q1194" s="84"/>
      <c r="R1194" s="84"/>
    </row>
    <row r="1195" ht="15.75" customHeight="1">
      <c r="A1195" s="208">
        <v>1.2098118E7</v>
      </c>
      <c r="B1195" s="206" t="s">
        <v>2350</v>
      </c>
      <c r="C1195" s="200"/>
      <c r="D1195" s="200"/>
      <c r="E1195" s="202"/>
      <c r="F1195" s="202"/>
      <c r="G1195" s="200"/>
      <c r="H1195" s="200"/>
      <c r="I1195" s="99"/>
      <c r="K1195" s="84"/>
      <c r="L1195" s="99"/>
      <c r="M1195" s="99"/>
      <c r="N1195" s="84"/>
      <c r="O1195" s="84"/>
      <c r="P1195" s="84"/>
      <c r="Q1195" s="84"/>
      <c r="R1195" s="84"/>
    </row>
    <row r="1196" ht="15.75" customHeight="1">
      <c r="A1196" s="208">
        <v>1.2098155E7</v>
      </c>
      <c r="B1196" s="206" t="s">
        <v>2351</v>
      </c>
      <c r="C1196" s="200"/>
      <c r="D1196" s="200"/>
      <c r="E1196" s="202"/>
      <c r="F1196" s="202"/>
      <c r="G1196" s="200"/>
      <c r="H1196" s="200"/>
      <c r="I1196" s="99"/>
      <c r="K1196" s="84"/>
      <c r="L1196" s="99"/>
      <c r="M1196" s="99"/>
      <c r="N1196" s="84"/>
      <c r="O1196" s="84"/>
      <c r="P1196" s="84"/>
      <c r="Q1196" s="84"/>
      <c r="R1196" s="84"/>
    </row>
    <row r="1197" ht="15.75" customHeight="1">
      <c r="A1197" s="208">
        <v>1.2098119E7</v>
      </c>
      <c r="B1197" s="206" t="s">
        <v>2352</v>
      </c>
      <c r="C1197" s="200"/>
      <c r="D1197" s="200"/>
      <c r="E1197" s="202"/>
      <c r="F1197" s="202"/>
      <c r="G1197" s="200"/>
      <c r="H1197" s="200"/>
      <c r="I1197" s="99"/>
      <c r="K1197" s="84"/>
      <c r="L1197" s="99"/>
      <c r="M1197" s="99"/>
      <c r="N1197" s="84"/>
      <c r="O1197" s="84"/>
      <c r="P1197" s="84"/>
      <c r="Q1197" s="84"/>
      <c r="R1197" s="84"/>
    </row>
    <row r="1198" ht="15.75" customHeight="1">
      <c r="A1198" s="208">
        <v>1.209812E7</v>
      </c>
      <c r="B1198" s="206" t="s">
        <v>2353</v>
      </c>
      <c r="C1198" s="200"/>
      <c r="D1198" s="200"/>
      <c r="E1198" s="202"/>
      <c r="F1198" s="202"/>
      <c r="G1198" s="200"/>
      <c r="H1198" s="200"/>
      <c r="I1198" s="99"/>
      <c r="K1198" s="84"/>
      <c r="L1198" s="99"/>
      <c r="M1198" s="99"/>
      <c r="N1198" s="84"/>
      <c r="O1198" s="84"/>
      <c r="P1198" s="84"/>
      <c r="Q1198" s="84"/>
      <c r="R1198" s="84"/>
    </row>
    <row r="1199" ht="15.75" customHeight="1">
      <c r="A1199" s="208">
        <v>1.2098121E7</v>
      </c>
      <c r="B1199" s="206" t="s">
        <v>2354</v>
      </c>
      <c r="C1199" s="200"/>
      <c r="D1199" s="200"/>
      <c r="E1199" s="202"/>
      <c r="F1199" s="202"/>
      <c r="G1199" s="200"/>
      <c r="H1199" s="200"/>
      <c r="I1199" s="99"/>
      <c r="K1199" s="84"/>
      <c r="L1199" s="99"/>
      <c r="M1199" s="99"/>
      <c r="N1199" s="84"/>
      <c r="O1199" s="84"/>
      <c r="P1199" s="84"/>
      <c r="Q1199" s="84"/>
      <c r="R1199" s="84"/>
    </row>
    <row r="1200" ht="15.75" customHeight="1">
      <c r="A1200" s="208">
        <v>1.2098122E7</v>
      </c>
      <c r="B1200" s="206" t="s">
        <v>2355</v>
      </c>
      <c r="C1200" s="200"/>
      <c r="D1200" s="200"/>
      <c r="E1200" s="202"/>
      <c r="F1200" s="202"/>
      <c r="G1200" s="200"/>
      <c r="H1200" s="200"/>
      <c r="I1200" s="99"/>
      <c r="K1200" s="84"/>
      <c r="L1200" s="99"/>
      <c r="M1200" s="99"/>
      <c r="N1200" s="84"/>
      <c r="O1200" s="84"/>
      <c r="P1200" s="84"/>
      <c r="Q1200" s="84"/>
      <c r="R1200" s="84"/>
    </row>
    <row r="1201" ht="15.75" customHeight="1">
      <c r="A1201" s="208">
        <v>1.2098123E7</v>
      </c>
      <c r="B1201" s="206" t="s">
        <v>2356</v>
      </c>
      <c r="C1201" s="200"/>
      <c r="D1201" s="200"/>
      <c r="E1201" s="202"/>
      <c r="F1201" s="202"/>
      <c r="G1201" s="200"/>
      <c r="H1201" s="200"/>
      <c r="I1201" s="99"/>
      <c r="K1201" s="84"/>
      <c r="L1201" s="99"/>
      <c r="M1201" s="99"/>
      <c r="N1201" s="84"/>
      <c r="O1201" s="84"/>
      <c r="P1201" s="84"/>
      <c r="Q1201" s="84"/>
      <c r="R1201" s="84"/>
    </row>
    <row r="1202" ht="15.75" customHeight="1">
      <c r="A1202" s="208">
        <v>1.2098124E7</v>
      </c>
      <c r="B1202" s="206" t="s">
        <v>2357</v>
      </c>
      <c r="C1202" s="200"/>
      <c r="D1202" s="200"/>
      <c r="E1202" s="202"/>
      <c r="F1202" s="202"/>
      <c r="G1202" s="200"/>
      <c r="H1202" s="200"/>
      <c r="I1202" s="99"/>
      <c r="K1202" s="84"/>
      <c r="L1202" s="99"/>
      <c r="M1202" s="99"/>
      <c r="N1202" s="84"/>
      <c r="O1202" s="84"/>
      <c r="P1202" s="84"/>
      <c r="Q1202" s="84"/>
      <c r="R1202" s="84"/>
    </row>
    <row r="1203" ht="15.75" customHeight="1">
      <c r="A1203" s="205">
        <v>1.2098201E7</v>
      </c>
      <c r="B1203" s="206" t="s">
        <v>2358</v>
      </c>
      <c r="C1203" s="200"/>
      <c r="D1203" s="200"/>
      <c r="E1203" s="202"/>
      <c r="F1203" s="202"/>
      <c r="G1203" s="200"/>
      <c r="H1203" s="200"/>
      <c r="I1203" s="99"/>
      <c r="K1203" s="84"/>
      <c r="L1203" s="99">
        <f t="shared" ref="L1203:M1203" si="1157">COUNTIF(A1203:A2347,A1203)</f>
        <v>1</v>
      </c>
      <c r="M1203" s="99">
        <f t="shared" si="1157"/>
        <v>1</v>
      </c>
      <c r="N1203" s="84"/>
      <c r="O1203" s="84"/>
      <c r="P1203" s="84"/>
      <c r="Q1203" s="84"/>
      <c r="R1203" s="84"/>
    </row>
    <row r="1204" ht="15.75" customHeight="1">
      <c r="A1204" s="205">
        <v>1.2098202E7</v>
      </c>
      <c r="B1204" s="206" t="s">
        <v>2359</v>
      </c>
      <c r="C1204" s="200"/>
      <c r="D1204" s="200"/>
      <c r="E1204" s="202"/>
      <c r="F1204" s="202"/>
      <c r="G1204" s="200"/>
      <c r="H1204" s="200"/>
      <c r="I1204" s="99"/>
      <c r="K1204" s="84"/>
      <c r="L1204" s="99">
        <f t="shared" ref="L1204:M1204" si="1158">COUNTIF(A1204:A2348,A1204)</f>
        <v>1</v>
      </c>
      <c r="M1204" s="99">
        <f t="shared" si="1158"/>
        <v>1</v>
      </c>
      <c r="N1204" s="84"/>
      <c r="O1204" s="84"/>
      <c r="P1204" s="84"/>
      <c r="Q1204" s="84"/>
      <c r="R1204" s="84"/>
    </row>
    <row r="1205" ht="15.75" customHeight="1">
      <c r="A1205" s="205">
        <v>1.2098203E7</v>
      </c>
      <c r="B1205" s="206" t="s">
        <v>2360</v>
      </c>
      <c r="C1205" s="200"/>
      <c r="D1205" s="200"/>
      <c r="E1205" s="202"/>
      <c r="F1205" s="202"/>
      <c r="G1205" s="200"/>
      <c r="H1205" s="200"/>
      <c r="I1205" s="99"/>
      <c r="K1205" s="84"/>
      <c r="L1205" s="99">
        <f t="shared" ref="L1205:M1205" si="1159">COUNTIF(A1205:A2349,A1205)</f>
        <v>1</v>
      </c>
      <c r="M1205" s="99">
        <f t="shared" si="1159"/>
        <v>1</v>
      </c>
      <c r="N1205" s="84"/>
      <c r="O1205" s="84"/>
      <c r="P1205" s="84"/>
      <c r="Q1205" s="84"/>
      <c r="R1205" s="84"/>
    </row>
    <row r="1206" ht="15.75" customHeight="1">
      <c r="A1206" s="205">
        <v>1.2098204E7</v>
      </c>
      <c r="B1206" s="206" t="s">
        <v>2361</v>
      </c>
      <c r="C1206" s="200"/>
      <c r="D1206" s="200"/>
      <c r="E1206" s="202"/>
      <c r="F1206" s="202"/>
      <c r="G1206" s="200"/>
      <c r="H1206" s="200"/>
      <c r="I1206" s="99"/>
      <c r="K1206" s="84"/>
      <c r="L1206" s="99">
        <f t="shared" ref="L1206:M1206" si="1160">COUNTIF(A1206:A2350,A1206)</f>
        <v>1</v>
      </c>
      <c r="M1206" s="99">
        <f t="shared" si="1160"/>
        <v>1</v>
      </c>
      <c r="N1206" s="84"/>
      <c r="O1206" s="84"/>
      <c r="P1206" s="84"/>
      <c r="Q1206" s="84"/>
      <c r="R1206" s="84"/>
    </row>
    <row r="1207" ht="15.75" customHeight="1">
      <c r="A1207" s="205">
        <v>1.2098205E7</v>
      </c>
      <c r="B1207" s="206" t="s">
        <v>2362</v>
      </c>
      <c r="C1207" s="200"/>
      <c r="D1207" s="200"/>
      <c r="E1207" s="202"/>
      <c r="F1207" s="202"/>
      <c r="G1207" s="200"/>
      <c r="H1207" s="200"/>
      <c r="I1207" s="99"/>
      <c r="K1207" s="84"/>
      <c r="L1207" s="99">
        <f t="shared" ref="L1207:M1207" si="1161">COUNTIF(A1207:A2351,A1207)</f>
        <v>1</v>
      </c>
      <c r="M1207" s="99">
        <f t="shared" si="1161"/>
        <v>1</v>
      </c>
      <c r="N1207" s="84"/>
      <c r="O1207" s="84"/>
      <c r="P1207" s="84"/>
      <c r="Q1207" s="84"/>
      <c r="R1207" s="84"/>
    </row>
    <row r="1208" ht="15.75" customHeight="1">
      <c r="A1208" s="205">
        <v>1.2098206E7</v>
      </c>
      <c r="B1208" s="206" t="s">
        <v>2363</v>
      </c>
      <c r="C1208" s="200"/>
      <c r="D1208" s="200"/>
      <c r="E1208" s="202"/>
      <c r="F1208" s="202"/>
      <c r="G1208" s="200"/>
      <c r="H1208" s="200"/>
      <c r="I1208" s="99"/>
      <c r="K1208" s="84"/>
      <c r="L1208" s="99">
        <f t="shared" ref="L1208:M1208" si="1162">COUNTIF(A1208:A2352,A1208)</f>
        <v>1</v>
      </c>
      <c r="M1208" s="99">
        <f t="shared" si="1162"/>
        <v>1</v>
      </c>
      <c r="N1208" s="84"/>
      <c r="O1208" s="84"/>
      <c r="P1208" s="84"/>
      <c r="Q1208" s="84"/>
      <c r="R1208" s="84"/>
    </row>
    <row r="1209" ht="15.75" customHeight="1">
      <c r="A1209" s="205">
        <v>1.2098207E7</v>
      </c>
      <c r="B1209" s="206" t="s">
        <v>2364</v>
      </c>
      <c r="C1209" s="200"/>
      <c r="D1209" s="200"/>
      <c r="E1209" s="202"/>
      <c r="F1209" s="202"/>
      <c r="G1209" s="200"/>
      <c r="H1209" s="200"/>
      <c r="I1209" s="99"/>
      <c r="K1209" s="84"/>
      <c r="L1209" s="99">
        <f t="shared" ref="L1209:M1209" si="1163">COUNTIF(A1209:A2353,A1209)</f>
        <v>1</v>
      </c>
      <c r="M1209" s="99">
        <f t="shared" si="1163"/>
        <v>1</v>
      </c>
      <c r="N1209" s="84"/>
      <c r="O1209" s="84"/>
      <c r="P1209" s="84"/>
      <c r="Q1209" s="84"/>
      <c r="R1209" s="84"/>
    </row>
    <row r="1210" ht="15.75" customHeight="1">
      <c r="A1210" s="205">
        <v>1.2098208E7</v>
      </c>
      <c r="B1210" s="206" t="s">
        <v>2365</v>
      </c>
      <c r="C1210" s="200"/>
      <c r="D1210" s="200"/>
      <c r="E1210" s="202"/>
      <c r="F1210" s="202"/>
      <c r="G1210" s="200"/>
      <c r="H1210" s="200"/>
      <c r="I1210" s="99"/>
      <c r="K1210" s="84"/>
      <c r="L1210" s="99">
        <f t="shared" ref="L1210:M1210" si="1164">COUNTIF(A1210:A2354,A1210)</f>
        <v>1</v>
      </c>
      <c r="M1210" s="99">
        <f t="shared" si="1164"/>
        <v>1</v>
      </c>
      <c r="N1210" s="84"/>
      <c r="O1210" s="84"/>
      <c r="P1210" s="84"/>
      <c r="Q1210" s="84"/>
      <c r="R1210" s="84"/>
    </row>
    <row r="1211" ht="15.75" customHeight="1">
      <c r="A1211" s="205">
        <v>1.2098209E7</v>
      </c>
      <c r="B1211" s="206" t="s">
        <v>2366</v>
      </c>
      <c r="C1211" s="200"/>
      <c r="D1211" s="200"/>
      <c r="E1211" s="202"/>
      <c r="F1211" s="202"/>
      <c r="G1211" s="200"/>
      <c r="H1211" s="200"/>
      <c r="I1211" s="99"/>
      <c r="K1211" s="84"/>
      <c r="L1211" s="99">
        <f t="shared" ref="L1211:M1211" si="1165">COUNTIF(A1211:A2355,A1211)</f>
        <v>1</v>
      </c>
      <c r="M1211" s="99">
        <f t="shared" si="1165"/>
        <v>1</v>
      </c>
      <c r="N1211" s="84"/>
      <c r="O1211" s="84"/>
      <c r="P1211" s="84"/>
      <c r="Q1211" s="84"/>
      <c r="R1211" s="84"/>
    </row>
    <row r="1212" ht="15.75" customHeight="1">
      <c r="A1212" s="205">
        <v>1.209821E7</v>
      </c>
      <c r="B1212" s="206" t="s">
        <v>2367</v>
      </c>
      <c r="C1212" s="200"/>
      <c r="D1212" s="200"/>
      <c r="E1212" s="202"/>
      <c r="F1212" s="202"/>
      <c r="G1212" s="200"/>
      <c r="H1212" s="200"/>
      <c r="I1212" s="99"/>
      <c r="K1212" s="84"/>
      <c r="L1212" s="99">
        <f t="shared" ref="L1212:M1212" si="1166">COUNTIF(A1212:A2356,A1212)</f>
        <v>1</v>
      </c>
      <c r="M1212" s="99">
        <f t="shared" si="1166"/>
        <v>1</v>
      </c>
      <c r="N1212" s="84"/>
      <c r="O1212" s="84"/>
      <c r="P1212" s="84"/>
      <c r="Q1212" s="84"/>
      <c r="R1212" s="84"/>
    </row>
    <row r="1213" ht="15.75" customHeight="1">
      <c r="A1213" s="205">
        <v>1.2098211E7</v>
      </c>
      <c r="B1213" s="206" t="s">
        <v>2368</v>
      </c>
      <c r="C1213" s="200"/>
      <c r="D1213" s="200"/>
      <c r="E1213" s="202"/>
      <c r="F1213" s="202"/>
      <c r="G1213" s="200"/>
      <c r="H1213" s="200"/>
      <c r="I1213" s="99"/>
      <c r="K1213" s="84"/>
      <c r="L1213" s="99">
        <f t="shared" ref="L1213:M1213" si="1167">COUNTIF(A1213:A2357,A1213)</f>
        <v>1</v>
      </c>
      <c r="M1213" s="99">
        <f t="shared" si="1167"/>
        <v>1</v>
      </c>
      <c r="N1213" s="84"/>
      <c r="O1213" s="84"/>
      <c r="P1213" s="84"/>
      <c r="Q1213" s="84"/>
      <c r="R1213" s="84"/>
    </row>
    <row r="1214" ht="15.75" customHeight="1">
      <c r="A1214" s="205">
        <v>1.2098212E7</v>
      </c>
      <c r="B1214" s="206" t="s">
        <v>2369</v>
      </c>
      <c r="C1214" s="200"/>
      <c r="D1214" s="200"/>
      <c r="E1214" s="202"/>
      <c r="F1214" s="202"/>
      <c r="G1214" s="200"/>
      <c r="H1214" s="200"/>
      <c r="I1214" s="99"/>
      <c r="K1214" s="84"/>
      <c r="L1214" s="99">
        <f t="shared" ref="L1214:M1214" si="1168">COUNTIF(A1214:A2358,A1214)</f>
        <v>1</v>
      </c>
      <c r="M1214" s="99">
        <f t="shared" si="1168"/>
        <v>1</v>
      </c>
      <c r="N1214" s="84"/>
      <c r="O1214" s="84"/>
      <c r="P1214" s="84"/>
      <c r="Q1214" s="84"/>
      <c r="R1214" s="84"/>
    </row>
    <row r="1215" ht="15.75" customHeight="1">
      <c r="A1215" s="210">
        <v>1.2098213E7</v>
      </c>
      <c r="B1215" s="210" t="s">
        <v>2370</v>
      </c>
      <c r="C1215" s="210"/>
      <c r="D1215" s="210"/>
      <c r="E1215" s="211"/>
      <c r="F1215" s="211"/>
      <c r="G1215" s="210"/>
      <c r="H1215" s="210"/>
      <c r="I1215" s="212"/>
      <c r="J1215" s="25"/>
      <c r="K1215" s="32"/>
      <c r="L1215" s="99">
        <f t="shared" ref="L1215:M1215" si="1169">COUNTIF(A1215:A2359,A1215)</f>
        <v>1</v>
      </c>
      <c r="M1215" s="99">
        <f t="shared" si="1169"/>
        <v>1</v>
      </c>
      <c r="N1215" s="32"/>
      <c r="O1215" s="32"/>
      <c r="P1215" s="32"/>
      <c r="Q1215" s="32"/>
      <c r="R1215" s="32"/>
    </row>
    <row r="1216" ht="15.75" customHeight="1">
      <c r="A1216" s="210">
        <v>1.2098214E7</v>
      </c>
      <c r="B1216" s="210" t="s">
        <v>2371</v>
      </c>
      <c r="C1216" s="210"/>
      <c r="D1216" s="210"/>
      <c r="E1216" s="211"/>
      <c r="F1216" s="211"/>
      <c r="G1216" s="210"/>
      <c r="H1216" s="210"/>
      <c r="I1216" s="212"/>
      <c r="J1216" s="25"/>
      <c r="K1216" s="32"/>
      <c r="L1216" s="99">
        <f t="shared" ref="L1216:M1216" si="1170">COUNTIF(A1216:A2360,A1216)</f>
        <v>1</v>
      </c>
      <c r="M1216" s="99">
        <f t="shared" si="1170"/>
        <v>1</v>
      </c>
      <c r="N1216" s="32"/>
      <c r="O1216" s="32"/>
      <c r="P1216" s="32"/>
      <c r="Q1216" s="32"/>
      <c r="R1216" s="32"/>
    </row>
    <row r="1217" ht="15.75" customHeight="1">
      <c r="A1217" s="210">
        <v>1.2098215E7</v>
      </c>
      <c r="B1217" s="210" t="s">
        <v>2372</v>
      </c>
      <c r="C1217" s="210"/>
      <c r="D1217" s="210"/>
      <c r="E1217" s="211"/>
      <c r="F1217" s="211"/>
      <c r="G1217" s="210"/>
      <c r="H1217" s="210"/>
      <c r="I1217" s="212"/>
      <c r="J1217" s="25"/>
      <c r="K1217" s="32"/>
      <c r="L1217" s="99">
        <f t="shared" ref="L1217:M1217" si="1171">COUNTIF(A1217:A2361,A1217)</f>
        <v>1</v>
      </c>
      <c r="M1217" s="99">
        <f t="shared" si="1171"/>
        <v>1</v>
      </c>
      <c r="N1217" s="32"/>
      <c r="O1217" s="32"/>
      <c r="P1217" s="32"/>
      <c r="Q1217" s="32"/>
      <c r="R1217" s="32"/>
    </row>
    <row r="1218" ht="15.75" customHeight="1">
      <c r="A1218" s="210">
        <v>1.2098216E7</v>
      </c>
      <c r="B1218" s="210" t="s">
        <v>2373</v>
      </c>
      <c r="C1218" s="210"/>
      <c r="D1218" s="210"/>
      <c r="E1218" s="211"/>
      <c r="F1218" s="211"/>
      <c r="G1218" s="210"/>
      <c r="H1218" s="210"/>
      <c r="I1218" s="212"/>
      <c r="J1218" s="25"/>
      <c r="K1218" s="32"/>
      <c r="L1218" s="99">
        <f t="shared" ref="L1218:M1218" si="1172">COUNTIF(A1218:A2362,A1218)</f>
        <v>1</v>
      </c>
      <c r="M1218" s="99">
        <f t="shared" si="1172"/>
        <v>1</v>
      </c>
      <c r="N1218" s="32"/>
      <c r="O1218" s="32"/>
      <c r="P1218" s="32"/>
      <c r="Q1218" s="32"/>
      <c r="R1218" s="32"/>
    </row>
    <row r="1219" ht="15.75" customHeight="1">
      <c r="A1219" s="210">
        <v>1.2098217E7</v>
      </c>
      <c r="B1219" s="210" t="s">
        <v>2374</v>
      </c>
      <c r="C1219" s="210"/>
      <c r="D1219" s="210"/>
      <c r="E1219" s="211"/>
      <c r="F1219" s="211"/>
      <c r="G1219" s="210"/>
      <c r="H1219" s="210"/>
      <c r="I1219" s="212"/>
      <c r="J1219" s="25"/>
      <c r="K1219" s="32"/>
      <c r="L1219" s="99">
        <f t="shared" ref="L1219:M1219" si="1173">COUNTIF(A1219:A2363,A1219)</f>
        <v>1</v>
      </c>
      <c r="M1219" s="99">
        <f t="shared" si="1173"/>
        <v>1</v>
      </c>
      <c r="N1219" s="32"/>
      <c r="O1219" s="32"/>
      <c r="P1219" s="32"/>
      <c r="Q1219" s="32"/>
      <c r="R1219" s="32"/>
    </row>
    <row r="1220" ht="15.75" customHeight="1">
      <c r="A1220" s="210">
        <v>1.2098218E7</v>
      </c>
      <c r="B1220" s="210" t="s">
        <v>2375</v>
      </c>
      <c r="C1220" s="210"/>
      <c r="D1220" s="210"/>
      <c r="E1220" s="211"/>
      <c r="F1220" s="211"/>
      <c r="G1220" s="210"/>
      <c r="H1220" s="210"/>
      <c r="I1220" s="212"/>
      <c r="J1220" s="25"/>
      <c r="K1220" s="32"/>
      <c r="L1220" s="99">
        <f t="shared" ref="L1220:M1220" si="1174">COUNTIF(A1220:A2364,A1220)</f>
        <v>1</v>
      </c>
      <c r="M1220" s="99">
        <f t="shared" si="1174"/>
        <v>1</v>
      </c>
      <c r="N1220" s="32"/>
      <c r="O1220" s="32"/>
      <c r="P1220" s="32"/>
      <c r="Q1220" s="32"/>
      <c r="R1220" s="32"/>
    </row>
    <row r="1221" ht="15.75" customHeight="1">
      <c r="A1221" s="210">
        <v>1.2098255E7</v>
      </c>
      <c r="B1221" s="210" t="s">
        <v>2376</v>
      </c>
      <c r="C1221" s="210"/>
      <c r="D1221" s="210"/>
      <c r="E1221" s="211"/>
      <c r="F1221" s="211"/>
      <c r="G1221" s="210"/>
      <c r="H1221" s="210"/>
      <c r="I1221" s="212"/>
      <c r="J1221" s="25"/>
      <c r="K1221" s="32"/>
      <c r="L1221" s="99">
        <f t="shared" ref="L1221:M1221" si="1175">COUNTIF(A1221:A2365,A1221)</f>
        <v>1</v>
      </c>
      <c r="M1221" s="99">
        <f t="shared" si="1175"/>
        <v>1</v>
      </c>
      <c r="N1221" s="32"/>
      <c r="O1221" s="32"/>
      <c r="P1221" s="32"/>
      <c r="Q1221" s="32"/>
      <c r="R1221" s="32"/>
    </row>
    <row r="1222" ht="15.75" customHeight="1">
      <c r="A1222" s="210">
        <v>1.2098219E7</v>
      </c>
      <c r="B1222" s="210" t="s">
        <v>2377</v>
      </c>
      <c r="C1222" s="210"/>
      <c r="D1222" s="210"/>
      <c r="E1222" s="211"/>
      <c r="F1222" s="211"/>
      <c r="G1222" s="210"/>
      <c r="H1222" s="210"/>
      <c r="I1222" s="212"/>
      <c r="J1222" s="25"/>
      <c r="K1222" s="32"/>
      <c r="L1222" s="99">
        <f t="shared" ref="L1222:M1222" si="1176">COUNTIF(A1222:A2366,A1222)</f>
        <v>1</v>
      </c>
      <c r="M1222" s="99">
        <f t="shared" si="1176"/>
        <v>1</v>
      </c>
      <c r="N1222" s="32"/>
      <c r="O1222" s="32"/>
      <c r="P1222" s="32"/>
      <c r="Q1222" s="32"/>
      <c r="R1222" s="32"/>
    </row>
    <row r="1223" ht="15.75" customHeight="1">
      <c r="A1223" s="210">
        <v>1.209822E7</v>
      </c>
      <c r="B1223" s="210" t="s">
        <v>2378</v>
      </c>
      <c r="C1223" s="210"/>
      <c r="D1223" s="210"/>
      <c r="E1223" s="211"/>
      <c r="F1223" s="211"/>
      <c r="G1223" s="210"/>
      <c r="H1223" s="210"/>
      <c r="I1223" s="212"/>
      <c r="J1223" s="25"/>
      <c r="K1223" s="32"/>
      <c r="L1223" s="99">
        <f t="shared" ref="L1223:M1223" si="1177">COUNTIF(A1223:A2367,A1223)</f>
        <v>1</v>
      </c>
      <c r="M1223" s="99">
        <f t="shared" si="1177"/>
        <v>1</v>
      </c>
      <c r="N1223" s="32"/>
      <c r="O1223" s="32"/>
      <c r="P1223" s="32"/>
      <c r="Q1223" s="32"/>
      <c r="R1223" s="32"/>
    </row>
    <row r="1224" ht="15.75" customHeight="1">
      <c r="A1224" s="210">
        <v>1.2098221E7</v>
      </c>
      <c r="B1224" s="210" t="s">
        <v>2379</v>
      </c>
      <c r="C1224" s="210"/>
      <c r="D1224" s="210"/>
      <c r="E1224" s="211"/>
      <c r="F1224" s="211"/>
      <c r="G1224" s="210"/>
      <c r="H1224" s="210"/>
      <c r="I1224" s="212"/>
      <c r="J1224" s="25"/>
      <c r="K1224" s="32"/>
      <c r="L1224" s="99">
        <f t="shared" ref="L1224:M1224" si="1178">COUNTIF(A1224:A2368,A1224)</f>
        <v>1</v>
      </c>
      <c r="M1224" s="99">
        <f t="shared" si="1178"/>
        <v>1</v>
      </c>
      <c r="N1224" s="32"/>
      <c r="O1224" s="32"/>
      <c r="P1224" s="32"/>
      <c r="Q1224" s="32"/>
      <c r="R1224" s="32"/>
    </row>
    <row r="1225" ht="15.75" customHeight="1">
      <c r="A1225" s="210">
        <v>1.2098222E7</v>
      </c>
      <c r="B1225" s="210" t="s">
        <v>2380</v>
      </c>
      <c r="C1225" s="210"/>
      <c r="D1225" s="210"/>
      <c r="E1225" s="211"/>
      <c r="F1225" s="211"/>
      <c r="G1225" s="210"/>
      <c r="H1225" s="210"/>
      <c r="I1225" s="212"/>
      <c r="J1225" s="25"/>
      <c r="K1225" s="32"/>
      <c r="L1225" s="99">
        <f t="shared" ref="L1225:M1225" si="1179">COUNTIF(A1225:A2369,A1225)</f>
        <v>1</v>
      </c>
      <c r="M1225" s="99">
        <f t="shared" si="1179"/>
        <v>1</v>
      </c>
      <c r="N1225" s="32"/>
      <c r="O1225" s="32"/>
      <c r="P1225" s="32"/>
      <c r="Q1225" s="32"/>
      <c r="R1225" s="32"/>
    </row>
    <row r="1226" ht="15.75" customHeight="1">
      <c r="A1226" s="210">
        <v>1.2098223E7</v>
      </c>
      <c r="B1226" s="210" t="s">
        <v>2381</v>
      </c>
      <c r="C1226" s="210"/>
      <c r="D1226" s="210"/>
      <c r="E1226" s="211"/>
      <c r="F1226" s="211"/>
      <c r="G1226" s="210"/>
      <c r="H1226" s="210"/>
      <c r="I1226" s="212"/>
      <c r="J1226" s="25"/>
      <c r="K1226" s="32"/>
      <c r="L1226" s="99">
        <f t="shared" ref="L1226:M1226" si="1180">COUNTIF(A1226:A2370,A1226)</f>
        <v>1</v>
      </c>
      <c r="M1226" s="99">
        <f t="shared" si="1180"/>
        <v>1</v>
      </c>
      <c r="N1226" s="32"/>
      <c r="O1226" s="32"/>
      <c r="P1226" s="32"/>
      <c r="Q1226" s="32"/>
      <c r="R1226" s="32"/>
    </row>
    <row r="1227" ht="15.75" customHeight="1">
      <c r="A1227" s="210">
        <v>1.2098224E7</v>
      </c>
      <c r="B1227" s="210" t="s">
        <v>2382</v>
      </c>
      <c r="C1227" s="210"/>
      <c r="D1227" s="210"/>
      <c r="E1227" s="211"/>
      <c r="F1227" s="211"/>
      <c r="G1227" s="210"/>
      <c r="H1227" s="210"/>
      <c r="I1227" s="212"/>
      <c r="J1227" s="25"/>
      <c r="K1227" s="32"/>
      <c r="L1227" s="99">
        <f t="shared" ref="L1227:M1227" si="1181">COUNTIF(A1227:A2371,A1227)</f>
        <v>1</v>
      </c>
      <c r="M1227" s="99">
        <f t="shared" si="1181"/>
        <v>1</v>
      </c>
      <c r="N1227" s="32"/>
      <c r="O1227" s="32"/>
      <c r="P1227" s="32"/>
      <c r="Q1227" s="32"/>
      <c r="R1227" s="32"/>
    </row>
    <row r="1228" ht="15.75" customHeight="1">
      <c r="A1228" s="125"/>
      <c r="B1228" s="125"/>
      <c r="C1228" s="125"/>
      <c r="D1228" s="125"/>
      <c r="E1228" s="126"/>
      <c r="F1228" s="126"/>
      <c r="G1228" s="125"/>
      <c r="H1228" s="125"/>
      <c r="I1228" s="99"/>
      <c r="K1228" s="84"/>
      <c r="L1228" s="122"/>
      <c r="M1228" s="84"/>
      <c r="N1228" s="84"/>
      <c r="O1228" s="84"/>
      <c r="P1228" s="84"/>
      <c r="Q1228" s="84"/>
      <c r="R1228" s="84"/>
    </row>
    <row r="1229" ht="15.75" customHeight="1">
      <c r="A1229" s="125">
        <v>1.9E7</v>
      </c>
      <c r="B1229" s="213" t="s">
        <v>2383</v>
      </c>
      <c r="C1229" s="125" t="s">
        <v>2384</v>
      </c>
      <c r="D1229" s="125"/>
      <c r="E1229" s="126"/>
      <c r="F1229" s="126"/>
      <c r="G1229" s="125"/>
      <c r="H1229" s="125"/>
      <c r="I1229" s="99"/>
      <c r="K1229" s="84"/>
      <c r="L1229" s="122"/>
      <c r="M1229" s="84"/>
      <c r="N1229" s="84"/>
      <c r="O1229" s="84"/>
      <c r="P1229" s="84"/>
      <c r="Q1229" s="84"/>
      <c r="R1229" s="84"/>
    </row>
    <row r="1230" ht="15.75" customHeight="1">
      <c r="A1230" s="125">
        <v>1.9000001E7</v>
      </c>
      <c r="B1230" s="125" t="s">
        <v>2385</v>
      </c>
      <c r="C1230" s="125"/>
      <c r="D1230" s="125"/>
      <c r="E1230" s="126"/>
      <c r="F1230" s="126"/>
      <c r="G1230" s="125"/>
      <c r="H1230" s="125"/>
      <c r="I1230" s="99"/>
      <c r="K1230" s="84"/>
      <c r="L1230" s="122"/>
      <c r="M1230" s="84"/>
      <c r="N1230" s="84"/>
      <c r="O1230" s="84"/>
      <c r="P1230" s="84"/>
      <c r="Q1230" s="84"/>
      <c r="R1230" s="84"/>
    </row>
    <row r="1231" ht="15.75" customHeight="1">
      <c r="A1231" s="125">
        <v>1.9000002E7</v>
      </c>
      <c r="B1231" s="125" t="s">
        <v>2386</v>
      </c>
      <c r="C1231" s="125"/>
      <c r="D1231" s="125"/>
      <c r="E1231" s="126"/>
      <c r="F1231" s="126"/>
      <c r="G1231" s="125"/>
      <c r="H1231" s="125"/>
      <c r="I1231" s="99"/>
      <c r="K1231" s="84"/>
      <c r="L1231" s="122"/>
      <c r="M1231" s="84"/>
      <c r="N1231" s="84"/>
      <c r="O1231" s="84"/>
      <c r="P1231" s="84"/>
      <c r="Q1231" s="84"/>
      <c r="R1231" s="84"/>
    </row>
    <row r="1232" ht="15.75" customHeight="1">
      <c r="A1232" s="125">
        <v>1.9000003E7</v>
      </c>
      <c r="B1232" s="125" t="s">
        <v>2387</v>
      </c>
      <c r="C1232" s="125"/>
      <c r="D1232" s="125"/>
      <c r="E1232" s="126"/>
      <c r="F1232" s="126"/>
      <c r="G1232" s="125"/>
      <c r="H1232" s="125"/>
      <c r="I1232" s="99"/>
      <c r="K1232" s="84"/>
      <c r="L1232" s="122"/>
      <c r="M1232" s="84"/>
      <c r="N1232" s="84"/>
      <c r="O1232" s="84"/>
      <c r="P1232" s="84"/>
      <c r="Q1232" s="84"/>
      <c r="R1232" s="84"/>
    </row>
    <row r="1233" ht="15.75" customHeight="1">
      <c r="A1233" s="125">
        <v>1.9000004E7</v>
      </c>
      <c r="B1233" s="125" t="s">
        <v>2388</v>
      </c>
      <c r="C1233" s="125"/>
      <c r="D1233" s="125"/>
      <c r="E1233" s="126"/>
      <c r="F1233" s="126"/>
      <c r="G1233" s="125"/>
      <c r="H1233" s="125"/>
      <c r="I1233" s="99"/>
      <c r="K1233" s="84"/>
      <c r="L1233" s="122"/>
      <c r="M1233" s="84"/>
      <c r="N1233" s="84"/>
      <c r="O1233" s="84"/>
      <c r="P1233" s="84"/>
      <c r="Q1233" s="84"/>
      <c r="R1233" s="84"/>
    </row>
    <row r="1234" ht="15.75" customHeight="1">
      <c r="A1234" s="125">
        <v>1.9000005E7</v>
      </c>
      <c r="B1234" s="125" t="s">
        <v>2389</v>
      </c>
      <c r="C1234" s="125"/>
      <c r="D1234" s="125"/>
      <c r="E1234" s="126"/>
      <c r="F1234" s="126"/>
      <c r="G1234" s="125"/>
      <c r="H1234" s="125"/>
      <c r="I1234" s="99"/>
      <c r="K1234" s="84"/>
      <c r="L1234" s="122"/>
      <c r="M1234" s="84"/>
      <c r="N1234" s="84"/>
      <c r="O1234" s="84"/>
      <c r="P1234" s="84"/>
      <c r="Q1234" s="84"/>
      <c r="R1234" s="84"/>
    </row>
    <row r="1235" ht="15.75" customHeight="1">
      <c r="A1235" s="125">
        <v>1.9000006E7</v>
      </c>
      <c r="B1235" s="125" t="s">
        <v>2390</v>
      </c>
      <c r="C1235" s="125"/>
      <c r="D1235" s="125"/>
      <c r="E1235" s="126"/>
      <c r="F1235" s="126"/>
      <c r="G1235" s="125"/>
      <c r="H1235" s="125"/>
      <c r="I1235" s="99"/>
      <c r="K1235" s="84"/>
      <c r="L1235" s="122"/>
      <c r="M1235" s="84"/>
      <c r="N1235" s="84"/>
      <c r="O1235" s="84"/>
      <c r="P1235" s="84"/>
      <c r="Q1235" s="84"/>
      <c r="R1235" s="84"/>
    </row>
    <row r="1236" ht="15.75" customHeight="1">
      <c r="A1236" s="125">
        <v>1.9000007E7</v>
      </c>
      <c r="B1236" s="125" t="s">
        <v>2391</v>
      </c>
      <c r="C1236" s="125"/>
      <c r="D1236" s="125"/>
      <c r="E1236" s="126"/>
      <c r="F1236" s="126"/>
      <c r="G1236" s="125"/>
      <c r="H1236" s="125"/>
      <c r="I1236" s="99"/>
      <c r="K1236" s="84"/>
      <c r="L1236" s="122"/>
      <c r="M1236" s="84"/>
      <c r="N1236" s="84"/>
      <c r="O1236" s="84"/>
      <c r="P1236" s="84"/>
      <c r="Q1236" s="84"/>
      <c r="R1236" s="84"/>
    </row>
    <row r="1237" ht="15.75" customHeight="1">
      <c r="A1237" s="125">
        <v>1.9000008E7</v>
      </c>
      <c r="B1237" s="125" t="s">
        <v>2392</v>
      </c>
      <c r="C1237" s="125"/>
      <c r="D1237" s="125"/>
      <c r="E1237" s="126"/>
      <c r="F1237" s="126"/>
      <c r="G1237" s="125"/>
      <c r="H1237" s="125"/>
      <c r="I1237" s="99"/>
      <c r="K1237" s="84"/>
      <c r="L1237" s="122"/>
      <c r="M1237" s="84"/>
      <c r="N1237" s="84"/>
      <c r="O1237" s="84"/>
      <c r="P1237" s="84"/>
      <c r="Q1237" s="84"/>
      <c r="R1237" s="84"/>
    </row>
    <row r="1238" ht="15.75" customHeight="1">
      <c r="A1238" s="125">
        <v>1.9000009E7</v>
      </c>
      <c r="B1238" s="125" t="s">
        <v>2393</v>
      </c>
      <c r="C1238" s="125"/>
      <c r="D1238" s="125"/>
      <c r="E1238" s="126"/>
      <c r="F1238" s="126"/>
      <c r="G1238" s="125"/>
      <c r="H1238" s="125"/>
      <c r="I1238" s="99"/>
      <c r="K1238" s="84"/>
      <c r="L1238" s="84"/>
      <c r="M1238" s="84"/>
      <c r="N1238" s="84"/>
      <c r="O1238" s="84"/>
      <c r="P1238" s="84"/>
      <c r="Q1238" s="84"/>
      <c r="R1238" s="84"/>
    </row>
    <row r="1239" ht="15.75" customHeight="1">
      <c r="A1239" s="125">
        <v>1.900001E7</v>
      </c>
      <c r="B1239" s="125" t="s">
        <v>2394</v>
      </c>
      <c r="C1239" s="125"/>
      <c r="D1239" s="125"/>
      <c r="E1239" s="126"/>
      <c r="F1239" s="126"/>
      <c r="G1239" s="125"/>
      <c r="H1239" s="125"/>
      <c r="I1239" s="99"/>
      <c r="K1239" s="122"/>
      <c r="L1239" s="84"/>
      <c r="M1239" s="122"/>
      <c r="N1239" s="122"/>
      <c r="O1239" s="122"/>
      <c r="P1239" s="122"/>
      <c r="Q1239" s="122"/>
      <c r="R1239" s="122"/>
    </row>
    <row r="1240" ht="15.75" customHeight="1">
      <c r="A1240" s="125">
        <v>1.9000011E7</v>
      </c>
      <c r="B1240" s="125" t="s">
        <v>2395</v>
      </c>
      <c r="C1240" s="125"/>
      <c r="D1240" s="125"/>
      <c r="E1240" s="126"/>
      <c r="F1240" s="126"/>
      <c r="G1240" s="125"/>
      <c r="H1240" s="125"/>
      <c r="I1240" s="99"/>
      <c r="K1240" s="122"/>
      <c r="L1240" s="84"/>
      <c r="M1240" s="122"/>
      <c r="N1240" s="122"/>
      <c r="O1240" s="122"/>
      <c r="P1240" s="122"/>
      <c r="Q1240" s="122"/>
      <c r="R1240" s="122"/>
    </row>
    <row r="1241" ht="15.75" customHeight="1">
      <c r="A1241" s="125">
        <v>1.9000012E7</v>
      </c>
      <c r="B1241" s="125" t="s">
        <v>2396</v>
      </c>
      <c r="C1241" s="125"/>
      <c r="D1241" s="125"/>
      <c r="E1241" s="126"/>
      <c r="F1241" s="126"/>
      <c r="G1241" s="125"/>
      <c r="H1241" s="125"/>
      <c r="I1241" s="99"/>
      <c r="K1241" s="122"/>
      <c r="L1241" s="84"/>
      <c r="M1241" s="122"/>
      <c r="N1241" s="122"/>
      <c r="O1241" s="122"/>
      <c r="P1241" s="122"/>
      <c r="Q1241" s="122"/>
      <c r="R1241" s="122"/>
    </row>
    <row r="1242" ht="15.75" customHeight="1">
      <c r="A1242" s="125">
        <v>1.9000013E7</v>
      </c>
      <c r="B1242" s="125" t="s">
        <v>2397</v>
      </c>
      <c r="C1242" s="125"/>
      <c r="D1242" s="125"/>
      <c r="E1242" s="126"/>
      <c r="F1242" s="126"/>
      <c r="G1242" s="125"/>
      <c r="H1242" s="125"/>
      <c r="I1242" s="99"/>
      <c r="K1242" s="122"/>
      <c r="L1242" s="84"/>
      <c r="M1242" s="122"/>
      <c r="N1242" s="122"/>
      <c r="O1242" s="122"/>
      <c r="P1242" s="122"/>
      <c r="Q1242" s="122"/>
      <c r="R1242" s="122"/>
    </row>
    <row r="1243" ht="15.75" customHeight="1">
      <c r="A1243" s="125">
        <v>1.9000014E7</v>
      </c>
      <c r="B1243" s="125" t="s">
        <v>2398</v>
      </c>
      <c r="C1243" s="125"/>
      <c r="D1243" s="125"/>
      <c r="E1243" s="126"/>
      <c r="F1243" s="126"/>
      <c r="G1243" s="125"/>
      <c r="H1243" s="125"/>
      <c r="I1243" s="99"/>
      <c r="K1243" s="122"/>
      <c r="L1243" s="84"/>
      <c r="M1243" s="122"/>
      <c r="N1243" s="122"/>
      <c r="O1243" s="122"/>
      <c r="P1243" s="122"/>
      <c r="Q1243" s="122"/>
      <c r="R1243" s="122"/>
    </row>
    <row r="1244" ht="15.75" customHeight="1">
      <c r="A1244" s="125">
        <v>1.9000015E7</v>
      </c>
      <c r="B1244" s="125" t="s">
        <v>2399</v>
      </c>
      <c r="C1244" s="125"/>
      <c r="D1244" s="125"/>
      <c r="E1244" s="126"/>
      <c r="F1244" s="126"/>
      <c r="G1244" s="125"/>
      <c r="H1244" s="125"/>
      <c r="I1244" s="99"/>
      <c r="K1244" s="122"/>
      <c r="L1244" s="84"/>
      <c r="M1244" s="122"/>
      <c r="N1244" s="122"/>
      <c r="O1244" s="122"/>
      <c r="P1244" s="122"/>
      <c r="Q1244" s="122"/>
      <c r="R1244" s="122"/>
    </row>
    <row r="1245" ht="15.75" customHeight="1">
      <c r="A1245" s="125">
        <v>1.9000016E7</v>
      </c>
      <c r="B1245" s="125" t="s">
        <v>2400</v>
      </c>
      <c r="C1245" s="125"/>
      <c r="D1245" s="125"/>
      <c r="E1245" s="126"/>
      <c r="F1245" s="126"/>
      <c r="G1245" s="125"/>
      <c r="H1245" s="125"/>
      <c r="I1245" s="99"/>
      <c r="K1245" s="122"/>
      <c r="L1245" s="84"/>
      <c r="M1245" s="122"/>
      <c r="N1245" s="122"/>
      <c r="O1245" s="122"/>
      <c r="P1245" s="122"/>
      <c r="Q1245" s="122"/>
      <c r="R1245" s="122"/>
    </row>
    <row r="1246" ht="15.75" customHeight="1">
      <c r="A1246" s="125">
        <v>1.9000017E7</v>
      </c>
      <c r="B1246" s="125" t="s">
        <v>2401</v>
      </c>
      <c r="C1246" s="125"/>
      <c r="D1246" s="125"/>
      <c r="E1246" s="126"/>
      <c r="F1246" s="126"/>
      <c r="G1246" s="125"/>
      <c r="H1246" s="125"/>
      <c r="I1246" s="99"/>
      <c r="K1246" s="122"/>
      <c r="L1246" s="84"/>
      <c r="M1246" s="122"/>
      <c r="N1246" s="122"/>
      <c r="O1246" s="122"/>
      <c r="P1246" s="122"/>
      <c r="Q1246" s="122"/>
      <c r="R1246" s="122"/>
    </row>
    <row r="1247" ht="15.75" customHeight="1">
      <c r="A1247" s="125">
        <v>1.9000018E7</v>
      </c>
      <c r="B1247" s="125" t="s">
        <v>2402</v>
      </c>
      <c r="C1247" s="125"/>
      <c r="D1247" s="125"/>
      <c r="E1247" s="126"/>
      <c r="F1247" s="126"/>
      <c r="G1247" s="125"/>
      <c r="H1247" s="125"/>
      <c r="I1247" s="99"/>
      <c r="K1247" s="122"/>
      <c r="L1247" s="84"/>
      <c r="M1247" s="122"/>
      <c r="N1247" s="122"/>
      <c r="O1247" s="122"/>
      <c r="P1247" s="122"/>
      <c r="Q1247" s="122"/>
      <c r="R1247" s="122"/>
    </row>
    <row r="1248" ht="15.75" customHeight="1">
      <c r="A1248" s="125">
        <v>1.9000019E7</v>
      </c>
      <c r="B1248" s="125" t="s">
        <v>2403</v>
      </c>
      <c r="C1248" s="125"/>
      <c r="D1248" s="125"/>
      <c r="E1248" s="126"/>
      <c r="F1248" s="126"/>
      <c r="G1248" s="125"/>
      <c r="H1248" s="125"/>
      <c r="I1248" s="99"/>
      <c r="K1248" s="122"/>
      <c r="L1248" s="84"/>
      <c r="M1248" s="122"/>
      <c r="N1248" s="122"/>
      <c r="O1248" s="122"/>
      <c r="P1248" s="122"/>
      <c r="Q1248" s="122"/>
      <c r="R1248" s="122"/>
    </row>
    <row r="1249" ht="15.75" customHeight="1">
      <c r="A1249" s="125">
        <v>1.900002E7</v>
      </c>
      <c r="B1249" s="125" t="s">
        <v>2404</v>
      </c>
      <c r="C1249" s="125"/>
      <c r="D1249" s="125"/>
      <c r="E1249" s="126"/>
      <c r="F1249" s="126"/>
      <c r="G1249" s="125"/>
      <c r="H1249" s="125"/>
      <c r="I1249" s="99"/>
      <c r="K1249" s="84"/>
      <c r="L1249" s="84"/>
      <c r="M1249" s="84"/>
      <c r="N1249" s="84"/>
      <c r="O1249" s="84"/>
      <c r="P1249" s="84"/>
      <c r="Q1249" s="84"/>
      <c r="R1249" s="84"/>
    </row>
    <row r="1250" ht="15.75" customHeight="1">
      <c r="A1250" s="125">
        <v>1.9000021E7</v>
      </c>
      <c r="B1250" s="125" t="s">
        <v>2405</v>
      </c>
      <c r="C1250" s="125"/>
      <c r="D1250" s="125"/>
      <c r="E1250" s="126"/>
      <c r="F1250" s="126"/>
      <c r="G1250" s="125"/>
      <c r="H1250" s="125"/>
      <c r="I1250" s="99"/>
      <c r="K1250" s="84"/>
      <c r="L1250" s="84"/>
      <c r="M1250" s="84"/>
      <c r="N1250" s="84"/>
      <c r="O1250" s="84"/>
      <c r="P1250" s="84"/>
      <c r="Q1250" s="84"/>
      <c r="R1250" s="84"/>
    </row>
    <row r="1251" ht="15.75" customHeight="1">
      <c r="A1251" s="125">
        <v>1.9000022E7</v>
      </c>
      <c r="B1251" s="125" t="s">
        <v>2406</v>
      </c>
      <c r="C1251" s="125"/>
      <c r="D1251" s="125"/>
      <c r="E1251" s="126"/>
      <c r="F1251" s="126"/>
      <c r="G1251" s="125"/>
      <c r="H1251" s="125"/>
      <c r="I1251" s="99"/>
      <c r="K1251" s="84"/>
      <c r="L1251" s="84"/>
      <c r="M1251" s="84"/>
      <c r="N1251" s="84"/>
      <c r="O1251" s="84"/>
      <c r="P1251" s="84"/>
      <c r="Q1251" s="84"/>
      <c r="R1251" s="84"/>
    </row>
    <row r="1252" ht="15.75" customHeight="1">
      <c r="A1252" s="125">
        <v>1.9000023E7</v>
      </c>
      <c r="B1252" s="125" t="s">
        <v>2407</v>
      </c>
      <c r="C1252" s="125"/>
      <c r="D1252" s="125"/>
      <c r="E1252" s="126"/>
      <c r="F1252" s="126"/>
      <c r="G1252" s="125"/>
      <c r="H1252" s="125"/>
      <c r="I1252" s="99"/>
      <c r="K1252" s="84"/>
      <c r="L1252" s="84"/>
      <c r="M1252" s="84"/>
      <c r="N1252" s="84"/>
      <c r="O1252" s="84"/>
      <c r="P1252" s="84"/>
      <c r="Q1252" s="84"/>
      <c r="R1252" s="84"/>
    </row>
    <row r="1253" ht="15.75" customHeight="1">
      <c r="A1253" s="125">
        <v>1.9000024E7</v>
      </c>
      <c r="B1253" s="125" t="s">
        <v>2408</v>
      </c>
      <c r="C1253" s="125"/>
      <c r="D1253" s="125"/>
      <c r="E1253" s="126"/>
      <c r="F1253" s="126"/>
      <c r="G1253" s="125"/>
      <c r="H1253" s="125"/>
      <c r="I1253" s="99"/>
      <c r="K1253" s="84"/>
      <c r="L1253" s="84"/>
      <c r="M1253" s="84"/>
      <c r="N1253" s="84"/>
      <c r="O1253" s="84"/>
      <c r="P1253" s="84"/>
      <c r="Q1253" s="84"/>
      <c r="R1253" s="84"/>
    </row>
    <row r="1254" ht="15.75" customHeight="1">
      <c r="A1254" s="125">
        <v>1.9000025E7</v>
      </c>
      <c r="B1254" s="125" t="s">
        <v>2409</v>
      </c>
      <c r="C1254" s="125"/>
      <c r="D1254" s="125"/>
      <c r="E1254" s="126"/>
      <c r="F1254" s="126"/>
      <c r="G1254" s="125"/>
      <c r="H1254" s="125"/>
      <c r="I1254" s="99"/>
      <c r="K1254" s="84"/>
      <c r="L1254" s="84"/>
      <c r="M1254" s="84"/>
      <c r="N1254" s="84"/>
      <c r="O1254" s="84"/>
      <c r="P1254" s="84"/>
      <c r="Q1254" s="84"/>
      <c r="R1254" s="84"/>
    </row>
    <row r="1255" ht="15.75" customHeight="1">
      <c r="A1255" s="125">
        <v>1.9000026E7</v>
      </c>
      <c r="B1255" s="125" t="s">
        <v>2410</v>
      </c>
      <c r="C1255" s="125"/>
      <c r="D1255" s="125"/>
      <c r="E1255" s="126"/>
      <c r="F1255" s="126"/>
      <c r="G1255" s="125"/>
      <c r="H1255" s="125"/>
      <c r="I1255" s="99"/>
      <c r="K1255" s="84"/>
      <c r="L1255" s="84"/>
      <c r="M1255" s="84"/>
      <c r="N1255" s="84"/>
      <c r="O1255" s="84"/>
      <c r="P1255" s="84"/>
      <c r="Q1255" s="84"/>
      <c r="R1255" s="84"/>
    </row>
    <row r="1256" ht="15.75" customHeight="1">
      <c r="A1256" s="125">
        <v>1.9000027E7</v>
      </c>
      <c r="B1256" s="125" t="s">
        <v>2411</v>
      </c>
      <c r="C1256" s="125"/>
      <c r="D1256" s="125"/>
      <c r="E1256" s="126"/>
      <c r="F1256" s="126"/>
      <c r="G1256" s="125"/>
      <c r="H1256" s="125"/>
      <c r="I1256" s="99"/>
      <c r="K1256" s="84"/>
      <c r="L1256" s="84"/>
      <c r="M1256" s="84"/>
      <c r="N1256" s="84"/>
      <c r="O1256" s="84"/>
      <c r="P1256" s="84"/>
      <c r="Q1256" s="84"/>
      <c r="R1256" s="84"/>
    </row>
    <row r="1257" ht="15.75" customHeight="1">
      <c r="A1257" s="125">
        <v>1.9000028E7</v>
      </c>
      <c r="B1257" s="125" t="s">
        <v>2412</v>
      </c>
      <c r="C1257" s="125"/>
      <c r="D1257" s="125"/>
      <c r="E1257" s="126"/>
      <c r="F1257" s="126"/>
      <c r="G1257" s="125"/>
      <c r="H1257" s="125"/>
      <c r="I1257" s="99"/>
      <c r="K1257" s="84"/>
      <c r="L1257" s="84"/>
      <c r="M1257" s="84"/>
      <c r="N1257" s="84"/>
      <c r="O1257" s="84"/>
      <c r="P1257" s="84"/>
      <c r="Q1257" s="84"/>
      <c r="R1257" s="84"/>
    </row>
    <row r="1258" ht="15.75" customHeight="1">
      <c r="A1258" s="125">
        <v>1.9000029E7</v>
      </c>
      <c r="B1258" s="125" t="s">
        <v>2413</v>
      </c>
      <c r="C1258" s="125"/>
      <c r="D1258" s="125"/>
      <c r="E1258" s="126"/>
      <c r="F1258" s="126"/>
      <c r="G1258" s="125"/>
      <c r="H1258" s="125"/>
      <c r="I1258" s="99"/>
      <c r="K1258" s="84"/>
      <c r="L1258" s="84"/>
      <c r="M1258" s="84"/>
      <c r="N1258" s="84"/>
      <c r="O1258" s="84"/>
      <c r="P1258" s="84"/>
      <c r="Q1258" s="84"/>
      <c r="R1258" s="84"/>
    </row>
    <row r="1259" ht="15.75" customHeight="1">
      <c r="A1259" s="125">
        <v>1.900003E7</v>
      </c>
      <c r="B1259" s="125" t="s">
        <v>2414</v>
      </c>
      <c r="C1259" s="125"/>
      <c r="D1259" s="125"/>
      <c r="E1259" s="126"/>
      <c r="F1259" s="126"/>
      <c r="G1259" s="125"/>
      <c r="H1259" s="125"/>
      <c r="I1259" s="99"/>
      <c r="K1259" s="84"/>
      <c r="L1259" s="84"/>
      <c r="M1259" s="84"/>
      <c r="N1259" s="84"/>
      <c r="O1259" s="84"/>
      <c r="P1259" s="84"/>
      <c r="Q1259" s="84"/>
      <c r="R1259" s="84"/>
    </row>
    <row r="1260" ht="15.75" customHeight="1">
      <c r="A1260" s="125">
        <v>1.9000031E7</v>
      </c>
      <c r="B1260" s="125" t="s">
        <v>2415</v>
      </c>
      <c r="C1260" s="125"/>
      <c r="D1260" s="125"/>
      <c r="E1260" s="126"/>
      <c r="F1260" s="126"/>
      <c r="G1260" s="125"/>
      <c r="H1260" s="125"/>
      <c r="I1260" s="99"/>
      <c r="K1260" s="84"/>
      <c r="L1260" s="84"/>
      <c r="M1260" s="84"/>
      <c r="N1260" s="84"/>
      <c r="O1260" s="84"/>
      <c r="P1260" s="84"/>
      <c r="Q1260" s="84"/>
      <c r="R1260" s="84"/>
    </row>
    <row r="1261" ht="15.75" customHeight="1">
      <c r="A1261" s="125">
        <v>1.9000032E7</v>
      </c>
      <c r="B1261" s="125" t="s">
        <v>2416</v>
      </c>
      <c r="C1261" s="125"/>
      <c r="D1261" s="125"/>
      <c r="E1261" s="126"/>
      <c r="F1261" s="126"/>
      <c r="G1261" s="125"/>
      <c r="H1261" s="125"/>
      <c r="I1261" s="99"/>
      <c r="K1261" s="84"/>
      <c r="L1261" s="84"/>
      <c r="M1261" s="84"/>
      <c r="N1261" s="84"/>
      <c r="O1261" s="84"/>
      <c r="P1261" s="84"/>
      <c r="Q1261" s="84"/>
      <c r="R1261" s="84"/>
    </row>
    <row r="1262" ht="15.75" customHeight="1">
      <c r="A1262" s="125">
        <v>1.9000033E7</v>
      </c>
      <c r="B1262" s="125" t="s">
        <v>2417</v>
      </c>
      <c r="C1262" s="125"/>
      <c r="D1262" s="125"/>
      <c r="E1262" s="126"/>
      <c r="F1262" s="126"/>
      <c r="G1262" s="125"/>
      <c r="H1262" s="125"/>
      <c r="I1262" s="99"/>
      <c r="K1262" s="84"/>
      <c r="L1262" s="84"/>
      <c r="M1262" s="84"/>
      <c r="N1262" s="84"/>
      <c r="O1262" s="84"/>
      <c r="P1262" s="84"/>
      <c r="Q1262" s="84"/>
      <c r="R1262" s="84"/>
    </row>
    <row r="1263" ht="15.75" customHeight="1">
      <c r="A1263" s="125">
        <v>1.9000034E7</v>
      </c>
      <c r="B1263" s="125" t="s">
        <v>2418</v>
      </c>
      <c r="C1263" s="125"/>
      <c r="D1263" s="125"/>
      <c r="E1263" s="126"/>
      <c r="F1263" s="126"/>
      <c r="G1263" s="125"/>
      <c r="H1263" s="125"/>
      <c r="I1263" s="99"/>
      <c r="K1263" s="84"/>
      <c r="L1263" s="84"/>
      <c r="M1263" s="84"/>
      <c r="N1263" s="84"/>
      <c r="O1263" s="84"/>
      <c r="P1263" s="84"/>
      <c r="Q1263" s="84"/>
      <c r="R1263" s="84"/>
    </row>
    <row r="1264" ht="15.75" customHeight="1">
      <c r="A1264" s="125">
        <v>1.9000035E7</v>
      </c>
      <c r="B1264" s="125" t="s">
        <v>2419</v>
      </c>
      <c r="C1264" s="125"/>
      <c r="D1264" s="125"/>
      <c r="E1264" s="126"/>
      <c r="F1264" s="126"/>
      <c r="G1264" s="125"/>
      <c r="H1264" s="125"/>
      <c r="I1264" s="99"/>
      <c r="K1264" s="84"/>
      <c r="L1264" s="84"/>
      <c r="M1264" s="84"/>
      <c r="N1264" s="84"/>
      <c r="O1264" s="84"/>
      <c r="P1264" s="84"/>
      <c r="Q1264" s="84"/>
      <c r="R1264" s="84"/>
    </row>
    <row r="1265" ht="15.75" customHeight="1">
      <c r="A1265" s="125">
        <v>1.9000036E7</v>
      </c>
      <c r="B1265" s="125" t="s">
        <v>2420</v>
      </c>
      <c r="C1265" s="125"/>
      <c r="D1265" s="125"/>
      <c r="E1265" s="126"/>
      <c r="F1265" s="126"/>
      <c r="G1265" s="125"/>
      <c r="H1265" s="125"/>
      <c r="I1265" s="99"/>
      <c r="K1265" s="84"/>
      <c r="L1265" s="84"/>
      <c r="M1265" s="84"/>
      <c r="N1265" s="84"/>
      <c r="O1265" s="84"/>
      <c r="P1265" s="84"/>
      <c r="Q1265" s="84"/>
      <c r="R1265" s="84"/>
    </row>
    <row r="1266" ht="15.75" customHeight="1">
      <c r="A1266" s="125">
        <v>1.9000037E7</v>
      </c>
      <c r="B1266" s="125" t="s">
        <v>2421</v>
      </c>
      <c r="C1266" s="125"/>
      <c r="D1266" s="125"/>
      <c r="E1266" s="126"/>
      <c r="F1266" s="126"/>
      <c r="G1266" s="125"/>
      <c r="H1266" s="125"/>
      <c r="I1266" s="99"/>
      <c r="K1266" s="84"/>
      <c r="L1266" s="84"/>
      <c r="M1266" s="84"/>
      <c r="N1266" s="84"/>
      <c r="O1266" s="84"/>
      <c r="P1266" s="84"/>
      <c r="Q1266" s="84"/>
      <c r="R1266" s="84"/>
    </row>
    <row r="1267" ht="15.75" customHeight="1">
      <c r="A1267" s="125">
        <v>1.9000038E7</v>
      </c>
      <c r="B1267" s="125" t="s">
        <v>2422</v>
      </c>
      <c r="C1267" s="125"/>
      <c r="D1267" s="125"/>
      <c r="E1267" s="126"/>
      <c r="F1267" s="126"/>
      <c r="G1267" s="125"/>
      <c r="H1267" s="125"/>
      <c r="I1267" s="99"/>
      <c r="K1267" s="84"/>
      <c r="L1267" s="84"/>
      <c r="M1267" s="84"/>
      <c r="N1267" s="84"/>
      <c r="O1267" s="84"/>
      <c r="P1267" s="84"/>
      <c r="Q1267" s="84"/>
      <c r="R1267" s="84"/>
    </row>
    <row r="1268" ht="15.75" customHeight="1">
      <c r="A1268" s="125">
        <v>1.9000039E7</v>
      </c>
      <c r="B1268" s="125" t="s">
        <v>2423</v>
      </c>
      <c r="C1268" s="125"/>
      <c r="D1268" s="125"/>
      <c r="E1268" s="126"/>
      <c r="F1268" s="126"/>
      <c r="G1268" s="125"/>
      <c r="H1268" s="125"/>
      <c r="I1268" s="99"/>
      <c r="K1268" s="84"/>
      <c r="L1268" s="84"/>
      <c r="M1268" s="84"/>
      <c r="N1268" s="84"/>
      <c r="O1268" s="84"/>
      <c r="P1268" s="84"/>
      <c r="Q1268" s="84"/>
      <c r="R1268" s="84"/>
    </row>
    <row r="1269" ht="15.75" customHeight="1">
      <c r="A1269" s="125">
        <v>1.900004E7</v>
      </c>
      <c r="B1269" s="125" t="s">
        <v>2424</v>
      </c>
      <c r="C1269" s="125"/>
      <c r="D1269" s="125"/>
      <c r="E1269" s="126"/>
      <c r="F1269" s="126"/>
      <c r="G1269" s="125"/>
      <c r="H1269" s="125"/>
      <c r="I1269" s="99"/>
      <c r="K1269" s="84"/>
      <c r="L1269" s="84"/>
      <c r="M1269" s="84"/>
      <c r="N1269" s="84"/>
      <c r="O1269" s="84"/>
      <c r="P1269" s="84"/>
      <c r="Q1269" s="84"/>
      <c r="R1269" s="84"/>
    </row>
    <row r="1270" ht="15.75" customHeight="1">
      <c r="A1270" s="125">
        <v>1.9000041E7</v>
      </c>
      <c r="B1270" s="125" t="s">
        <v>2425</v>
      </c>
      <c r="C1270" s="125"/>
      <c r="D1270" s="125"/>
      <c r="E1270" s="126"/>
      <c r="F1270" s="126"/>
      <c r="G1270" s="125"/>
      <c r="H1270" s="125"/>
      <c r="I1270" s="99"/>
      <c r="K1270" s="84"/>
      <c r="L1270" s="84"/>
      <c r="M1270" s="84"/>
      <c r="N1270" s="84"/>
      <c r="O1270" s="84"/>
      <c r="P1270" s="84"/>
      <c r="Q1270" s="84"/>
      <c r="R1270" s="84"/>
    </row>
    <row r="1271" ht="15.75" customHeight="1">
      <c r="A1271" s="125">
        <v>1.9000042E7</v>
      </c>
      <c r="B1271" s="125" t="s">
        <v>2426</v>
      </c>
      <c r="C1271" s="125"/>
      <c r="D1271" s="125"/>
      <c r="E1271" s="126"/>
      <c r="F1271" s="126"/>
      <c r="G1271" s="125"/>
      <c r="H1271" s="125"/>
      <c r="I1271" s="99"/>
      <c r="K1271" s="84"/>
      <c r="L1271" s="84"/>
      <c r="M1271" s="84"/>
      <c r="N1271" s="84"/>
      <c r="O1271" s="84"/>
      <c r="P1271" s="84"/>
      <c r="Q1271" s="84"/>
      <c r="R1271" s="84"/>
    </row>
    <row r="1272" ht="15.75" customHeight="1">
      <c r="A1272" s="125">
        <v>1.9000043E7</v>
      </c>
      <c r="B1272" s="125" t="s">
        <v>2427</v>
      </c>
      <c r="C1272" s="125"/>
      <c r="D1272" s="125"/>
      <c r="E1272" s="126"/>
      <c r="F1272" s="126"/>
      <c r="G1272" s="125"/>
      <c r="H1272" s="125"/>
      <c r="I1272" s="99"/>
      <c r="K1272" s="84"/>
      <c r="L1272" s="84"/>
      <c r="M1272" s="84"/>
      <c r="N1272" s="84"/>
      <c r="O1272" s="84"/>
      <c r="P1272" s="84"/>
      <c r="Q1272" s="84"/>
      <c r="R1272" s="84"/>
    </row>
    <row r="1273" ht="15.75" customHeight="1">
      <c r="A1273" s="125">
        <v>1.9000044E7</v>
      </c>
      <c r="B1273" s="125" t="s">
        <v>2428</v>
      </c>
      <c r="C1273" s="125"/>
      <c r="D1273" s="125"/>
      <c r="E1273" s="126"/>
      <c r="F1273" s="126"/>
      <c r="G1273" s="125"/>
      <c r="H1273" s="125"/>
      <c r="I1273" s="99"/>
      <c r="K1273" s="84"/>
      <c r="L1273" s="84"/>
      <c r="M1273" s="84"/>
      <c r="N1273" s="84"/>
      <c r="O1273" s="84"/>
      <c r="P1273" s="84"/>
      <c r="Q1273" s="84"/>
      <c r="R1273" s="84"/>
    </row>
    <row r="1274" ht="15.75" customHeight="1">
      <c r="A1274" s="125">
        <v>1.9000045E7</v>
      </c>
      <c r="B1274" s="125" t="s">
        <v>2429</v>
      </c>
      <c r="C1274" s="125"/>
      <c r="D1274" s="125"/>
      <c r="E1274" s="126"/>
      <c r="F1274" s="126"/>
      <c r="G1274" s="125"/>
      <c r="H1274" s="125"/>
      <c r="I1274" s="99"/>
      <c r="K1274" s="84"/>
      <c r="L1274" s="84"/>
      <c r="M1274" s="84"/>
      <c r="N1274" s="84"/>
      <c r="O1274" s="84"/>
      <c r="P1274" s="84"/>
      <c r="Q1274" s="84"/>
      <c r="R1274" s="84"/>
    </row>
    <row r="1275" ht="15.75" customHeight="1">
      <c r="A1275" s="125">
        <v>1.9000046E7</v>
      </c>
      <c r="B1275" s="125" t="s">
        <v>2430</v>
      </c>
      <c r="C1275" s="125"/>
      <c r="D1275" s="125"/>
      <c r="E1275" s="126"/>
      <c r="F1275" s="126"/>
      <c r="G1275" s="125"/>
      <c r="H1275" s="125"/>
      <c r="I1275" s="99"/>
      <c r="K1275" s="84"/>
      <c r="L1275" s="84"/>
      <c r="M1275" s="84"/>
      <c r="N1275" s="84"/>
      <c r="O1275" s="84"/>
      <c r="P1275" s="84"/>
      <c r="Q1275" s="84"/>
      <c r="R1275" s="84"/>
    </row>
    <row r="1276" ht="15.75" customHeight="1">
      <c r="A1276" s="125">
        <v>1.9000047E7</v>
      </c>
      <c r="B1276" s="125" t="s">
        <v>2431</v>
      </c>
      <c r="C1276" s="125"/>
      <c r="D1276" s="125"/>
      <c r="E1276" s="126"/>
      <c r="F1276" s="126"/>
      <c r="G1276" s="125"/>
      <c r="H1276" s="125"/>
      <c r="I1276" s="99"/>
      <c r="K1276" s="84"/>
      <c r="L1276" s="84"/>
      <c r="M1276" s="84"/>
      <c r="N1276" s="84"/>
      <c r="O1276" s="84"/>
      <c r="P1276" s="84"/>
      <c r="Q1276" s="84"/>
      <c r="R1276" s="84"/>
    </row>
    <row r="1277" ht="15.75" customHeight="1">
      <c r="A1277" s="125">
        <v>1.9000048E7</v>
      </c>
      <c r="B1277" s="125" t="s">
        <v>2432</v>
      </c>
      <c r="C1277" s="125"/>
      <c r="D1277" s="125"/>
      <c r="E1277" s="126"/>
      <c r="F1277" s="126"/>
      <c r="G1277" s="125"/>
      <c r="H1277" s="125"/>
      <c r="I1277" s="99"/>
      <c r="K1277" s="84"/>
      <c r="L1277" s="84"/>
      <c r="M1277" s="84"/>
      <c r="N1277" s="84"/>
      <c r="O1277" s="84"/>
      <c r="P1277" s="84"/>
      <c r="Q1277" s="84"/>
      <c r="R1277" s="84"/>
    </row>
    <row r="1278" ht="15.75" customHeight="1">
      <c r="A1278" s="125">
        <v>1.9000049E7</v>
      </c>
      <c r="B1278" s="125" t="s">
        <v>2433</v>
      </c>
      <c r="C1278" s="125"/>
      <c r="D1278" s="125"/>
      <c r="E1278" s="126"/>
      <c r="F1278" s="126"/>
      <c r="G1278" s="125"/>
      <c r="H1278" s="125"/>
      <c r="I1278" s="99"/>
      <c r="K1278" s="84"/>
      <c r="L1278" s="84"/>
      <c r="M1278" s="84"/>
      <c r="N1278" s="84"/>
      <c r="O1278" s="84"/>
      <c r="P1278" s="84"/>
      <c r="Q1278" s="84"/>
      <c r="R1278" s="84"/>
    </row>
    <row r="1279" ht="15.75" customHeight="1">
      <c r="A1279" s="125">
        <v>1.900005E7</v>
      </c>
      <c r="B1279" s="125" t="s">
        <v>2434</v>
      </c>
      <c r="C1279" s="125"/>
      <c r="D1279" s="125"/>
      <c r="E1279" s="126"/>
      <c r="F1279" s="126"/>
      <c r="G1279" s="125"/>
      <c r="H1279" s="125"/>
      <c r="I1279" s="99"/>
      <c r="K1279" s="84"/>
      <c r="L1279" s="84"/>
      <c r="M1279" s="84"/>
      <c r="N1279" s="84"/>
      <c r="O1279" s="84"/>
      <c r="P1279" s="84"/>
      <c r="Q1279" s="84"/>
      <c r="R1279" s="84"/>
    </row>
    <row r="1280" ht="15.75" customHeight="1">
      <c r="A1280" s="125">
        <v>1.9000051E7</v>
      </c>
      <c r="B1280" s="125" t="s">
        <v>2435</v>
      </c>
      <c r="C1280" s="125"/>
      <c r="D1280" s="125"/>
      <c r="E1280" s="126"/>
      <c r="F1280" s="126"/>
      <c r="G1280" s="125"/>
      <c r="H1280" s="125"/>
      <c r="I1280" s="99"/>
      <c r="K1280" s="84"/>
      <c r="L1280" s="84"/>
      <c r="M1280" s="84"/>
      <c r="N1280" s="84"/>
      <c r="O1280" s="84"/>
      <c r="P1280" s="84"/>
      <c r="Q1280" s="84"/>
      <c r="R1280" s="84"/>
    </row>
    <row r="1281" ht="15.75" customHeight="1">
      <c r="A1281" s="125">
        <v>1.9000052E7</v>
      </c>
      <c r="B1281" s="125" t="s">
        <v>2436</v>
      </c>
      <c r="C1281" s="125"/>
      <c r="D1281" s="125"/>
      <c r="E1281" s="126"/>
      <c r="F1281" s="126"/>
      <c r="G1281" s="125"/>
      <c r="H1281" s="125"/>
      <c r="I1281" s="99"/>
      <c r="K1281" s="84"/>
      <c r="L1281" s="84"/>
      <c r="M1281" s="84"/>
      <c r="N1281" s="84"/>
      <c r="O1281" s="84"/>
      <c r="P1281" s="84"/>
      <c r="Q1281" s="84"/>
      <c r="R1281" s="84"/>
    </row>
    <row r="1282" ht="15.75" customHeight="1">
      <c r="A1282" s="125">
        <v>1.9000053E7</v>
      </c>
      <c r="B1282" s="125" t="s">
        <v>2437</v>
      </c>
      <c r="C1282" s="125"/>
      <c r="D1282" s="125"/>
      <c r="E1282" s="126"/>
      <c r="F1282" s="126"/>
      <c r="G1282" s="125"/>
      <c r="H1282" s="125"/>
      <c r="I1282" s="99"/>
      <c r="K1282" s="84"/>
      <c r="L1282" s="84"/>
      <c r="M1282" s="84"/>
      <c r="N1282" s="84"/>
      <c r="O1282" s="84"/>
      <c r="P1282" s="84"/>
      <c r="Q1282" s="84"/>
      <c r="R1282" s="84"/>
    </row>
    <row r="1283" ht="15.75" customHeight="1">
      <c r="A1283" s="125">
        <v>1.9000054E7</v>
      </c>
      <c r="B1283" s="125" t="s">
        <v>2438</v>
      </c>
      <c r="C1283" s="125"/>
      <c r="D1283" s="125"/>
      <c r="E1283" s="126"/>
      <c r="F1283" s="126"/>
      <c r="G1283" s="125"/>
      <c r="H1283" s="125"/>
      <c r="I1283" s="99"/>
      <c r="K1283" s="84"/>
      <c r="L1283" s="84"/>
      <c r="M1283" s="84"/>
      <c r="N1283" s="84"/>
      <c r="O1283" s="84"/>
      <c r="P1283" s="84"/>
      <c r="Q1283" s="84"/>
      <c r="R1283" s="84"/>
    </row>
    <row r="1284" ht="15.75" customHeight="1">
      <c r="A1284" s="125">
        <v>1.9000055E7</v>
      </c>
      <c r="B1284" s="125" t="s">
        <v>2439</v>
      </c>
      <c r="C1284" s="125"/>
      <c r="D1284" s="125"/>
      <c r="E1284" s="126"/>
      <c r="F1284" s="126"/>
      <c r="G1284" s="125"/>
      <c r="H1284" s="125"/>
      <c r="I1284" s="99"/>
      <c r="K1284" s="84"/>
      <c r="L1284" s="84"/>
      <c r="M1284" s="84"/>
      <c r="N1284" s="84"/>
      <c r="O1284" s="84"/>
      <c r="P1284" s="84"/>
      <c r="Q1284" s="84"/>
      <c r="R1284" s="84"/>
    </row>
    <row r="1285" ht="15.75" customHeight="1">
      <c r="A1285" s="125">
        <v>1.9000056E7</v>
      </c>
      <c r="B1285" s="125" t="s">
        <v>2440</v>
      </c>
      <c r="C1285" s="125"/>
      <c r="D1285" s="125"/>
      <c r="E1285" s="126"/>
      <c r="F1285" s="126"/>
      <c r="G1285" s="125"/>
      <c r="H1285" s="125"/>
      <c r="I1285" s="99"/>
      <c r="K1285" s="84"/>
      <c r="L1285" s="84"/>
      <c r="M1285" s="84"/>
      <c r="N1285" s="84"/>
      <c r="O1285" s="84"/>
      <c r="P1285" s="84"/>
      <c r="Q1285" s="84"/>
      <c r="R1285" s="84"/>
    </row>
    <row r="1286" ht="15.75" customHeight="1">
      <c r="A1286" s="125">
        <v>1.9000057E7</v>
      </c>
      <c r="B1286" s="125" t="s">
        <v>2441</v>
      </c>
      <c r="C1286" s="125"/>
      <c r="D1286" s="125"/>
      <c r="E1286" s="126"/>
      <c r="F1286" s="126"/>
      <c r="G1286" s="125"/>
      <c r="H1286" s="125"/>
      <c r="I1286" s="99"/>
      <c r="K1286" s="84"/>
      <c r="L1286" s="84"/>
      <c r="M1286" s="84"/>
      <c r="N1286" s="84"/>
      <c r="O1286" s="84"/>
      <c r="P1286" s="84"/>
      <c r="Q1286" s="84"/>
      <c r="R1286" s="84"/>
    </row>
    <row r="1287" ht="15.75" customHeight="1">
      <c r="A1287" s="125">
        <v>1.9000058E7</v>
      </c>
      <c r="B1287" s="125" t="s">
        <v>2442</v>
      </c>
      <c r="C1287" s="125"/>
      <c r="D1287" s="125"/>
      <c r="E1287" s="126"/>
      <c r="F1287" s="126"/>
      <c r="G1287" s="125"/>
      <c r="H1287" s="125"/>
      <c r="I1287" s="99"/>
      <c r="K1287" s="84"/>
      <c r="L1287" s="84"/>
      <c r="M1287" s="84"/>
      <c r="N1287" s="84"/>
      <c r="O1287" s="84"/>
      <c r="P1287" s="84"/>
      <c r="Q1287" s="84"/>
      <c r="R1287" s="84"/>
    </row>
    <row r="1288" ht="15.75" customHeight="1">
      <c r="A1288" s="125">
        <v>1.9000059E7</v>
      </c>
      <c r="B1288" s="125" t="s">
        <v>2443</v>
      </c>
      <c r="C1288" s="125"/>
      <c r="D1288" s="125"/>
      <c r="E1288" s="126"/>
      <c r="F1288" s="126"/>
      <c r="G1288" s="125"/>
      <c r="H1288" s="125"/>
      <c r="I1288" s="99"/>
      <c r="K1288" s="84"/>
      <c r="L1288" s="84"/>
      <c r="M1288" s="84"/>
      <c r="N1288" s="84"/>
      <c r="O1288" s="84"/>
      <c r="P1288" s="84"/>
      <c r="Q1288" s="84"/>
      <c r="R1288" s="84"/>
    </row>
    <row r="1289" ht="15.75" customHeight="1">
      <c r="A1289" s="125">
        <v>1.900006E7</v>
      </c>
      <c r="B1289" s="125" t="s">
        <v>2444</v>
      </c>
      <c r="C1289" s="125"/>
      <c r="D1289" s="125"/>
      <c r="E1289" s="126"/>
      <c r="F1289" s="126"/>
      <c r="G1289" s="125"/>
      <c r="H1289" s="125"/>
      <c r="I1289" s="99"/>
      <c r="K1289" s="84"/>
      <c r="L1289" s="84"/>
      <c r="M1289" s="84"/>
      <c r="N1289" s="84"/>
      <c r="O1289" s="84"/>
      <c r="P1289" s="84"/>
      <c r="Q1289" s="84"/>
      <c r="R1289" s="84"/>
    </row>
    <row r="1290" ht="15.75" customHeight="1">
      <c r="A1290" s="125">
        <v>1.9000061E7</v>
      </c>
      <c r="B1290" s="125" t="s">
        <v>2445</v>
      </c>
      <c r="C1290" s="125"/>
      <c r="D1290" s="125"/>
      <c r="E1290" s="126"/>
      <c r="F1290" s="126"/>
      <c r="G1290" s="125"/>
      <c r="H1290" s="125"/>
      <c r="I1290" s="99"/>
      <c r="K1290" s="84"/>
      <c r="L1290" s="84"/>
      <c r="M1290" s="84"/>
      <c r="N1290" s="84"/>
      <c r="O1290" s="84"/>
      <c r="P1290" s="84"/>
      <c r="Q1290" s="84"/>
      <c r="R1290" s="84"/>
    </row>
    <row r="1291" ht="15.75" customHeight="1">
      <c r="A1291" s="125">
        <v>1.9000062E7</v>
      </c>
      <c r="B1291" s="125" t="s">
        <v>2446</v>
      </c>
      <c r="C1291" s="125"/>
      <c r="D1291" s="125"/>
      <c r="E1291" s="126"/>
      <c r="F1291" s="126"/>
      <c r="G1291" s="125"/>
      <c r="H1291" s="125"/>
      <c r="I1291" s="99"/>
      <c r="K1291" s="84"/>
      <c r="L1291" s="84"/>
      <c r="M1291" s="84"/>
      <c r="N1291" s="84"/>
      <c r="O1291" s="84"/>
      <c r="P1291" s="84"/>
      <c r="Q1291" s="84"/>
      <c r="R1291" s="84"/>
    </row>
    <row r="1292" ht="15.75" customHeight="1">
      <c r="A1292" s="125">
        <v>1.9000063E7</v>
      </c>
      <c r="B1292" s="125" t="s">
        <v>2447</v>
      </c>
      <c r="C1292" s="125"/>
      <c r="D1292" s="125"/>
      <c r="E1292" s="126"/>
      <c r="F1292" s="126"/>
      <c r="G1292" s="125"/>
      <c r="H1292" s="125"/>
      <c r="I1292" s="99"/>
      <c r="K1292" s="84"/>
      <c r="L1292" s="84"/>
      <c r="M1292" s="84"/>
      <c r="N1292" s="84"/>
      <c r="O1292" s="84"/>
      <c r="P1292" s="84"/>
      <c r="Q1292" s="84"/>
      <c r="R1292" s="84"/>
    </row>
    <row r="1293" ht="15.75" customHeight="1">
      <c r="A1293" s="125">
        <v>1.9000064E7</v>
      </c>
      <c r="B1293" s="125" t="s">
        <v>2448</v>
      </c>
      <c r="C1293" s="125"/>
      <c r="D1293" s="125"/>
      <c r="E1293" s="126"/>
      <c r="F1293" s="126"/>
      <c r="G1293" s="125"/>
      <c r="H1293" s="125"/>
      <c r="I1293" s="99"/>
      <c r="K1293" s="84"/>
      <c r="L1293" s="84"/>
      <c r="M1293" s="84"/>
      <c r="N1293" s="84"/>
      <c r="O1293" s="84"/>
      <c r="P1293" s="84"/>
      <c r="Q1293" s="84"/>
      <c r="R1293" s="84"/>
    </row>
    <row r="1294" ht="15.75" customHeight="1">
      <c r="A1294" s="125">
        <v>1.9000065E7</v>
      </c>
      <c r="B1294" s="125" t="s">
        <v>2449</v>
      </c>
      <c r="C1294" s="125"/>
      <c r="D1294" s="125"/>
      <c r="E1294" s="126"/>
      <c r="F1294" s="126"/>
      <c r="G1294" s="125"/>
      <c r="H1294" s="125"/>
      <c r="I1294" s="99"/>
      <c r="K1294" s="84"/>
      <c r="L1294" s="84"/>
      <c r="M1294" s="84"/>
      <c r="N1294" s="84"/>
      <c r="O1294" s="84"/>
      <c r="P1294" s="84"/>
      <c r="Q1294" s="84"/>
      <c r="R1294" s="84"/>
    </row>
    <row r="1295" ht="15.75" customHeight="1">
      <c r="A1295" s="125">
        <v>1.9000066E7</v>
      </c>
      <c r="B1295" s="125" t="s">
        <v>2450</v>
      </c>
      <c r="C1295" s="125"/>
      <c r="D1295" s="125"/>
      <c r="E1295" s="126"/>
      <c r="F1295" s="126"/>
      <c r="G1295" s="125"/>
      <c r="H1295" s="125"/>
      <c r="I1295" s="99"/>
      <c r="K1295" s="84"/>
      <c r="L1295" s="84"/>
      <c r="M1295" s="84"/>
      <c r="N1295" s="84"/>
      <c r="O1295" s="84"/>
      <c r="P1295" s="84"/>
      <c r="Q1295" s="84"/>
      <c r="R1295" s="84"/>
    </row>
    <row r="1296" ht="15.75" customHeight="1">
      <c r="A1296" s="125">
        <v>1.9000067E7</v>
      </c>
      <c r="B1296" s="125" t="s">
        <v>2451</v>
      </c>
      <c r="C1296" s="125"/>
      <c r="D1296" s="125"/>
      <c r="E1296" s="126"/>
      <c r="F1296" s="126"/>
      <c r="G1296" s="125"/>
      <c r="H1296" s="125"/>
      <c r="I1296" s="99"/>
      <c r="K1296" s="84"/>
      <c r="L1296" s="84"/>
      <c r="M1296" s="84"/>
      <c r="N1296" s="84"/>
      <c r="O1296" s="84"/>
      <c r="P1296" s="84"/>
      <c r="Q1296" s="84"/>
      <c r="R1296" s="84"/>
    </row>
    <row r="1297" ht="15.75" customHeight="1">
      <c r="A1297" s="125">
        <v>1.9000068E7</v>
      </c>
      <c r="B1297" s="125" t="s">
        <v>2452</v>
      </c>
      <c r="C1297" s="125"/>
      <c r="D1297" s="125"/>
      <c r="E1297" s="126"/>
      <c r="F1297" s="126"/>
      <c r="G1297" s="125"/>
      <c r="H1297" s="125"/>
      <c r="I1297" s="99"/>
      <c r="K1297" s="84"/>
      <c r="L1297" s="84"/>
      <c r="M1297" s="84"/>
      <c r="N1297" s="84"/>
      <c r="O1297" s="84"/>
      <c r="P1297" s="84"/>
      <c r="Q1297" s="84"/>
      <c r="R1297" s="84"/>
    </row>
    <row r="1298" ht="15.75" customHeight="1">
      <c r="A1298" s="125">
        <v>1.9000069E7</v>
      </c>
      <c r="B1298" s="125" t="s">
        <v>2453</v>
      </c>
      <c r="C1298" s="125"/>
      <c r="D1298" s="125"/>
      <c r="E1298" s="126"/>
      <c r="F1298" s="126"/>
      <c r="G1298" s="125"/>
      <c r="H1298" s="125"/>
      <c r="I1298" s="99"/>
      <c r="K1298" s="84"/>
      <c r="L1298" s="84"/>
      <c r="M1298" s="84"/>
      <c r="N1298" s="84"/>
      <c r="O1298" s="84"/>
      <c r="P1298" s="84"/>
      <c r="Q1298" s="84"/>
      <c r="R1298" s="84"/>
    </row>
    <row r="1299" ht="15.75" customHeight="1">
      <c r="A1299" s="125">
        <v>1.900007E7</v>
      </c>
      <c r="B1299" s="125" t="s">
        <v>2454</v>
      </c>
      <c r="C1299" s="125"/>
      <c r="D1299" s="125"/>
      <c r="E1299" s="126"/>
      <c r="F1299" s="126"/>
      <c r="G1299" s="125"/>
      <c r="H1299" s="125"/>
      <c r="I1299" s="99"/>
      <c r="K1299" s="84"/>
      <c r="L1299" s="84"/>
      <c r="M1299" s="84"/>
      <c r="N1299" s="84"/>
      <c r="O1299" s="84"/>
      <c r="P1299" s="84"/>
      <c r="Q1299" s="84"/>
      <c r="R1299" s="84"/>
    </row>
    <row r="1300" ht="15.75" customHeight="1">
      <c r="A1300" s="125">
        <v>1.9000071E7</v>
      </c>
      <c r="B1300" s="125" t="s">
        <v>2455</v>
      </c>
      <c r="C1300" s="125"/>
      <c r="D1300" s="125"/>
      <c r="E1300" s="126"/>
      <c r="F1300" s="126"/>
      <c r="G1300" s="125"/>
      <c r="H1300" s="125"/>
      <c r="I1300" s="99"/>
      <c r="K1300" s="84"/>
      <c r="L1300" s="84"/>
      <c r="M1300" s="84"/>
      <c r="N1300" s="84"/>
      <c r="O1300" s="84"/>
      <c r="P1300" s="84"/>
      <c r="Q1300" s="84"/>
      <c r="R1300" s="84"/>
    </row>
    <row r="1301" ht="15.75" customHeight="1">
      <c r="A1301" s="125">
        <v>1.9000072E7</v>
      </c>
      <c r="B1301" s="125" t="s">
        <v>2456</v>
      </c>
      <c r="C1301" s="125"/>
      <c r="D1301" s="125"/>
      <c r="E1301" s="126"/>
      <c r="F1301" s="126"/>
      <c r="G1301" s="125"/>
      <c r="H1301" s="125"/>
      <c r="I1301" s="99"/>
      <c r="K1301" s="84"/>
      <c r="L1301" s="84"/>
      <c r="M1301" s="84"/>
      <c r="N1301" s="84"/>
      <c r="O1301" s="84"/>
      <c r="P1301" s="84"/>
      <c r="Q1301" s="84"/>
      <c r="R1301" s="84"/>
    </row>
    <row r="1302" ht="15.75" customHeight="1">
      <c r="A1302" s="125">
        <v>1.9000073E7</v>
      </c>
      <c r="B1302" s="125" t="s">
        <v>2457</v>
      </c>
      <c r="C1302" s="125"/>
      <c r="D1302" s="125"/>
      <c r="E1302" s="126"/>
      <c r="F1302" s="126"/>
      <c r="G1302" s="125"/>
      <c r="H1302" s="125"/>
      <c r="I1302" s="99"/>
      <c r="K1302" s="84"/>
      <c r="L1302" s="84"/>
      <c r="M1302" s="84"/>
      <c r="N1302" s="84"/>
      <c r="O1302" s="84"/>
      <c r="P1302" s="84"/>
      <c r="Q1302" s="84"/>
      <c r="R1302" s="84"/>
    </row>
    <row r="1303" ht="15.75" customHeight="1">
      <c r="A1303" s="125">
        <v>1.9000074E7</v>
      </c>
      <c r="B1303" s="125" t="s">
        <v>2458</v>
      </c>
      <c r="C1303" s="125"/>
      <c r="D1303" s="125"/>
      <c r="E1303" s="126"/>
      <c r="F1303" s="126"/>
      <c r="G1303" s="125"/>
      <c r="H1303" s="125"/>
      <c r="I1303" s="99"/>
      <c r="K1303" s="84"/>
      <c r="L1303" s="84"/>
      <c r="M1303" s="84"/>
      <c r="N1303" s="84"/>
      <c r="O1303" s="84"/>
      <c r="P1303" s="84"/>
      <c r="Q1303" s="84"/>
      <c r="R1303" s="84"/>
    </row>
    <row r="1304" ht="15.75" customHeight="1">
      <c r="A1304" s="125">
        <v>1.9000075E7</v>
      </c>
      <c r="B1304" s="125" t="s">
        <v>2459</v>
      </c>
      <c r="C1304" s="125"/>
      <c r="D1304" s="125"/>
      <c r="E1304" s="126"/>
      <c r="F1304" s="126"/>
      <c r="G1304" s="125"/>
      <c r="H1304" s="125"/>
      <c r="I1304" s="99"/>
      <c r="K1304" s="84"/>
      <c r="L1304" s="84"/>
      <c r="M1304" s="84"/>
      <c r="N1304" s="84"/>
      <c r="O1304" s="84"/>
      <c r="P1304" s="84"/>
      <c r="Q1304" s="84"/>
      <c r="R1304" s="84"/>
    </row>
    <row r="1305" ht="15.75" customHeight="1">
      <c r="A1305" s="125">
        <v>1.9000076E7</v>
      </c>
      <c r="B1305" s="125" t="s">
        <v>2460</v>
      </c>
      <c r="C1305" s="125"/>
      <c r="D1305" s="125"/>
      <c r="E1305" s="126"/>
      <c r="F1305" s="126"/>
      <c r="G1305" s="125"/>
      <c r="H1305" s="125"/>
      <c r="I1305" s="99"/>
      <c r="K1305" s="84"/>
      <c r="L1305" s="84"/>
      <c r="M1305" s="84"/>
      <c r="N1305" s="84"/>
      <c r="O1305" s="84"/>
      <c r="P1305" s="84"/>
      <c r="Q1305" s="84"/>
      <c r="R1305" s="84"/>
    </row>
    <row r="1306" ht="15.75" customHeight="1">
      <c r="A1306" s="125">
        <v>1.9000077E7</v>
      </c>
      <c r="B1306" s="125" t="s">
        <v>2461</v>
      </c>
      <c r="C1306" s="125"/>
      <c r="D1306" s="125"/>
      <c r="E1306" s="126"/>
      <c r="F1306" s="126"/>
      <c r="G1306" s="125"/>
      <c r="H1306" s="125"/>
      <c r="I1306" s="99"/>
      <c r="K1306" s="84"/>
      <c r="L1306" s="84"/>
      <c r="M1306" s="84"/>
      <c r="N1306" s="84"/>
      <c r="O1306" s="84"/>
      <c r="P1306" s="84"/>
      <c r="Q1306" s="84"/>
      <c r="R1306" s="84"/>
    </row>
    <row r="1307" ht="15.75" customHeight="1">
      <c r="A1307" s="125">
        <v>1.9000078E7</v>
      </c>
      <c r="B1307" s="125" t="s">
        <v>2462</v>
      </c>
      <c r="C1307" s="125"/>
      <c r="D1307" s="125"/>
      <c r="E1307" s="126"/>
      <c r="F1307" s="126"/>
      <c r="G1307" s="125"/>
      <c r="H1307" s="125"/>
      <c r="I1307" s="99"/>
      <c r="K1307" s="84"/>
      <c r="L1307" s="84"/>
      <c r="M1307" s="84"/>
      <c r="N1307" s="84"/>
      <c r="O1307" s="84"/>
      <c r="P1307" s="84"/>
      <c r="Q1307" s="84"/>
      <c r="R1307" s="84"/>
    </row>
    <row r="1308" ht="15.75" customHeight="1">
      <c r="A1308" s="125">
        <v>1.9000079E7</v>
      </c>
      <c r="B1308" s="125" t="s">
        <v>2463</v>
      </c>
      <c r="C1308" s="125"/>
      <c r="D1308" s="125"/>
      <c r="E1308" s="126"/>
      <c r="F1308" s="126"/>
      <c r="G1308" s="125"/>
      <c r="H1308" s="125"/>
      <c r="I1308" s="99"/>
      <c r="K1308" s="84"/>
      <c r="L1308" s="84"/>
      <c r="M1308" s="84"/>
      <c r="N1308" s="84"/>
      <c r="O1308" s="84"/>
      <c r="P1308" s="84"/>
      <c r="Q1308" s="84"/>
      <c r="R1308" s="84"/>
    </row>
    <row r="1309" ht="15.75" customHeight="1">
      <c r="A1309" s="125">
        <v>1.900008E7</v>
      </c>
      <c r="B1309" s="125" t="s">
        <v>2464</v>
      </c>
      <c r="C1309" s="125"/>
      <c r="D1309" s="125"/>
      <c r="E1309" s="126"/>
      <c r="F1309" s="126"/>
      <c r="G1309" s="125"/>
      <c r="H1309" s="125"/>
      <c r="I1309" s="99"/>
      <c r="K1309" s="84"/>
      <c r="L1309" s="84"/>
      <c r="M1309" s="84"/>
      <c r="N1309" s="84"/>
      <c r="O1309" s="84"/>
      <c r="P1309" s="84"/>
      <c r="Q1309" s="84"/>
      <c r="R1309" s="84"/>
    </row>
    <row r="1310" ht="15.75" customHeight="1">
      <c r="A1310" s="125">
        <v>1.9000081E7</v>
      </c>
      <c r="B1310" s="125" t="s">
        <v>2465</v>
      </c>
      <c r="C1310" s="125"/>
      <c r="D1310" s="125"/>
      <c r="E1310" s="126"/>
      <c r="F1310" s="126"/>
      <c r="G1310" s="125"/>
      <c r="H1310" s="125"/>
      <c r="I1310" s="99"/>
      <c r="K1310" s="84"/>
      <c r="L1310" s="84"/>
      <c r="M1310" s="84"/>
      <c r="N1310" s="84"/>
      <c r="O1310" s="84"/>
      <c r="P1310" s="84"/>
      <c r="Q1310" s="84"/>
      <c r="R1310" s="84"/>
    </row>
    <row r="1311" ht="15.75" customHeight="1">
      <c r="A1311" s="125">
        <v>1.9000082E7</v>
      </c>
      <c r="B1311" s="125" t="s">
        <v>2466</v>
      </c>
      <c r="C1311" s="125"/>
      <c r="D1311" s="125"/>
      <c r="E1311" s="126"/>
      <c r="F1311" s="126"/>
      <c r="G1311" s="125"/>
      <c r="H1311" s="125"/>
      <c r="I1311" s="99"/>
      <c r="K1311" s="84"/>
      <c r="L1311" s="84"/>
      <c r="M1311" s="84"/>
      <c r="N1311" s="84"/>
      <c r="O1311" s="84"/>
      <c r="P1311" s="84"/>
      <c r="Q1311" s="84"/>
      <c r="R1311" s="84"/>
    </row>
    <row r="1312" ht="15.75" customHeight="1">
      <c r="A1312" s="125">
        <v>1.9000083E7</v>
      </c>
      <c r="B1312" s="125" t="s">
        <v>2467</v>
      </c>
      <c r="C1312" s="125"/>
      <c r="D1312" s="125"/>
      <c r="E1312" s="126"/>
      <c r="F1312" s="126"/>
      <c r="G1312" s="125"/>
      <c r="H1312" s="125"/>
      <c r="I1312" s="99"/>
      <c r="K1312" s="84"/>
      <c r="L1312" s="84"/>
      <c r="M1312" s="84"/>
      <c r="N1312" s="84"/>
      <c r="O1312" s="84"/>
      <c r="P1312" s="84"/>
      <c r="Q1312" s="84"/>
      <c r="R1312" s="84"/>
    </row>
    <row r="1313" ht="15.75" customHeight="1">
      <c r="A1313" s="125">
        <v>1.9000084E7</v>
      </c>
      <c r="B1313" s="125" t="s">
        <v>2468</v>
      </c>
      <c r="C1313" s="125"/>
      <c r="D1313" s="125"/>
      <c r="E1313" s="126"/>
      <c r="F1313" s="126"/>
      <c r="G1313" s="125"/>
      <c r="H1313" s="125"/>
      <c r="I1313" s="99"/>
      <c r="K1313" s="84"/>
      <c r="L1313" s="84"/>
      <c r="M1313" s="84"/>
      <c r="N1313" s="84"/>
      <c r="O1313" s="84"/>
      <c r="P1313" s="84"/>
      <c r="Q1313" s="84"/>
      <c r="R1313" s="84"/>
    </row>
    <row r="1314" ht="15.75" customHeight="1">
      <c r="A1314" s="125">
        <v>1.90001E7</v>
      </c>
      <c r="B1314" s="214" t="s">
        <v>2469</v>
      </c>
      <c r="C1314" s="125" t="s">
        <v>2470</v>
      </c>
      <c r="D1314" s="125"/>
      <c r="E1314" s="126"/>
      <c r="F1314" s="126"/>
      <c r="G1314" s="125"/>
      <c r="H1314" s="125"/>
      <c r="I1314" s="99"/>
      <c r="K1314" s="84"/>
      <c r="L1314" s="84"/>
      <c r="M1314" s="84"/>
      <c r="N1314" s="84"/>
      <c r="O1314" s="84"/>
      <c r="P1314" s="84"/>
      <c r="Q1314" s="84"/>
      <c r="R1314" s="84"/>
    </row>
    <row r="1315" ht="15.75" customHeight="1">
      <c r="A1315" s="125">
        <v>1.9000101E7</v>
      </c>
      <c r="B1315" s="125" t="s">
        <v>2471</v>
      </c>
      <c r="C1315" s="125"/>
      <c r="D1315" s="125"/>
      <c r="E1315" s="126"/>
      <c r="F1315" s="126"/>
      <c r="G1315" s="125"/>
      <c r="H1315" s="125"/>
      <c r="I1315" s="99"/>
      <c r="K1315" s="84"/>
      <c r="L1315" s="84"/>
      <c r="M1315" s="84"/>
      <c r="N1315" s="84"/>
      <c r="O1315" s="84"/>
      <c r="P1315" s="84"/>
      <c r="Q1315" s="84"/>
      <c r="R1315" s="84"/>
    </row>
    <row r="1316" ht="15.75" customHeight="1">
      <c r="A1316" s="125">
        <v>1.9000102E7</v>
      </c>
      <c r="B1316" s="125" t="s">
        <v>2472</v>
      </c>
      <c r="C1316" s="125"/>
      <c r="D1316" s="125"/>
      <c r="E1316" s="126"/>
      <c r="F1316" s="126"/>
      <c r="G1316" s="125"/>
      <c r="H1316" s="125"/>
      <c r="I1316" s="99"/>
      <c r="K1316" s="84"/>
      <c r="L1316" s="84"/>
      <c r="M1316" s="84"/>
      <c r="N1316" s="84"/>
      <c r="O1316" s="84"/>
      <c r="P1316" s="84"/>
      <c r="Q1316" s="84"/>
      <c r="R1316" s="84"/>
    </row>
    <row r="1317" ht="15.75" customHeight="1">
      <c r="A1317" s="125">
        <v>1.9000103E7</v>
      </c>
      <c r="B1317" s="125" t="s">
        <v>2473</v>
      </c>
      <c r="C1317" s="125"/>
      <c r="D1317" s="125"/>
      <c r="E1317" s="126"/>
      <c r="F1317" s="126"/>
      <c r="G1317" s="125"/>
      <c r="H1317" s="125"/>
      <c r="I1317" s="99"/>
      <c r="K1317" s="84"/>
      <c r="L1317" s="84"/>
      <c r="M1317" s="84"/>
      <c r="N1317" s="84"/>
      <c r="O1317" s="84"/>
      <c r="P1317" s="84"/>
      <c r="Q1317" s="84"/>
      <c r="R1317" s="84"/>
    </row>
    <row r="1318" ht="15.75" customHeight="1">
      <c r="A1318" s="125">
        <v>1.9000104E7</v>
      </c>
      <c r="B1318" s="125" t="s">
        <v>2474</v>
      </c>
      <c r="C1318" s="125"/>
      <c r="D1318" s="125"/>
      <c r="E1318" s="126"/>
      <c r="F1318" s="126"/>
      <c r="G1318" s="125"/>
      <c r="H1318" s="125"/>
      <c r="I1318" s="99"/>
      <c r="K1318" s="84"/>
      <c r="L1318" s="84"/>
      <c r="M1318" s="84"/>
      <c r="N1318" s="84"/>
      <c r="O1318" s="84"/>
      <c r="P1318" s="84"/>
      <c r="Q1318" s="84"/>
      <c r="R1318" s="84"/>
    </row>
    <row r="1319" ht="15.75" customHeight="1">
      <c r="A1319" s="125">
        <v>1.9000105E7</v>
      </c>
      <c r="B1319" s="125" t="s">
        <v>2475</v>
      </c>
      <c r="C1319" s="125"/>
      <c r="D1319" s="125"/>
      <c r="E1319" s="126"/>
      <c r="F1319" s="126"/>
      <c r="G1319" s="125"/>
      <c r="H1319" s="125"/>
      <c r="I1319" s="99"/>
      <c r="K1319" s="84"/>
      <c r="L1319" s="84"/>
      <c r="M1319" s="84"/>
      <c r="N1319" s="84"/>
      <c r="O1319" s="84"/>
      <c r="P1319" s="84"/>
      <c r="Q1319" s="84"/>
      <c r="R1319" s="84"/>
    </row>
    <row r="1320" ht="15.75" customHeight="1">
      <c r="A1320" s="125">
        <v>1.9000106E7</v>
      </c>
      <c r="B1320" s="125" t="s">
        <v>2476</v>
      </c>
      <c r="C1320" s="125"/>
      <c r="D1320" s="125"/>
      <c r="E1320" s="126"/>
      <c r="F1320" s="126"/>
      <c r="G1320" s="125"/>
      <c r="H1320" s="125"/>
      <c r="I1320" s="99"/>
      <c r="K1320" s="84"/>
      <c r="L1320" s="84"/>
      <c r="M1320" s="84"/>
      <c r="N1320" s="84"/>
      <c r="O1320" s="84"/>
      <c r="P1320" s="84"/>
      <c r="Q1320" s="84"/>
      <c r="R1320" s="84"/>
    </row>
    <row r="1321" ht="15.75" customHeight="1">
      <c r="A1321" s="125">
        <v>1.9000107E7</v>
      </c>
      <c r="B1321" s="125" t="s">
        <v>2477</v>
      </c>
      <c r="C1321" s="125"/>
      <c r="D1321" s="125"/>
      <c r="E1321" s="126"/>
      <c r="F1321" s="126"/>
      <c r="G1321" s="125"/>
      <c r="H1321" s="125"/>
      <c r="I1321" s="99"/>
      <c r="K1321" s="84"/>
      <c r="L1321" s="84"/>
      <c r="M1321" s="84"/>
      <c r="N1321" s="84"/>
      <c r="O1321" s="84"/>
      <c r="P1321" s="84"/>
      <c r="Q1321" s="84"/>
      <c r="R1321" s="84"/>
    </row>
    <row r="1322" ht="15.75" customHeight="1">
      <c r="A1322" s="125">
        <v>1.9000108E7</v>
      </c>
      <c r="B1322" s="125" t="s">
        <v>2478</v>
      </c>
      <c r="C1322" s="125"/>
      <c r="D1322" s="125"/>
      <c r="E1322" s="126"/>
      <c r="F1322" s="126"/>
      <c r="G1322" s="125"/>
      <c r="H1322" s="125"/>
      <c r="I1322" s="99"/>
      <c r="K1322" s="84"/>
      <c r="L1322" s="84"/>
      <c r="M1322" s="84"/>
      <c r="N1322" s="84"/>
      <c r="O1322" s="84"/>
      <c r="P1322" s="84"/>
      <c r="Q1322" s="84"/>
      <c r="R1322" s="84"/>
    </row>
    <row r="1323" ht="15.75" customHeight="1">
      <c r="A1323" s="125">
        <v>1.9000109E7</v>
      </c>
      <c r="B1323" s="125" t="s">
        <v>2479</v>
      </c>
      <c r="C1323" s="125"/>
      <c r="D1323" s="125"/>
      <c r="E1323" s="126"/>
      <c r="F1323" s="126"/>
      <c r="G1323" s="125"/>
      <c r="H1323" s="125"/>
      <c r="I1323" s="99"/>
      <c r="K1323" s="84"/>
      <c r="L1323" s="84"/>
      <c r="M1323" s="84"/>
      <c r="N1323" s="84"/>
      <c r="O1323" s="84"/>
      <c r="P1323" s="84"/>
      <c r="Q1323" s="84"/>
      <c r="R1323" s="84"/>
    </row>
    <row r="1324" ht="15.75" customHeight="1">
      <c r="A1324" s="125">
        <v>1.900011E7</v>
      </c>
      <c r="B1324" s="125" t="s">
        <v>2480</v>
      </c>
      <c r="C1324" s="125"/>
      <c r="D1324" s="125"/>
      <c r="E1324" s="126"/>
      <c r="F1324" s="126"/>
      <c r="G1324" s="125"/>
      <c r="H1324" s="125"/>
      <c r="I1324" s="99"/>
      <c r="K1324" s="84"/>
      <c r="L1324" s="84"/>
      <c r="M1324" s="84"/>
      <c r="N1324" s="84"/>
      <c r="O1324" s="84"/>
      <c r="P1324" s="84"/>
      <c r="Q1324" s="84"/>
      <c r="R1324" s="84"/>
    </row>
    <row r="1325" ht="15.75" customHeight="1">
      <c r="A1325" s="125">
        <v>1.9000111E7</v>
      </c>
      <c r="B1325" s="125" t="s">
        <v>2481</v>
      </c>
      <c r="C1325" s="125"/>
      <c r="D1325" s="125"/>
      <c r="E1325" s="126"/>
      <c r="F1325" s="126"/>
      <c r="G1325" s="125"/>
      <c r="H1325" s="125"/>
      <c r="I1325" s="99"/>
      <c r="K1325" s="84"/>
      <c r="L1325" s="84"/>
      <c r="M1325" s="84"/>
      <c r="N1325" s="84"/>
      <c r="O1325" s="84"/>
      <c r="P1325" s="84"/>
      <c r="Q1325" s="84"/>
      <c r="R1325" s="84"/>
    </row>
    <row r="1326" ht="15.75" customHeight="1">
      <c r="A1326" s="125">
        <v>1.9000112E7</v>
      </c>
      <c r="B1326" s="125" t="s">
        <v>2482</v>
      </c>
      <c r="C1326" s="125"/>
      <c r="D1326" s="125"/>
      <c r="E1326" s="126"/>
      <c r="F1326" s="126"/>
      <c r="G1326" s="125"/>
      <c r="H1326" s="125"/>
      <c r="I1326" s="99"/>
      <c r="K1326" s="84"/>
      <c r="L1326" s="84"/>
      <c r="M1326" s="84"/>
      <c r="N1326" s="84"/>
      <c r="O1326" s="84"/>
      <c r="P1326" s="84"/>
      <c r="Q1326" s="84"/>
      <c r="R1326" s="84"/>
    </row>
    <row r="1327" ht="15.75" customHeight="1">
      <c r="A1327" s="125">
        <v>1.9000113E7</v>
      </c>
      <c r="B1327" s="125" t="s">
        <v>2483</v>
      </c>
      <c r="C1327" s="125"/>
      <c r="D1327" s="125"/>
      <c r="E1327" s="126"/>
      <c r="F1327" s="126"/>
      <c r="G1327" s="125"/>
      <c r="H1327" s="125"/>
      <c r="I1327" s="99"/>
      <c r="K1327" s="84"/>
      <c r="L1327" s="84"/>
      <c r="M1327" s="84"/>
      <c r="N1327" s="84"/>
      <c r="O1327" s="84"/>
      <c r="P1327" s="84"/>
      <c r="Q1327" s="84"/>
      <c r="R1327" s="84"/>
    </row>
    <row r="1328" ht="15.75" customHeight="1">
      <c r="A1328" s="125">
        <v>1.9000114E7</v>
      </c>
      <c r="B1328" s="125" t="s">
        <v>2484</v>
      </c>
      <c r="C1328" s="125"/>
      <c r="D1328" s="125"/>
      <c r="E1328" s="126"/>
      <c r="F1328" s="126"/>
      <c r="G1328" s="125"/>
      <c r="H1328" s="125"/>
      <c r="I1328" s="99"/>
      <c r="K1328" s="84"/>
      <c r="L1328" s="84"/>
      <c r="M1328" s="84"/>
      <c r="N1328" s="84"/>
      <c r="O1328" s="84"/>
      <c r="P1328" s="84"/>
      <c r="Q1328" s="84"/>
      <c r="R1328" s="84"/>
    </row>
    <row r="1329" ht="15.75" customHeight="1">
      <c r="A1329" s="125">
        <v>1.9000115E7</v>
      </c>
      <c r="B1329" s="125" t="s">
        <v>2485</v>
      </c>
      <c r="C1329" s="125"/>
      <c r="D1329" s="125"/>
      <c r="E1329" s="126"/>
      <c r="F1329" s="126"/>
      <c r="G1329" s="125"/>
      <c r="H1329" s="125"/>
      <c r="I1329" s="99"/>
      <c r="K1329" s="84"/>
      <c r="L1329" s="84"/>
      <c r="M1329" s="84"/>
      <c r="N1329" s="84"/>
      <c r="O1329" s="84"/>
      <c r="P1329" s="84"/>
      <c r="Q1329" s="84"/>
      <c r="R1329" s="84"/>
    </row>
    <row r="1330" ht="15.75" customHeight="1">
      <c r="A1330" s="125">
        <v>1.9000116E7</v>
      </c>
      <c r="B1330" s="125" t="s">
        <v>2486</v>
      </c>
      <c r="C1330" s="125"/>
      <c r="D1330" s="125"/>
      <c r="E1330" s="126"/>
      <c r="F1330" s="126"/>
      <c r="G1330" s="125"/>
      <c r="H1330" s="125"/>
      <c r="I1330" s="99"/>
      <c r="K1330" s="84"/>
      <c r="L1330" s="84"/>
      <c r="M1330" s="84"/>
      <c r="N1330" s="84"/>
      <c r="O1330" s="84"/>
      <c r="P1330" s="84"/>
      <c r="Q1330" s="84"/>
      <c r="R1330" s="84"/>
    </row>
    <row r="1331" ht="15.75" customHeight="1">
      <c r="A1331" s="125">
        <v>1.9000117E7</v>
      </c>
      <c r="B1331" s="125" t="s">
        <v>2487</v>
      </c>
      <c r="C1331" s="125"/>
      <c r="D1331" s="125"/>
      <c r="E1331" s="126"/>
      <c r="F1331" s="126"/>
      <c r="G1331" s="125"/>
      <c r="H1331" s="125"/>
      <c r="I1331" s="99"/>
      <c r="K1331" s="84"/>
      <c r="L1331" s="84"/>
      <c r="M1331" s="84"/>
      <c r="N1331" s="84"/>
      <c r="O1331" s="84"/>
      <c r="P1331" s="84"/>
      <c r="Q1331" s="84"/>
      <c r="R1331" s="84"/>
    </row>
    <row r="1332" ht="15.75" customHeight="1">
      <c r="A1332" s="125">
        <v>1.9000118E7</v>
      </c>
      <c r="B1332" s="125" t="s">
        <v>2488</v>
      </c>
      <c r="C1332" s="125"/>
      <c r="D1332" s="125"/>
      <c r="E1332" s="126"/>
      <c r="F1332" s="126"/>
      <c r="G1332" s="125"/>
      <c r="H1332" s="125"/>
      <c r="I1332" s="99"/>
      <c r="K1332" s="84"/>
      <c r="L1332" s="84"/>
      <c r="M1332" s="84"/>
      <c r="N1332" s="84"/>
      <c r="O1332" s="84"/>
      <c r="P1332" s="84"/>
      <c r="Q1332" s="84"/>
      <c r="R1332" s="84"/>
    </row>
    <row r="1333" ht="15.75" customHeight="1">
      <c r="A1333" s="125">
        <v>1.9000119E7</v>
      </c>
      <c r="B1333" s="125" t="s">
        <v>2489</v>
      </c>
      <c r="C1333" s="125"/>
      <c r="D1333" s="125"/>
      <c r="E1333" s="126"/>
      <c r="F1333" s="126"/>
      <c r="G1333" s="125"/>
      <c r="H1333" s="125"/>
      <c r="I1333" s="99"/>
      <c r="K1333" s="84"/>
      <c r="L1333" s="84"/>
      <c r="M1333" s="84"/>
      <c r="N1333" s="84"/>
      <c r="O1333" s="84"/>
      <c r="P1333" s="84"/>
      <c r="Q1333" s="84"/>
      <c r="R1333" s="84"/>
    </row>
    <row r="1334" ht="15.75" customHeight="1">
      <c r="A1334" s="125">
        <v>1.900012E7</v>
      </c>
      <c r="B1334" s="125" t="s">
        <v>2490</v>
      </c>
      <c r="C1334" s="125"/>
      <c r="D1334" s="125"/>
      <c r="E1334" s="126"/>
      <c r="F1334" s="126"/>
      <c r="G1334" s="125"/>
      <c r="H1334" s="125"/>
      <c r="I1334" s="99"/>
      <c r="K1334" s="84"/>
      <c r="L1334" s="84"/>
      <c r="M1334" s="84"/>
      <c r="N1334" s="84"/>
      <c r="O1334" s="84"/>
      <c r="P1334" s="84"/>
      <c r="Q1334" s="84"/>
      <c r="R1334" s="84"/>
    </row>
    <row r="1335" ht="15.75" customHeight="1">
      <c r="A1335" s="125">
        <v>1.9000121E7</v>
      </c>
      <c r="B1335" s="125" t="s">
        <v>2491</v>
      </c>
      <c r="C1335" s="125"/>
      <c r="D1335" s="125"/>
      <c r="E1335" s="126"/>
      <c r="F1335" s="126"/>
      <c r="G1335" s="125"/>
      <c r="H1335" s="125"/>
      <c r="I1335" s="99"/>
      <c r="K1335" s="84"/>
      <c r="L1335" s="84"/>
      <c r="M1335" s="84"/>
      <c r="N1335" s="84"/>
      <c r="O1335" s="84"/>
      <c r="P1335" s="84"/>
      <c r="Q1335" s="84"/>
      <c r="R1335" s="84"/>
    </row>
    <row r="1336" ht="15.75" customHeight="1">
      <c r="A1336" s="125">
        <v>1.9000122E7</v>
      </c>
      <c r="B1336" s="125" t="s">
        <v>2492</v>
      </c>
      <c r="C1336" s="125"/>
      <c r="D1336" s="125"/>
      <c r="E1336" s="126"/>
      <c r="F1336" s="126"/>
      <c r="G1336" s="125"/>
      <c r="H1336" s="125"/>
      <c r="I1336" s="99"/>
      <c r="K1336" s="84"/>
      <c r="L1336" s="84"/>
      <c r="M1336" s="84"/>
      <c r="N1336" s="84"/>
      <c r="O1336" s="84"/>
      <c r="P1336" s="84"/>
      <c r="Q1336" s="84"/>
      <c r="R1336" s="84"/>
    </row>
    <row r="1337" ht="15.75" customHeight="1">
      <c r="A1337" s="125">
        <v>1.9000123E7</v>
      </c>
      <c r="B1337" s="125" t="s">
        <v>2493</v>
      </c>
      <c r="C1337" s="125"/>
      <c r="D1337" s="125"/>
      <c r="E1337" s="126"/>
      <c r="F1337" s="126"/>
      <c r="G1337" s="125"/>
      <c r="H1337" s="125"/>
      <c r="I1337" s="99"/>
      <c r="K1337" s="84"/>
      <c r="L1337" s="84"/>
      <c r="M1337" s="84"/>
      <c r="N1337" s="84"/>
      <c r="O1337" s="84"/>
      <c r="P1337" s="84"/>
      <c r="Q1337" s="84"/>
      <c r="R1337" s="84"/>
    </row>
    <row r="1338" ht="15.75" customHeight="1">
      <c r="A1338" s="125">
        <v>1.9000124E7</v>
      </c>
      <c r="B1338" s="125" t="s">
        <v>2494</v>
      </c>
      <c r="C1338" s="125"/>
      <c r="D1338" s="125"/>
      <c r="E1338" s="126"/>
      <c r="F1338" s="126"/>
      <c r="G1338" s="125"/>
      <c r="H1338" s="125"/>
      <c r="I1338" s="99"/>
      <c r="K1338" s="84"/>
      <c r="L1338" s="84"/>
      <c r="M1338" s="84"/>
      <c r="N1338" s="84"/>
      <c r="O1338" s="84"/>
      <c r="P1338" s="84"/>
      <c r="Q1338" s="84"/>
      <c r="R1338" s="84"/>
    </row>
    <row r="1339" ht="15.75" customHeight="1">
      <c r="A1339" s="125">
        <v>1.9000125E7</v>
      </c>
      <c r="B1339" s="125" t="s">
        <v>2495</v>
      </c>
      <c r="C1339" s="125"/>
      <c r="D1339" s="125"/>
      <c r="E1339" s="126"/>
      <c r="F1339" s="126"/>
      <c r="G1339" s="125"/>
      <c r="H1339" s="125"/>
      <c r="I1339" s="99"/>
      <c r="K1339" s="84"/>
      <c r="L1339" s="84"/>
      <c r="M1339" s="84"/>
      <c r="N1339" s="84"/>
      <c r="O1339" s="84"/>
      <c r="P1339" s="84"/>
      <c r="Q1339" s="84"/>
      <c r="R1339" s="84"/>
    </row>
    <row r="1340" ht="15.75" customHeight="1">
      <c r="A1340" s="125">
        <v>1.9000126E7</v>
      </c>
      <c r="B1340" s="125" t="s">
        <v>2496</v>
      </c>
      <c r="C1340" s="125"/>
      <c r="D1340" s="125"/>
      <c r="E1340" s="126"/>
      <c r="F1340" s="126"/>
      <c r="G1340" s="125"/>
      <c r="H1340" s="125"/>
      <c r="I1340" s="99"/>
      <c r="K1340" s="84"/>
      <c r="L1340" s="84"/>
      <c r="M1340" s="84"/>
      <c r="N1340" s="84"/>
      <c r="O1340" s="84"/>
      <c r="P1340" s="84"/>
      <c r="Q1340" s="84"/>
      <c r="R1340" s="84"/>
    </row>
    <row r="1341" ht="15.75" customHeight="1">
      <c r="A1341" s="125">
        <v>1.9000127E7</v>
      </c>
      <c r="B1341" s="125" t="s">
        <v>2497</v>
      </c>
      <c r="C1341" s="125"/>
      <c r="D1341" s="125"/>
      <c r="E1341" s="126"/>
      <c r="F1341" s="126"/>
      <c r="G1341" s="125"/>
      <c r="H1341" s="125"/>
      <c r="I1341" s="99"/>
      <c r="K1341" s="84"/>
      <c r="L1341" s="84"/>
      <c r="M1341" s="84"/>
      <c r="N1341" s="84"/>
      <c r="O1341" s="84"/>
      <c r="P1341" s="84"/>
      <c r="Q1341" s="84"/>
      <c r="R1341" s="84"/>
    </row>
    <row r="1342" ht="15.75" customHeight="1">
      <c r="A1342" s="125">
        <v>1.9000128E7</v>
      </c>
      <c r="B1342" s="125" t="s">
        <v>2498</v>
      </c>
      <c r="C1342" s="125"/>
      <c r="D1342" s="125"/>
      <c r="E1342" s="126"/>
      <c r="F1342" s="126"/>
      <c r="G1342" s="125"/>
      <c r="H1342" s="125"/>
      <c r="I1342" s="99"/>
      <c r="K1342" s="84"/>
      <c r="L1342" s="84"/>
      <c r="M1342" s="84"/>
      <c r="N1342" s="84"/>
      <c r="O1342" s="84"/>
      <c r="P1342" s="84"/>
      <c r="Q1342" s="84"/>
      <c r="R1342" s="84"/>
    </row>
    <row r="1343" ht="15.75" customHeight="1">
      <c r="A1343" s="125">
        <v>1.9000129E7</v>
      </c>
      <c r="B1343" s="125" t="s">
        <v>2499</v>
      </c>
      <c r="C1343" s="125"/>
      <c r="D1343" s="125"/>
      <c r="E1343" s="126"/>
      <c r="F1343" s="126"/>
      <c r="G1343" s="125"/>
      <c r="H1343" s="125"/>
      <c r="I1343" s="99"/>
      <c r="K1343" s="84"/>
      <c r="L1343" s="84"/>
      <c r="M1343" s="84"/>
      <c r="N1343" s="84"/>
      <c r="O1343" s="84"/>
      <c r="P1343" s="84"/>
      <c r="Q1343" s="84"/>
      <c r="R1343" s="84"/>
    </row>
    <row r="1344" ht="15.75" customHeight="1">
      <c r="A1344" s="125">
        <v>1.900013E7</v>
      </c>
      <c r="B1344" s="125" t="s">
        <v>2500</v>
      </c>
      <c r="C1344" s="125"/>
      <c r="D1344" s="125"/>
      <c r="E1344" s="126"/>
      <c r="F1344" s="126"/>
      <c r="G1344" s="125"/>
      <c r="H1344" s="125"/>
      <c r="I1344" s="99"/>
      <c r="K1344" s="84"/>
      <c r="L1344" s="84"/>
      <c r="M1344" s="84"/>
      <c r="N1344" s="84"/>
      <c r="O1344" s="84"/>
      <c r="P1344" s="84"/>
      <c r="Q1344" s="84"/>
      <c r="R1344" s="84"/>
    </row>
    <row r="1345" ht="15.75" customHeight="1">
      <c r="A1345" s="125">
        <v>1.9000131E7</v>
      </c>
      <c r="B1345" s="125" t="s">
        <v>2501</v>
      </c>
      <c r="C1345" s="125"/>
      <c r="D1345" s="125"/>
      <c r="E1345" s="126"/>
      <c r="F1345" s="126"/>
      <c r="G1345" s="125"/>
      <c r="H1345" s="125"/>
      <c r="I1345" s="99"/>
      <c r="K1345" s="84"/>
      <c r="L1345" s="84"/>
      <c r="M1345" s="84"/>
      <c r="N1345" s="84"/>
      <c r="O1345" s="84"/>
      <c r="P1345" s="84"/>
      <c r="Q1345" s="84"/>
      <c r="R1345" s="84"/>
    </row>
    <row r="1346" ht="15.75" customHeight="1">
      <c r="A1346" s="125">
        <v>1.9000132E7</v>
      </c>
      <c r="B1346" s="125" t="s">
        <v>2502</v>
      </c>
      <c r="C1346" s="125"/>
      <c r="D1346" s="125"/>
      <c r="E1346" s="126"/>
      <c r="F1346" s="126"/>
      <c r="G1346" s="125"/>
      <c r="H1346" s="125"/>
      <c r="I1346" s="99"/>
      <c r="K1346" s="84"/>
      <c r="L1346" s="84"/>
      <c r="M1346" s="84"/>
      <c r="N1346" s="84"/>
      <c r="O1346" s="84"/>
      <c r="P1346" s="84"/>
      <c r="Q1346" s="84"/>
      <c r="R1346" s="84"/>
    </row>
    <row r="1347" ht="15.75" customHeight="1">
      <c r="A1347" s="125">
        <v>1.9000133E7</v>
      </c>
      <c r="B1347" s="125" t="s">
        <v>2503</v>
      </c>
      <c r="C1347" s="125"/>
      <c r="D1347" s="125"/>
      <c r="E1347" s="126"/>
      <c r="F1347" s="126"/>
      <c r="G1347" s="125"/>
      <c r="H1347" s="125"/>
      <c r="I1347" s="99"/>
      <c r="K1347" s="84"/>
      <c r="L1347" s="84"/>
      <c r="M1347" s="84"/>
      <c r="N1347" s="84"/>
      <c r="O1347" s="84"/>
      <c r="P1347" s="84"/>
      <c r="Q1347" s="84"/>
      <c r="R1347" s="84"/>
    </row>
    <row r="1348" ht="15.75" customHeight="1">
      <c r="A1348" s="125">
        <v>1.9000134E7</v>
      </c>
      <c r="B1348" s="125" t="s">
        <v>2504</v>
      </c>
      <c r="C1348" s="125"/>
      <c r="D1348" s="125"/>
      <c r="E1348" s="126"/>
      <c r="F1348" s="126"/>
      <c r="G1348" s="125"/>
      <c r="H1348" s="125"/>
      <c r="I1348" s="99"/>
      <c r="K1348" s="84"/>
      <c r="L1348" s="84"/>
      <c r="M1348" s="84"/>
      <c r="N1348" s="84"/>
      <c r="O1348" s="84"/>
      <c r="P1348" s="84"/>
      <c r="Q1348" s="84"/>
      <c r="R1348" s="84"/>
    </row>
    <row r="1349" ht="15.75" customHeight="1">
      <c r="A1349" s="125">
        <v>1.9000135E7</v>
      </c>
      <c r="B1349" s="125" t="s">
        <v>2505</v>
      </c>
      <c r="C1349" s="125"/>
      <c r="D1349" s="125"/>
      <c r="E1349" s="126"/>
      <c r="F1349" s="126"/>
      <c r="G1349" s="125"/>
      <c r="H1349" s="125"/>
      <c r="I1349" s="99"/>
      <c r="K1349" s="84"/>
      <c r="L1349" s="84"/>
      <c r="M1349" s="84"/>
      <c r="N1349" s="84"/>
      <c r="O1349" s="84"/>
      <c r="P1349" s="84"/>
      <c r="Q1349" s="84"/>
      <c r="R1349" s="84"/>
    </row>
    <row r="1350" ht="15.75" customHeight="1">
      <c r="A1350" s="125">
        <v>1.9000136E7</v>
      </c>
      <c r="B1350" s="125" t="s">
        <v>2506</v>
      </c>
      <c r="C1350" s="125"/>
      <c r="D1350" s="125"/>
      <c r="E1350" s="126"/>
      <c r="F1350" s="126"/>
      <c r="G1350" s="125"/>
      <c r="H1350" s="125"/>
      <c r="I1350" s="99"/>
      <c r="K1350" s="84"/>
      <c r="L1350" s="84"/>
      <c r="M1350" s="84"/>
      <c r="N1350" s="84"/>
      <c r="O1350" s="84"/>
      <c r="P1350" s="84"/>
      <c r="Q1350" s="84"/>
      <c r="R1350" s="84"/>
    </row>
    <row r="1351" ht="15.75" customHeight="1">
      <c r="A1351" s="125">
        <v>1.9000137E7</v>
      </c>
      <c r="B1351" s="125" t="s">
        <v>2507</v>
      </c>
      <c r="C1351" s="125"/>
      <c r="D1351" s="125"/>
      <c r="E1351" s="126"/>
      <c r="F1351" s="126"/>
      <c r="G1351" s="125"/>
      <c r="H1351" s="125"/>
      <c r="I1351" s="99"/>
      <c r="K1351" s="84"/>
      <c r="L1351" s="84"/>
      <c r="M1351" s="84"/>
      <c r="N1351" s="84"/>
      <c r="O1351" s="84"/>
      <c r="P1351" s="84"/>
      <c r="Q1351" s="84"/>
      <c r="R1351" s="84"/>
    </row>
    <row r="1352" ht="15.75" customHeight="1">
      <c r="A1352" s="125">
        <v>1.9000138E7</v>
      </c>
      <c r="B1352" s="125" t="s">
        <v>2508</v>
      </c>
      <c r="C1352" s="125"/>
      <c r="D1352" s="125"/>
      <c r="E1352" s="126"/>
      <c r="F1352" s="126"/>
      <c r="G1352" s="125"/>
      <c r="H1352" s="125"/>
      <c r="I1352" s="99"/>
      <c r="K1352" s="84"/>
      <c r="L1352" s="84"/>
      <c r="M1352" s="84"/>
      <c r="N1352" s="84"/>
      <c r="O1352" s="84"/>
      <c r="P1352" s="84"/>
      <c r="Q1352" s="84"/>
      <c r="R1352" s="84"/>
    </row>
    <row r="1353" ht="15.75" customHeight="1">
      <c r="A1353" s="125">
        <v>1.9000139E7</v>
      </c>
      <c r="B1353" s="125" t="s">
        <v>2509</v>
      </c>
      <c r="C1353" s="125"/>
      <c r="D1353" s="125"/>
      <c r="E1353" s="126"/>
      <c r="F1353" s="126"/>
      <c r="G1353" s="125"/>
      <c r="H1353" s="125"/>
      <c r="I1353" s="99"/>
      <c r="K1353" s="84"/>
      <c r="L1353" s="84"/>
      <c r="M1353" s="84"/>
      <c r="N1353" s="84"/>
      <c r="O1353" s="84"/>
      <c r="P1353" s="84"/>
      <c r="Q1353" s="84"/>
      <c r="R1353" s="84"/>
    </row>
    <row r="1354" ht="15.75" customHeight="1">
      <c r="A1354" s="125">
        <v>1.900014E7</v>
      </c>
      <c r="B1354" s="125" t="s">
        <v>2510</v>
      </c>
      <c r="C1354" s="125"/>
      <c r="D1354" s="125"/>
      <c r="E1354" s="126"/>
      <c r="F1354" s="126"/>
      <c r="G1354" s="125"/>
      <c r="H1354" s="125"/>
      <c r="I1354" s="99"/>
      <c r="K1354" s="84"/>
      <c r="L1354" s="84"/>
      <c r="M1354" s="84"/>
      <c r="N1354" s="84"/>
      <c r="O1354" s="84"/>
      <c r="P1354" s="84"/>
      <c r="Q1354" s="84"/>
      <c r="R1354" s="84"/>
    </row>
    <row r="1355" ht="15.75" customHeight="1">
      <c r="A1355" s="125">
        <v>1.9000141E7</v>
      </c>
      <c r="B1355" s="125" t="s">
        <v>2511</v>
      </c>
      <c r="C1355" s="125"/>
      <c r="D1355" s="125"/>
      <c r="E1355" s="126"/>
      <c r="F1355" s="126"/>
      <c r="G1355" s="125"/>
      <c r="H1355" s="125"/>
      <c r="I1355" s="99"/>
      <c r="K1355" s="84"/>
      <c r="L1355" s="84"/>
      <c r="M1355" s="84"/>
      <c r="N1355" s="84"/>
      <c r="O1355" s="84"/>
      <c r="P1355" s="84"/>
      <c r="Q1355" s="84"/>
      <c r="R1355" s="84"/>
    </row>
    <row r="1356" ht="15.75" customHeight="1">
      <c r="A1356" s="125">
        <v>1.9000142E7</v>
      </c>
      <c r="B1356" s="125" t="s">
        <v>2512</v>
      </c>
      <c r="C1356" s="125"/>
      <c r="D1356" s="125"/>
      <c r="E1356" s="126"/>
      <c r="F1356" s="126"/>
      <c r="G1356" s="125"/>
      <c r="H1356" s="125"/>
      <c r="I1356" s="99"/>
      <c r="K1356" s="84"/>
      <c r="L1356" s="84"/>
      <c r="M1356" s="84"/>
      <c r="N1356" s="84"/>
      <c r="O1356" s="84"/>
      <c r="P1356" s="84"/>
      <c r="Q1356" s="84"/>
      <c r="R1356" s="84"/>
    </row>
    <row r="1357" ht="15.75" customHeight="1">
      <c r="A1357" s="125">
        <v>1.9000143E7</v>
      </c>
      <c r="B1357" s="125" t="s">
        <v>2513</v>
      </c>
      <c r="C1357" s="125"/>
      <c r="D1357" s="125"/>
      <c r="E1357" s="126"/>
      <c r="F1357" s="126"/>
      <c r="G1357" s="125"/>
      <c r="H1357" s="125"/>
      <c r="I1357" s="99"/>
      <c r="K1357" s="84"/>
      <c r="L1357" s="84"/>
      <c r="M1357" s="84"/>
      <c r="N1357" s="84"/>
      <c r="O1357" s="84"/>
      <c r="P1357" s="84"/>
      <c r="Q1357" s="84"/>
      <c r="R1357" s="84"/>
    </row>
    <row r="1358" ht="15.75" customHeight="1">
      <c r="A1358" s="125">
        <v>1.9000144E7</v>
      </c>
      <c r="B1358" s="125" t="s">
        <v>2514</v>
      </c>
      <c r="C1358" s="125"/>
      <c r="D1358" s="125"/>
      <c r="E1358" s="126"/>
      <c r="F1358" s="126"/>
      <c r="G1358" s="125"/>
      <c r="H1358" s="125"/>
      <c r="I1358" s="99"/>
      <c r="K1358" s="84"/>
      <c r="L1358" s="84"/>
      <c r="M1358" s="84"/>
      <c r="N1358" s="84"/>
      <c r="O1358" s="84"/>
      <c r="P1358" s="84"/>
      <c r="Q1358" s="84"/>
      <c r="R1358" s="84"/>
    </row>
    <row r="1359" ht="15.75" customHeight="1">
      <c r="A1359" s="125">
        <v>1.9000145E7</v>
      </c>
      <c r="B1359" s="125" t="s">
        <v>2515</v>
      </c>
      <c r="C1359" s="125"/>
      <c r="D1359" s="125"/>
      <c r="E1359" s="126"/>
      <c r="F1359" s="126"/>
      <c r="G1359" s="125"/>
      <c r="H1359" s="125"/>
      <c r="I1359" s="99"/>
      <c r="K1359" s="84"/>
      <c r="L1359" s="84"/>
      <c r="M1359" s="84"/>
      <c r="N1359" s="84"/>
      <c r="O1359" s="84"/>
      <c r="P1359" s="84"/>
      <c r="Q1359" s="84"/>
      <c r="R1359" s="84"/>
    </row>
    <row r="1360" ht="15.75" customHeight="1">
      <c r="A1360" s="125">
        <v>1.9000146E7</v>
      </c>
      <c r="B1360" s="125" t="s">
        <v>2516</v>
      </c>
      <c r="C1360" s="125"/>
      <c r="D1360" s="125"/>
      <c r="E1360" s="126"/>
      <c r="F1360" s="126"/>
      <c r="G1360" s="125"/>
      <c r="H1360" s="125"/>
      <c r="I1360" s="99"/>
      <c r="K1360" s="84"/>
      <c r="L1360" s="84"/>
      <c r="M1360" s="84"/>
      <c r="N1360" s="84"/>
      <c r="O1360" s="84"/>
      <c r="P1360" s="84"/>
      <c r="Q1360" s="84"/>
      <c r="R1360" s="84"/>
    </row>
    <row r="1361" ht="15.75" customHeight="1">
      <c r="A1361" s="125">
        <v>1.9000147E7</v>
      </c>
      <c r="B1361" s="125" t="s">
        <v>2517</v>
      </c>
      <c r="C1361" s="125"/>
      <c r="D1361" s="125"/>
      <c r="E1361" s="126"/>
      <c r="F1361" s="126"/>
      <c r="G1361" s="125"/>
      <c r="H1361" s="125"/>
      <c r="I1361" s="99"/>
      <c r="K1361" s="84"/>
      <c r="L1361" s="84"/>
      <c r="M1361" s="84"/>
      <c r="N1361" s="84"/>
      <c r="O1361" s="84"/>
      <c r="P1361" s="84"/>
      <c r="Q1361" s="84"/>
      <c r="R1361" s="84"/>
    </row>
    <row r="1362" ht="15.75" customHeight="1">
      <c r="A1362" s="125">
        <v>1.9000148E7</v>
      </c>
      <c r="B1362" s="125" t="s">
        <v>2518</v>
      </c>
      <c r="C1362" s="125"/>
      <c r="D1362" s="125"/>
      <c r="E1362" s="126"/>
      <c r="F1362" s="126"/>
      <c r="G1362" s="125"/>
      <c r="H1362" s="125"/>
      <c r="I1362" s="99"/>
      <c r="K1362" s="84"/>
      <c r="L1362" s="84"/>
      <c r="M1362" s="84"/>
      <c r="N1362" s="84"/>
      <c r="O1362" s="84"/>
      <c r="P1362" s="84"/>
      <c r="Q1362" s="84"/>
      <c r="R1362" s="84"/>
    </row>
    <row r="1363" ht="15.75" customHeight="1">
      <c r="A1363" s="125">
        <v>1.9000149E7</v>
      </c>
      <c r="B1363" s="125" t="s">
        <v>2519</v>
      </c>
      <c r="C1363" s="125"/>
      <c r="D1363" s="125"/>
      <c r="E1363" s="126"/>
      <c r="F1363" s="126"/>
      <c r="G1363" s="125"/>
      <c r="H1363" s="125"/>
      <c r="I1363" s="99"/>
      <c r="K1363" s="84"/>
      <c r="L1363" s="84"/>
      <c r="M1363" s="84"/>
      <c r="N1363" s="84"/>
      <c r="O1363" s="84"/>
      <c r="P1363" s="84"/>
      <c r="Q1363" s="84"/>
      <c r="R1363" s="84"/>
    </row>
    <row r="1364" ht="15.75" customHeight="1">
      <c r="A1364" s="125">
        <v>1.900015E7</v>
      </c>
      <c r="B1364" s="125" t="s">
        <v>2520</v>
      </c>
      <c r="C1364" s="125"/>
      <c r="D1364" s="125"/>
      <c r="E1364" s="126"/>
      <c r="F1364" s="126"/>
      <c r="G1364" s="125"/>
      <c r="H1364" s="125"/>
      <c r="I1364" s="99"/>
      <c r="K1364" s="84"/>
      <c r="L1364" s="84"/>
      <c r="M1364" s="84"/>
      <c r="N1364" s="84"/>
      <c r="O1364" s="84"/>
      <c r="P1364" s="84"/>
      <c r="Q1364" s="84"/>
      <c r="R1364" s="84"/>
    </row>
    <row r="1365" ht="15.75" customHeight="1">
      <c r="A1365" s="125">
        <v>1.9000151E7</v>
      </c>
      <c r="B1365" s="125" t="s">
        <v>2521</v>
      </c>
      <c r="C1365" s="125"/>
      <c r="D1365" s="125"/>
      <c r="E1365" s="126"/>
      <c r="F1365" s="126"/>
      <c r="G1365" s="125"/>
      <c r="H1365" s="125"/>
      <c r="I1365" s="99"/>
      <c r="K1365" s="84"/>
      <c r="L1365" s="84"/>
      <c r="M1365" s="84"/>
      <c r="N1365" s="84"/>
      <c r="O1365" s="84"/>
      <c r="P1365" s="84"/>
      <c r="Q1365" s="84"/>
      <c r="R1365" s="84"/>
    </row>
    <row r="1366" ht="15.75" customHeight="1">
      <c r="A1366" s="125">
        <v>1.9000152E7</v>
      </c>
      <c r="B1366" s="125" t="s">
        <v>2522</v>
      </c>
      <c r="C1366" s="125"/>
      <c r="D1366" s="125"/>
      <c r="E1366" s="126"/>
      <c r="F1366" s="126"/>
      <c r="G1366" s="125"/>
      <c r="H1366" s="125"/>
      <c r="I1366" s="99"/>
      <c r="K1366" s="84"/>
      <c r="L1366" s="84"/>
      <c r="M1366" s="84"/>
      <c r="N1366" s="84"/>
      <c r="O1366" s="84"/>
      <c r="P1366" s="84"/>
      <c r="Q1366" s="84"/>
      <c r="R1366" s="84"/>
    </row>
    <row r="1367" ht="15.75" customHeight="1">
      <c r="A1367" s="125">
        <v>1.9000153E7</v>
      </c>
      <c r="B1367" s="125" t="s">
        <v>2523</v>
      </c>
      <c r="C1367" s="125"/>
      <c r="D1367" s="125"/>
      <c r="E1367" s="126"/>
      <c r="F1367" s="126"/>
      <c r="G1367" s="125"/>
      <c r="H1367" s="125"/>
      <c r="I1367" s="99"/>
      <c r="K1367" s="84"/>
      <c r="L1367" s="84"/>
      <c r="M1367" s="84"/>
      <c r="N1367" s="84"/>
      <c r="O1367" s="84"/>
      <c r="P1367" s="84"/>
      <c r="Q1367" s="84"/>
      <c r="R1367" s="84"/>
    </row>
    <row r="1368" ht="15.75" customHeight="1">
      <c r="A1368" s="125">
        <v>1.9000154E7</v>
      </c>
      <c r="B1368" s="125" t="s">
        <v>2524</v>
      </c>
      <c r="C1368" s="125"/>
      <c r="D1368" s="125"/>
      <c r="E1368" s="126"/>
      <c r="F1368" s="126"/>
      <c r="G1368" s="125"/>
      <c r="H1368" s="125"/>
      <c r="I1368" s="99"/>
      <c r="K1368" s="84"/>
      <c r="L1368" s="84"/>
      <c r="M1368" s="84"/>
      <c r="N1368" s="84"/>
      <c r="O1368" s="84"/>
      <c r="P1368" s="84"/>
      <c r="Q1368" s="84"/>
      <c r="R1368" s="84"/>
    </row>
    <row r="1369" ht="15.75" customHeight="1">
      <c r="A1369" s="125">
        <v>1.9000155E7</v>
      </c>
      <c r="B1369" s="125" t="s">
        <v>2525</v>
      </c>
      <c r="C1369" s="125"/>
      <c r="D1369" s="125"/>
      <c r="E1369" s="126"/>
      <c r="F1369" s="126"/>
      <c r="G1369" s="125"/>
      <c r="H1369" s="125"/>
      <c r="I1369" s="99"/>
      <c r="K1369" s="84"/>
      <c r="L1369" s="84"/>
      <c r="M1369" s="84"/>
      <c r="N1369" s="84"/>
      <c r="O1369" s="84"/>
      <c r="P1369" s="84"/>
      <c r="Q1369" s="84"/>
      <c r="R1369" s="84"/>
    </row>
    <row r="1370" ht="15.75" customHeight="1">
      <c r="A1370" s="125">
        <v>1.9000156E7</v>
      </c>
      <c r="B1370" s="125" t="s">
        <v>2526</v>
      </c>
      <c r="C1370" s="125"/>
      <c r="D1370" s="125"/>
      <c r="E1370" s="126"/>
      <c r="F1370" s="126"/>
      <c r="G1370" s="125"/>
      <c r="H1370" s="125"/>
      <c r="I1370" s="99"/>
      <c r="K1370" s="84"/>
      <c r="L1370" s="84"/>
      <c r="M1370" s="84"/>
      <c r="N1370" s="84"/>
      <c r="O1370" s="84"/>
      <c r="P1370" s="84"/>
      <c r="Q1370" s="84"/>
      <c r="R1370" s="84"/>
    </row>
    <row r="1371" ht="15.75" customHeight="1">
      <c r="A1371" s="125">
        <v>1.9000157E7</v>
      </c>
      <c r="B1371" s="125" t="s">
        <v>2527</v>
      </c>
      <c r="C1371" s="125"/>
      <c r="D1371" s="125"/>
      <c r="E1371" s="126"/>
      <c r="F1371" s="126"/>
      <c r="G1371" s="125"/>
      <c r="H1371" s="125"/>
      <c r="I1371" s="99"/>
      <c r="K1371" s="84"/>
      <c r="L1371" s="84"/>
      <c r="M1371" s="84"/>
      <c r="N1371" s="84"/>
      <c r="O1371" s="84"/>
      <c r="P1371" s="84"/>
      <c r="Q1371" s="84"/>
      <c r="R1371" s="84"/>
    </row>
    <row r="1372" ht="15.75" customHeight="1">
      <c r="A1372" s="125">
        <v>1.9000158E7</v>
      </c>
      <c r="B1372" s="125" t="s">
        <v>2528</v>
      </c>
      <c r="C1372" s="125"/>
      <c r="D1372" s="125"/>
      <c r="E1372" s="126"/>
      <c r="F1372" s="126"/>
      <c r="G1372" s="125"/>
      <c r="H1372" s="125"/>
      <c r="I1372" s="99"/>
      <c r="K1372" s="84"/>
      <c r="L1372" s="84"/>
      <c r="M1372" s="84"/>
      <c r="N1372" s="84"/>
      <c r="O1372" s="84"/>
      <c r="P1372" s="84"/>
      <c r="Q1372" s="84"/>
      <c r="R1372" s="84"/>
    </row>
    <row r="1373" ht="15.75" customHeight="1">
      <c r="A1373" s="125">
        <v>1.9000159E7</v>
      </c>
      <c r="B1373" s="125" t="s">
        <v>2529</v>
      </c>
      <c r="C1373" s="125"/>
      <c r="D1373" s="125"/>
      <c r="E1373" s="126"/>
      <c r="F1373" s="126"/>
      <c r="G1373" s="125"/>
      <c r="H1373" s="125"/>
      <c r="I1373" s="99"/>
      <c r="K1373" s="84"/>
      <c r="L1373" s="84"/>
      <c r="M1373" s="84"/>
      <c r="N1373" s="84"/>
      <c r="O1373" s="84"/>
      <c r="P1373" s="84"/>
      <c r="Q1373" s="84"/>
      <c r="R1373" s="84"/>
    </row>
    <row r="1374" ht="15.75" customHeight="1">
      <c r="A1374" s="125">
        <v>1.900016E7</v>
      </c>
      <c r="B1374" s="125" t="s">
        <v>2530</v>
      </c>
      <c r="C1374" s="125"/>
      <c r="D1374" s="125"/>
      <c r="E1374" s="126"/>
      <c r="F1374" s="126"/>
      <c r="G1374" s="125"/>
      <c r="H1374" s="125"/>
      <c r="I1374" s="99"/>
      <c r="K1374" s="84"/>
      <c r="L1374" s="84"/>
      <c r="M1374" s="84"/>
      <c r="N1374" s="84"/>
      <c r="O1374" s="84"/>
      <c r="P1374" s="84"/>
      <c r="Q1374" s="84"/>
      <c r="R1374" s="84"/>
    </row>
    <row r="1375" ht="15.75" customHeight="1">
      <c r="A1375" s="125">
        <v>1.9000161E7</v>
      </c>
      <c r="B1375" s="125" t="s">
        <v>2531</v>
      </c>
      <c r="C1375" s="125"/>
      <c r="D1375" s="125"/>
      <c r="E1375" s="126"/>
      <c r="F1375" s="126"/>
      <c r="G1375" s="125"/>
      <c r="H1375" s="125"/>
      <c r="I1375" s="99"/>
      <c r="K1375" s="84"/>
      <c r="L1375" s="84"/>
      <c r="M1375" s="84"/>
      <c r="N1375" s="84"/>
      <c r="O1375" s="84"/>
      <c r="P1375" s="84"/>
      <c r="Q1375" s="84"/>
      <c r="R1375" s="84"/>
    </row>
    <row r="1376" ht="15.75" customHeight="1">
      <c r="A1376" s="125">
        <v>1.9000162E7</v>
      </c>
      <c r="B1376" s="125" t="s">
        <v>2532</v>
      </c>
      <c r="C1376" s="125"/>
      <c r="D1376" s="125"/>
      <c r="E1376" s="126"/>
      <c r="F1376" s="126"/>
      <c r="G1376" s="125"/>
      <c r="H1376" s="125"/>
      <c r="I1376" s="99"/>
      <c r="K1376" s="84"/>
      <c r="L1376" s="84"/>
      <c r="M1376" s="84"/>
      <c r="N1376" s="84"/>
      <c r="O1376" s="84"/>
      <c r="P1376" s="84"/>
      <c r="Q1376" s="84"/>
      <c r="R1376" s="84"/>
    </row>
    <row r="1377" ht="15.75" customHeight="1">
      <c r="A1377" s="125">
        <v>1.9000163E7</v>
      </c>
      <c r="B1377" s="125" t="s">
        <v>2533</v>
      </c>
      <c r="C1377" s="125"/>
      <c r="D1377" s="125"/>
      <c r="E1377" s="126"/>
      <c r="F1377" s="126"/>
      <c r="G1377" s="125"/>
      <c r="H1377" s="125"/>
      <c r="I1377" s="99"/>
      <c r="K1377" s="84"/>
      <c r="L1377" s="84"/>
      <c r="M1377" s="84"/>
      <c r="N1377" s="84"/>
      <c r="O1377" s="84"/>
      <c r="P1377" s="84"/>
      <c r="Q1377" s="84"/>
      <c r="R1377" s="84"/>
    </row>
    <row r="1378" ht="15.75" customHeight="1">
      <c r="A1378" s="125">
        <v>1.9000164E7</v>
      </c>
      <c r="B1378" s="125" t="s">
        <v>2534</v>
      </c>
      <c r="C1378" s="125"/>
      <c r="D1378" s="125"/>
      <c r="E1378" s="126"/>
      <c r="F1378" s="126"/>
      <c r="G1378" s="125"/>
      <c r="H1378" s="125"/>
      <c r="I1378" s="99"/>
      <c r="K1378" s="84"/>
      <c r="L1378" s="84"/>
      <c r="M1378" s="84"/>
      <c r="N1378" s="84"/>
      <c r="O1378" s="84"/>
      <c r="P1378" s="84"/>
      <c r="Q1378" s="84"/>
      <c r="R1378" s="84"/>
    </row>
    <row r="1379" ht="15.75" customHeight="1">
      <c r="A1379" s="125">
        <v>1.9000165E7</v>
      </c>
      <c r="B1379" s="125" t="s">
        <v>2535</v>
      </c>
      <c r="C1379" s="125"/>
      <c r="D1379" s="125"/>
      <c r="E1379" s="126"/>
      <c r="F1379" s="126"/>
      <c r="G1379" s="125"/>
      <c r="H1379" s="125"/>
      <c r="I1379" s="99"/>
      <c r="K1379" s="84"/>
      <c r="L1379" s="84"/>
      <c r="M1379" s="84"/>
      <c r="N1379" s="84"/>
      <c r="O1379" s="84"/>
      <c r="P1379" s="84"/>
      <c r="Q1379" s="84"/>
      <c r="R1379" s="84"/>
    </row>
    <row r="1380" ht="15.75" customHeight="1">
      <c r="A1380" s="125">
        <v>1.9000166E7</v>
      </c>
      <c r="B1380" s="125" t="s">
        <v>2536</v>
      </c>
      <c r="C1380" s="125"/>
      <c r="D1380" s="125"/>
      <c r="E1380" s="126"/>
      <c r="F1380" s="126"/>
      <c r="G1380" s="125"/>
      <c r="H1380" s="125"/>
      <c r="I1380" s="99"/>
      <c r="K1380" s="84"/>
      <c r="L1380" s="84"/>
      <c r="M1380" s="84"/>
      <c r="N1380" s="84"/>
      <c r="O1380" s="84"/>
      <c r="P1380" s="84"/>
      <c r="Q1380" s="84"/>
      <c r="R1380" s="84"/>
    </row>
    <row r="1381" ht="15.75" customHeight="1">
      <c r="A1381" s="125">
        <v>1.9000167E7</v>
      </c>
      <c r="B1381" s="125" t="s">
        <v>2537</v>
      </c>
      <c r="C1381" s="125"/>
      <c r="D1381" s="125"/>
      <c r="E1381" s="126"/>
      <c r="F1381" s="126"/>
      <c r="G1381" s="125"/>
      <c r="H1381" s="125"/>
      <c r="I1381" s="99"/>
      <c r="K1381" s="84"/>
      <c r="L1381" s="84"/>
      <c r="M1381" s="84"/>
      <c r="N1381" s="84"/>
      <c r="O1381" s="84"/>
      <c r="P1381" s="84"/>
      <c r="Q1381" s="84"/>
      <c r="R1381" s="84"/>
    </row>
    <row r="1382" ht="15.75" customHeight="1">
      <c r="A1382" s="125">
        <v>1.9000168E7</v>
      </c>
      <c r="B1382" s="125" t="s">
        <v>2538</v>
      </c>
      <c r="C1382" s="125"/>
      <c r="D1382" s="125"/>
      <c r="E1382" s="126"/>
      <c r="F1382" s="126"/>
      <c r="G1382" s="125"/>
      <c r="H1382" s="125"/>
      <c r="I1382" s="99"/>
      <c r="K1382" s="84"/>
      <c r="L1382" s="84"/>
      <c r="M1382" s="84"/>
      <c r="N1382" s="84"/>
      <c r="O1382" s="84"/>
      <c r="P1382" s="84"/>
      <c r="Q1382" s="84"/>
      <c r="R1382" s="84"/>
    </row>
    <row r="1383" ht="15.75" customHeight="1">
      <c r="A1383" s="125">
        <v>1.9000169E7</v>
      </c>
      <c r="B1383" s="125" t="s">
        <v>2539</v>
      </c>
      <c r="C1383" s="125"/>
      <c r="D1383" s="125"/>
      <c r="E1383" s="126"/>
      <c r="F1383" s="126"/>
      <c r="G1383" s="125"/>
      <c r="H1383" s="125"/>
      <c r="I1383" s="99"/>
      <c r="K1383" s="84"/>
      <c r="L1383" s="84"/>
      <c r="M1383" s="84"/>
      <c r="N1383" s="84"/>
      <c r="O1383" s="84"/>
      <c r="P1383" s="84"/>
      <c r="Q1383" s="84"/>
      <c r="R1383" s="84"/>
    </row>
    <row r="1384" ht="15.75" customHeight="1">
      <c r="A1384" s="125">
        <v>1.900017E7</v>
      </c>
      <c r="B1384" s="125" t="s">
        <v>2540</v>
      </c>
      <c r="C1384" s="125"/>
      <c r="D1384" s="125"/>
      <c r="E1384" s="126"/>
      <c r="F1384" s="126"/>
      <c r="G1384" s="125"/>
      <c r="H1384" s="125"/>
      <c r="I1384" s="99"/>
      <c r="K1384" s="84"/>
      <c r="L1384" s="84"/>
      <c r="M1384" s="84"/>
      <c r="N1384" s="84"/>
      <c r="O1384" s="84"/>
      <c r="P1384" s="84"/>
      <c r="Q1384" s="84"/>
      <c r="R1384" s="84"/>
    </row>
    <row r="1385" ht="15.75" customHeight="1">
      <c r="A1385" s="125">
        <v>1.9000171E7</v>
      </c>
      <c r="B1385" s="125" t="s">
        <v>2541</v>
      </c>
      <c r="C1385" s="125"/>
      <c r="D1385" s="125"/>
      <c r="E1385" s="126"/>
      <c r="F1385" s="126"/>
      <c r="G1385" s="125"/>
      <c r="H1385" s="125"/>
      <c r="I1385" s="99"/>
      <c r="K1385" s="84"/>
      <c r="L1385" s="84"/>
      <c r="M1385" s="84"/>
      <c r="N1385" s="84"/>
      <c r="O1385" s="84"/>
      <c r="P1385" s="84"/>
      <c r="Q1385" s="84"/>
      <c r="R1385" s="84"/>
    </row>
    <row r="1386" ht="15.75" customHeight="1">
      <c r="A1386" s="125">
        <v>1.9000172E7</v>
      </c>
      <c r="B1386" s="125" t="s">
        <v>2542</v>
      </c>
      <c r="C1386" s="125"/>
      <c r="D1386" s="125"/>
      <c r="E1386" s="126"/>
      <c r="F1386" s="126"/>
      <c r="G1386" s="125"/>
      <c r="H1386" s="125"/>
      <c r="I1386" s="99"/>
      <c r="K1386" s="84"/>
      <c r="L1386" s="84"/>
      <c r="M1386" s="84"/>
      <c r="N1386" s="84"/>
      <c r="O1386" s="84"/>
      <c r="P1386" s="84"/>
      <c r="Q1386" s="84"/>
      <c r="R1386" s="84"/>
    </row>
    <row r="1387" ht="15.75" customHeight="1">
      <c r="A1387" s="125">
        <v>1.9000173E7</v>
      </c>
      <c r="B1387" s="125" t="s">
        <v>2543</v>
      </c>
      <c r="C1387" s="125"/>
      <c r="D1387" s="125"/>
      <c r="E1387" s="126"/>
      <c r="F1387" s="126"/>
      <c r="G1387" s="125"/>
      <c r="H1387" s="125"/>
      <c r="I1387" s="99"/>
      <c r="K1387" s="84"/>
      <c r="L1387" s="84"/>
      <c r="M1387" s="84"/>
      <c r="N1387" s="84"/>
      <c r="O1387" s="84"/>
      <c r="P1387" s="84"/>
      <c r="Q1387" s="84"/>
      <c r="R1387" s="84"/>
    </row>
    <row r="1388" ht="15.75" customHeight="1">
      <c r="A1388" s="125">
        <v>1.9000174E7</v>
      </c>
      <c r="B1388" s="125" t="s">
        <v>2544</v>
      </c>
      <c r="C1388" s="125"/>
      <c r="D1388" s="125"/>
      <c r="E1388" s="126"/>
      <c r="F1388" s="126"/>
      <c r="G1388" s="125"/>
      <c r="H1388" s="125"/>
      <c r="I1388" s="99"/>
      <c r="K1388" s="84"/>
      <c r="L1388" s="84"/>
      <c r="M1388" s="84"/>
      <c r="N1388" s="84"/>
      <c r="O1388" s="84"/>
      <c r="P1388" s="84"/>
      <c r="Q1388" s="84"/>
      <c r="R1388" s="84"/>
    </row>
    <row r="1389" ht="15.75" customHeight="1">
      <c r="A1389" s="125">
        <v>1.9000175E7</v>
      </c>
      <c r="B1389" s="125" t="s">
        <v>2545</v>
      </c>
      <c r="C1389" s="125"/>
      <c r="D1389" s="125"/>
      <c r="E1389" s="126"/>
      <c r="F1389" s="126"/>
      <c r="G1389" s="125"/>
      <c r="H1389" s="125"/>
      <c r="I1389" s="99"/>
      <c r="K1389" s="84"/>
      <c r="L1389" s="84"/>
      <c r="M1389" s="84"/>
      <c r="N1389" s="84"/>
      <c r="O1389" s="84"/>
      <c r="P1389" s="84"/>
      <c r="Q1389" s="84"/>
      <c r="R1389" s="84"/>
    </row>
    <row r="1390" ht="15.75" customHeight="1">
      <c r="A1390" s="125">
        <v>1.9000176E7</v>
      </c>
      <c r="B1390" s="125" t="s">
        <v>2546</v>
      </c>
      <c r="C1390" s="125"/>
      <c r="D1390" s="125"/>
      <c r="E1390" s="126"/>
      <c r="F1390" s="126"/>
      <c r="G1390" s="125"/>
      <c r="H1390" s="125"/>
      <c r="I1390" s="99"/>
      <c r="K1390" s="84"/>
      <c r="L1390" s="84"/>
      <c r="M1390" s="84"/>
      <c r="N1390" s="84"/>
      <c r="O1390" s="84"/>
      <c r="P1390" s="84"/>
      <c r="Q1390" s="84"/>
      <c r="R1390" s="84"/>
    </row>
    <row r="1391" ht="15.75" customHeight="1">
      <c r="A1391" s="125">
        <v>1.9000177E7</v>
      </c>
      <c r="B1391" s="125" t="s">
        <v>2547</v>
      </c>
      <c r="C1391" s="125"/>
      <c r="D1391" s="125"/>
      <c r="E1391" s="126"/>
      <c r="F1391" s="126"/>
      <c r="G1391" s="125"/>
      <c r="H1391" s="125"/>
      <c r="I1391" s="99"/>
      <c r="K1391" s="84"/>
      <c r="L1391" s="84"/>
      <c r="M1391" s="84"/>
      <c r="N1391" s="84"/>
      <c r="O1391" s="84"/>
      <c r="P1391" s="84"/>
      <c r="Q1391" s="84"/>
      <c r="R1391" s="84"/>
    </row>
    <row r="1392" ht="15.75" customHeight="1">
      <c r="A1392" s="125">
        <v>1.9000178E7</v>
      </c>
      <c r="B1392" s="125" t="s">
        <v>2548</v>
      </c>
      <c r="C1392" s="125"/>
      <c r="D1392" s="125"/>
      <c r="E1392" s="126"/>
      <c r="F1392" s="126"/>
      <c r="G1392" s="125"/>
      <c r="H1392" s="125"/>
      <c r="I1392" s="99"/>
      <c r="K1392" s="84"/>
      <c r="L1392" s="84"/>
      <c r="M1392" s="84"/>
      <c r="N1392" s="84"/>
      <c r="O1392" s="84"/>
      <c r="P1392" s="84"/>
      <c r="Q1392" s="84"/>
      <c r="R1392" s="84"/>
    </row>
    <row r="1393" ht="15.75" customHeight="1">
      <c r="A1393" s="125">
        <v>1.9000179E7</v>
      </c>
      <c r="B1393" s="125" t="s">
        <v>2549</v>
      </c>
      <c r="C1393" s="125"/>
      <c r="D1393" s="125"/>
      <c r="E1393" s="126"/>
      <c r="F1393" s="126"/>
      <c r="G1393" s="125"/>
      <c r="H1393" s="125"/>
      <c r="I1393" s="99"/>
      <c r="K1393" s="84"/>
      <c r="L1393" s="84"/>
      <c r="M1393" s="84"/>
      <c r="N1393" s="84"/>
      <c r="O1393" s="84"/>
      <c r="P1393" s="84"/>
      <c r="Q1393" s="84"/>
      <c r="R1393" s="84"/>
    </row>
    <row r="1394" ht="15.75" customHeight="1">
      <c r="A1394" s="125">
        <v>1.900018E7</v>
      </c>
      <c r="B1394" s="125" t="s">
        <v>2550</v>
      </c>
      <c r="C1394" s="125"/>
      <c r="D1394" s="125"/>
      <c r="E1394" s="126"/>
      <c r="F1394" s="126"/>
      <c r="G1394" s="125"/>
      <c r="H1394" s="125"/>
      <c r="I1394" s="99"/>
      <c r="K1394" s="84"/>
      <c r="L1394" s="84"/>
      <c r="M1394" s="84"/>
      <c r="N1394" s="84"/>
      <c r="O1394" s="84"/>
      <c r="P1394" s="84"/>
      <c r="Q1394" s="84"/>
      <c r="R1394" s="84"/>
    </row>
    <row r="1395" ht="15.75" customHeight="1">
      <c r="A1395" s="125">
        <v>1.9000181E7</v>
      </c>
      <c r="B1395" s="125" t="s">
        <v>2551</v>
      </c>
      <c r="C1395" s="125"/>
      <c r="D1395" s="125"/>
      <c r="E1395" s="126"/>
      <c r="F1395" s="126"/>
      <c r="G1395" s="125"/>
      <c r="H1395" s="125"/>
      <c r="I1395" s="99"/>
      <c r="K1395" s="84"/>
      <c r="L1395" s="84"/>
      <c r="M1395" s="84"/>
      <c r="N1395" s="84"/>
      <c r="O1395" s="84"/>
      <c r="P1395" s="84"/>
      <c r="Q1395" s="84"/>
      <c r="R1395" s="84"/>
    </row>
    <row r="1396" ht="15.75" customHeight="1">
      <c r="A1396" s="125">
        <v>1.9000182E7</v>
      </c>
      <c r="B1396" s="125" t="s">
        <v>2552</v>
      </c>
      <c r="C1396" s="125"/>
      <c r="D1396" s="125"/>
      <c r="E1396" s="126"/>
      <c r="F1396" s="126"/>
      <c r="G1396" s="125"/>
      <c r="H1396" s="125"/>
      <c r="I1396" s="99"/>
      <c r="K1396" s="84"/>
      <c r="L1396" s="84"/>
      <c r="M1396" s="84"/>
      <c r="N1396" s="84"/>
      <c r="O1396" s="84"/>
      <c r="P1396" s="84"/>
      <c r="Q1396" s="84"/>
      <c r="R1396" s="84"/>
    </row>
    <row r="1397" ht="15.75" customHeight="1">
      <c r="A1397" s="125">
        <v>1.9000183E7</v>
      </c>
      <c r="B1397" s="125" t="s">
        <v>2553</v>
      </c>
      <c r="C1397" s="125"/>
      <c r="D1397" s="125"/>
      <c r="E1397" s="126"/>
      <c r="F1397" s="126"/>
      <c r="G1397" s="125"/>
      <c r="H1397" s="125"/>
      <c r="I1397" s="99"/>
      <c r="K1397" s="84"/>
      <c r="L1397" s="84"/>
      <c r="M1397" s="84"/>
      <c r="N1397" s="84"/>
      <c r="O1397" s="84"/>
      <c r="P1397" s="84"/>
      <c r="Q1397" s="84"/>
      <c r="R1397" s="84"/>
    </row>
    <row r="1398" ht="15.75" customHeight="1">
      <c r="A1398" s="125">
        <v>1.9000184E7</v>
      </c>
      <c r="B1398" s="125" t="s">
        <v>2554</v>
      </c>
      <c r="C1398" s="125"/>
      <c r="D1398" s="125"/>
      <c r="E1398" s="126"/>
      <c r="F1398" s="126"/>
      <c r="G1398" s="125"/>
      <c r="H1398" s="125"/>
      <c r="I1398" s="99"/>
      <c r="K1398" s="84"/>
      <c r="L1398" s="84"/>
      <c r="M1398" s="84"/>
      <c r="N1398" s="84"/>
      <c r="O1398" s="84"/>
      <c r="P1398" s="84"/>
      <c r="Q1398" s="84"/>
      <c r="R1398" s="84"/>
    </row>
    <row r="1399" ht="15.75" customHeight="1">
      <c r="A1399" s="125">
        <v>1.9000185E7</v>
      </c>
      <c r="B1399" s="125" t="s">
        <v>2555</v>
      </c>
      <c r="C1399" s="125"/>
      <c r="D1399" s="125"/>
      <c r="E1399" s="126"/>
      <c r="F1399" s="126"/>
      <c r="G1399" s="125"/>
      <c r="H1399" s="125"/>
      <c r="I1399" s="99"/>
      <c r="K1399" s="84"/>
      <c r="L1399" s="84"/>
      <c r="M1399" s="84"/>
      <c r="N1399" s="84"/>
      <c r="O1399" s="84"/>
      <c r="P1399" s="84"/>
      <c r="Q1399" s="84"/>
      <c r="R1399" s="84"/>
    </row>
    <row r="1400" ht="15.75" customHeight="1">
      <c r="A1400" s="125">
        <v>1.9000186E7</v>
      </c>
      <c r="B1400" s="125" t="s">
        <v>2556</v>
      </c>
      <c r="C1400" s="125"/>
      <c r="D1400" s="125"/>
      <c r="E1400" s="126"/>
      <c r="F1400" s="126"/>
      <c r="G1400" s="125"/>
      <c r="H1400" s="125"/>
      <c r="I1400" s="99"/>
      <c r="K1400" s="84"/>
      <c r="L1400" s="84"/>
      <c r="M1400" s="84"/>
      <c r="N1400" s="84"/>
      <c r="O1400" s="84"/>
      <c r="P1400" s="84"/>
      <c r="Q1400" s="84"/>
      <c r="R1400" s="84"/>
    </row>
    <row r="1401" ht="15.75" customHeight="1">
      <c r="A1401" s="125">
        <v>1.9000187E7</v>
      </c>
      <c r="B1401" s="125" t="s">
        <v>2557</v>
      </c>
      <c r="C1401" s="125"/>
      <c r="D1401" s="125"/>
      <c r="E1401" s="126"/>
      <c r="F1401" s="126"/>
      <c r="G1401" s="125"/>
      <c r="H1401" s="125"/>
      <c r="I1401" s="99"/>
      <c r="K1401" s="84"/>
      <c r="L1401" s="84"/>
      <c r="M1401" s="84"/>
      <c r="N1401" s="84"/>
      <c r="O1401" s="84"/>
      <c r="P1401" s="84"/>
      <c r="Q1401" s="84"/>
      <c r="R1401" s="84"/>
    </row>
    <row r="1402" ht="15.75" customHeight="1">
      <c r="A1402" s="125">
        <v>1.9000188E7</v>
      </c>
      <c r="B1402" s="125" t="s">
        <v>2558</v>
      </c>
      <c r="C1402" s="125"/>
      <c r="D1402" s="125"/>
      <c r="E1402" s="126"/>
      <c r="F1402" s="126"/>
      <c r="G1402" s="125"/>
      <c r="H1402" s="125"/>
      <c r="I1402" s="99"/>
      <c r="K1402" s="84"/>
      <c r="L1402" s="84"/>
      <c r="M1402" s="84"/>
      <c r="N1402" s="84"/>
      <c r="O1402" s="84"/>
      <c r="P1402" s="84"/>
      <c r="Q1402" s="84"/>
      <c r="R1402" s="84"/>
    </row>
    <row r="1403" ht="15.75" customHeight="1">
      <c r="A1403" s="125">
        <v>1.9000189E7</v>
      </c>
      <c r="B1403" s="125" t="s">
        <v>2559</v>
      </c>
      <c r="C1403" s="125"/>
      <c r="D1403" s="125"/>
      <c r="E1403" s="126"/>
      <c r="F1403" s="126"/>
      <c r="G1403" s="125"/>
      <c r="H1403" s="125"/>
      <c r="I1403" s="99"/>
      <c r="K1403" s="84"/>
      <c r="L1403" s="84"/>
      <c r="M1403" s="84"/>
      <c r="N1403" s="84"/>
      <c r="O1403" s="84"/>
      <c r="P1403" s="84"/>
      <c r="Q1403" s="84"/>
      <c r="R1403" s="84"/>
    </row>
    <row r="1404" ht="15.75" customHeight="1">
      <c r="A1404" s="125">
        <v>1.900019E7</v>
      </c>
      <c r="B1404" s="125" t="s">
        <v>2560</v>
      </c>
      <c r="C1404" s="125"/>
      <c r="D1404" s="125"/>
      <c r="E1404" s="126"/>
      <c r="F1404" s="126"/>
      <c r="G1404" s="125"/>
      <c r="H1404" s="125"/>
      <c r="I1404" s="99"/>
      <c r="K1404" s="84"/>
      <c r="L1404" s="84"/>
      <c r="M1404" s="84"/>
      <c r="N1404" s="84"/>
      <c r="O1404" s="84"/>
      <c r="P1404" s="84"/>
      <c r="Q1404" s="84"/>
      <c r="R1404" s="84"/>
    </row>
    <row r="1405" ht="15.75" customHeight="1">
      <c r="A1405" s="125">
        <v>1.9000191E7</v>
      </c>
      <c r="B1405" s="125" t="s">
        <v>2561</v>
      </c>
      <c r="C1405" s="125"/>
      <c r="D1405" s="125"/>
      <c r="E1405" s="126"/>
      <c r="F1405" s="126"/>
      <c r="G1405" s="125"/>
      <c r="H1405" s="125"/>
      <c r="I1405" s="99"/>
      <c r="K1405" s="84"/>
      <c r="L1405" s="84"/>
      <c r="M1405" s="84"/>
      <c r="N1405" s="84"/>
      <c r="O1405" s="84"/>
      <c r="P1405" s="84"/>
      <c r="Q1405" s="84"/>
      <c r="R1405" s="84"/>
    </row>
    <row r="1406" ht="15.75" customHeight="1">
      <c r="A1406" s="125">
        <v>1.9000192E7</v>
      </c>
      <c r="B1406" s="125" t="s">
        <v>2562</v>
      </c>
      <c r="C1406" s="125"/>
      <c r="D1406" s="125"/>
      <c r="E1406" s="126"/>
      <c r="F1406" s="126"/>
      <c r="G1406" s="125"/>
      <c r="H1406" s="125"/>
      <c r="I1406" s="99"/>
      <c r="K1406" s="84"/>
      <c r="L1406" s="84"/>
      <c r="M1406" s="84"/>
      <c r="N1406" s="84"/>
      <c r="O1406" s="84"/>
      <c r="P1406" s="84"/>
      <c r="Q1406" s="84"/>
      <c r="R1406" s="84"/>
    </row>
    <row r="1407" ht="15.75" customHeight="1">
      <c r="A1407" s="125">
        <v>1.90002E7</v>
      </c>
      <c r="B1407" s="215" t="s">
        <v>2563</v>
      </c>
      <c r="C1407" s="125" t="s">
        <v>2564</v>
      </c>
      <c r="D1407" s="125"/>
      <c r="E1407" s="126"/>
      <c r="F1407" s="126"/>
      <c r="G1407" s="125"/>
      <c r="H1407" s="125"/>
      <c r="I1407" s="99"/>
      <c r="K1407" s="84"/>
      <c r="L1407" s="84"/>
      <c r="M1407" s="84"/>
      <c r="N1407" s="84"/>
      <c r="O1407" s="84"/>
      <c r="P1407" s="84"/>
      <c r="Q1407" s="84"/>
      <c r="R1407" s="84"/>
    </row>
    <row r="1408" ht="15.75" customHeight="1">
      <c r="A1408" s="125">
        <v>1.9000201E7</v>
      </c>
      <c r="B1408" s="125" t="s">
        <v>2565</v>
      </c>
      <c r="C1408" s="125"/>
      <c r="D1408" s="125"/>
      <c r="E1408" s="126"/>
      <c r="F1408" s="126"/>
      <c r="G1408" s="125"/>
      <c r="H1408" s="125"/>
      <c r="I1408" s="99"/>
      <c r="K1408" s="84"/>
      <c r="L1408" s="84"/>
      <c r="M1408" s="84"/>
      <c r="N1408" s="84"/>
      <c r="O1408" s="84"/>
      <c r="P1408" s="84"/>
      <c r="Q1408" s="84"/>
      <c r="R1408" s="84"/>
    </row>
    <row r="1409" ht="15.75" customHeight="1">
      <c r="A1409" s="125">
        <v>1.9000202E7</v>
      </c>
      <c r="B1409" s="125" t="s">
        <v>2566</v>
      </c>
      <c r="C1409" s="125"/>
      <c r="D1409" s="125"/>
      <c r="E1409" s="126"/>
      <c r="F1409" s="126"/>
      <c r="G1409" s="125"/>
      <c r="H1409" s="125"/>
      <c r="I1409" s="99"/>
      <c r="K1409" s="84"/>
      <c r="L1409" s="84"/>
      <c r="M1409" s="84"/>
      <c r="N1409" s="84"/>
      <c r="O1409" s="84"/>
      <c r="P1409" s="84"/>
      <c r="Q1409" s="84"/>
      <c r="R1409" s="84"/>
    </row>
    <row r="1410" ht="15.75" customHeight="1">
      <c r="A1410" s="125">
        <v>1.9000203E7</v>
      </c>
      <c r="B1410" s="125" t="s">
        <v>2567</v>
      </c>
      <c r="C1410" s="125"/>
      <c r="D1410" s="125"/>
      <c r="E1410" s="126"/>
      <c r="F1410" s="126"/>
      <c r="G1410" s="125"/>
      <c r="H1410" s="125"/>
      <c r="I1410" s="99"/>
      <c r="K1410" s="84"/>
      <c r="L1410" s="84"/>
      <c r="M1410" s="84"/>
      <c r="N1410" s="84"/>
      <c r="O1410" s="84"/>
      <c r="P1410" s="84"/>
      <c r="Q1410" s="84"/>
      <c r="R1410" s="84"/>
    </row>
    <row r="1411" ht="15.75" customHeight="1">
      <c r="A1411" s="125">
        <v>1.9000204E7</v>
      </c>
      <c r="B1411" s="125" t="s">
        <v>2568</v>
      </c>
      <c r="C1411" s="125"/>
      <c r="D1411" s="125"/>
      <c r="E1411" s="126"/>
      <c r="F1411" s="126"/>
      <c r="G1411" s="125"/>
      <c r="H1411" s="125"/>
      <c r="I1411" s="99"/>
      <c r="K1411" s="84"/>
      <c r="L1411" s="84"/>
      <c r="M1411" s="84"/>
      <c r="N1411" s="84"/>
      <c r="O1411" s="84"/>
      <c r="P1411" s="84"/>
      <c r="Q1411" s="84"/>
      <c r="R1411" s="84"/>
    </row>
    <row r="1412" ht="15.75" customHeight="1">
      <c r="A1412" s="125">
        <v>1.9000205E7</v>
      </c>
      <c r="B1412" s="125" t="s">
        <v>2569</v>
      </c>
      <c r="C1412" s="125"/>
      <c r="D1412" s="125"/>
      <c r="E1412" s="126"/>
      <c r="F1412" s="126"/>
      <c r="G1412" s="125"/>
      <c r="H1412" s="125"/>
      <c r="I1412" s="99"/>
      <c r="K1412" s="84"/>
      <c r="L1412" s="84"/>
      <c r="M1412" s="84"/>
      <c r="N1412" s="84"/>
      <c r="O1412" s="84"/>
      <c r="P1412" s="84"/>
      <c r="Q1412" s="84"/>
      <c r="R1412" s="84"/>
    </row>
    <row r="1413" ht="15.75" customHeight="1">
      <c r="A1413" s="125">
        <v>1.9000206E7</v>
      </c>
      <c r="B1413" s="125" t="s">
        <v>2570</v>
      </c>
      <c r="C1413" s="125"/>
      <c r="D1413" s="125"/>
      <c r="E1413" s="126"/>
      <c r="F1413" s="126"/>
      <c r="G1413" s="125"/>
      <c r="H1413" s="125"/>
      <c r="I1413" s="99"/>
      <c r="K1413" s="84"/>
      <c r="L1413" s="84"/>
      <c r="M1413" s="84"/>
      <c r="N1413" s="84"/>
      <c r="O1413" s="84"/>
      <c r="P1413" s="84"/>
      <c r="Q1413" s="84"/>
      <c r="R1413" s="84"/>
    </row>
    <row r="1414" ht="15.75" customHeight="1">
      <c r="A1414" s="125">
        <v>1.9000207E7</v>
      </c>
      <c r="B1414" s="125" t="s">
        <v>2571</v>
      </c>
      <c r="C1414" s="125"/>
      <c r="D1414" s="125"/>
      <c r="E1414" s="126"/>
      <c r="F1414" s="126"/>
      <c r="G1414" s="125"/>
      <c r="H1414" s="125"/>
      <c r="I1414" s="99"/>
      <c r="K1414" s="84"/>
      <c r="L1414" s="84"/>
      <c r="M1414" s="84"/>
      <c r="N1414" s="84"/>
      <c r="O1414" s="84"/>
      <c r="P1414" s="84"/>
      <c r="Q1414" s="84"/>
      <c r="R1414" s="84"/>
    </row>
    <row r="1415" ht="15.75" customHeight="1">
      <c r="A1415" s="125">
        <v>1.9000208E7</v>
      </c>
      <c r="B1415" s="125" t="s">
        <v>2572</v>
      </c>
      <c r="C1415" s="125"/>
      <c r="D1415" s="125"/>
      <c r="E1415" s="126"/>
      <c r="F1415" s="126"/>
      <c r="G1415" s="125"/>
      <c r="H1415" s="125"/>
      <c r="I1415" s="99"/>
      <c r="K1415" s="84"/>
      <c r="L1415" s="84"/>
      <c r="M1415" s="84"/>
      <c r="N1415" s="84"/>
      <c r="O1415" s="84"/>
      <c r="P1415" s="84"/>
      <c r="Q1415" s="84"/>
      <c r="R1415" s="84"/>
    </row>
    <row r="1416" ht="15.75" customHeight="1">
      <c r="A1416" s="125">
        <v>1.9000209E7</v>
      </c>
      <c r="B1416" s="125" t="s">
        <v>2573</v>
      </c>
      <c r="C1416" s="125"/>
      <c r="D1416" s="125"/>
      <c r="E1416" s="126"/>
      <c r="F1416" s="126"/>
      <c r="G1416" s="125"/>
      <c r="H1416" s="125"/>
      <c r="I1416" s="99"/>
      <c r="K1416" s="84"/>
      <c r="L1416" s="84"/>
      <c r="M1416" s="84"/>
      <c r="N1416" s="84"/>
      <c r="O1416" s="84"/>
      <c r="P1416" s="84"/>
      <c r="Q1416" s="84"/>
      <c r="R1416" s="84"/>
    </row>
    <row r="1417" ht="15.75" customHeight="1">
      <c r="A1417" s="125">
        <v>1.900021E7</v>
      </c>
      <c r="B1417" s="125" t="s">
        <v>2574</v>
      </c>
      <c r="C1417" s="125"/>
      <c r="D1417" s="125"/>
      <c r="E1417" s="126"/>
      <c r="F1417" s="126"/>
      <c r="G1417" s="125"/>
      <c r="H1417" s="125"/>
      <c r="I1417" s="99"/>
      <c r="K1417" s="84"/>
      <c r="L1417" s="84"/>
      <c r="M1417" s="84"/>
      <c r="N1417" s="84"/>
      <c r="O1417" s="84"/>
      <c r="P1417" s="84"/>
      <c r="Q1417" s="84"/>
      <c r="R1417" s="84"/>
    </row>
    <row r="1418" ht="15.75" customHeight="1">
      <c r="A1418" s="125">
        <v>1.9000211E7</v>
      </c>
      <c r="B1418" s="125" t="s">
        <v>2575</v>
      </c>
      <c r="C1418" s="125"/>
      <c r="D1418" s="125"/>
      <c r="E1418" s="126"/>
      <c r="F1418" s="126"/>
      <c r="G1418" s="125"/>
      <c r="H1418" s="125"/>
      <c r="I1418" s="99"/>
      <c r="K1418" s="84"/>
      <c r="L1418" s="84"/>
      <c r="M1418" s="84"/>
      <c r="N1418" s="84"/>
      <c r="O1418" s="84"/>
      <c r="P1418" s="84"/>
      <c r="Q1418" s="84"/>
      <c r="R1418" s="84"/>
    </row>
    <row r="1419" ht="15.75" customHeight="1">
      <c r="A1419" s="125">
        <v>1.9000212E7</v>
      </c>
      <c r="B1419" s="125" t="s">
        <v>2576</v>
      </c>
      <c r="C1419" s="125"/>
      <c r="D1419" s="125"/>
      <c r="E1419" s="126"/>
      <c r="F1419" s="126"/>
      <c r="G1419" s="125"/>
      <c r="H1419" s="125"/>
      <c r="I1419" s="99"/>
      <c r="K1419" s="84"/>
      <c r="L1419" s="84"/>
      <c r="M1419" s="84"/>
      <c r="N1419" s="84"/>
      <c r="O1419" s="84"/>
      <c r="P1419" s="84"/>
      <c r="Q1419" s="84"/>
      <c r="R1419" s="84"/>
    </row>
    <row r="1420" ht="15.75" customHeight="1">
      <c r="A1420" s="125">
        <v>1.9000213E7</v>
      </c>
      <c r="B1420" s="125" t="s">
        <v>2577</v>
      </c>
      <c r="C1420" s="125"/>
      <c r="D1420" s="125"/>
      <c r="E1420" s="126"/>
      <c r="F1420" s="126"/>
      <c r="G1420" s="125"/>
      <c r="H1420" s="125"/>
      <c r="I1420" s="99"/>
      <c r="K1420" s="84"/>
      <c r="L1420" s="84"/>
      <c r="M1420" s="84"/>
      <c r="N1420" s="84"/>
      <c r="O1420" s="84"/>
      <c r="P1420" s="84"/>
      <c r="Q1420" s="84"/>
      <c r="R1420" s="84"/>
    </row>
    <row r="1421" ht="15.75" customHeight="1">
      <c r="A1421" s="125">
        <v>1.9000214E7</v>
      </c>
      <c r="B1421" s="125" t="s">
        <v>2578</v>
      </c>
      <c r="C1421" s="125"/>
      <c r="D1421" s="125"/>
      <c r="E1421" s="126"/>
      <c r="F1421" s="126"/>
      <c r="G1421" s="125"/>
      <c r="H1421" s="125"/>
      <c r="I1421" s="99"/>
      <c r="K1421" s="84"/>
      <c r="L1421" s="84"/>
      <c r="M1421" s="84"/>
      <c r="N1421" s="84"/>
      <c r="O1421" s="84"/>
      <c r="P1421" s="84"/>
      <c r="Q1421" s="84"/>
      <c r="R1421" s="84"/>
    </row>
    <row r="1422" ht="15.75" customHeight="1">
      <c r="A1422" s="125">
        <v>1.9000215E7</v>
      </c>
      <c r="B1422" s="125" t="s">
        <v>2579</v>
      </c>
      <c r="C1422" s="125"/>
      <c r="D1422" s="125"/>
      <c r="E1422" s="126"/>
      <c r="F1422" s="126"/>
      <c r="G1422" s="125"/>
      <c r="H1422" s="125"/>
      <c r="I1422" s="99"/>
      <c r="K1422" s="84"/>
      <c r="L1422" s="84"/>
      <c r="M1422" s="84"/>
      <c r="N1422" s="84"/>
      <c r="O1422" s="84"/>
      <c r="P1422" s="84"/>
      <c r="Q1422" s="84"/>
      <c r="R1422" s="84"/>
    </row>
    <row r="1423" ht="15.75" customHeight="1">
      <c r="A1423" s="125">
        <v>1.9000216E7</v>
      </c>
      <c r="B1423" s="125" t="s">
        <v>2580</v>
      </c>
      <c r="C1423" s="125"/>
      <c r="D1423" s="125"/>
      <c r="E1423" s="126"/>
      <c r="F1423" s="126"/>
      <c r="G1423" s="125"/>
      <c r="H1423" s="125"/>
      <c r="I1423" s="99"/>
      <c r="K1423" s="84"/>
      <c r="L1423" s="84"/>
      <c r="M1423" s="84"/>
      <c r="N1423" s="84"/>
      <c r="O1423" s="84"/>
      <c r="P1423" s="84"/>
      <c r="Q1423" s="84"/>
      <c r="R1423" s="84"/>
    </row>
    <row r="1424" ht="15.75" customHeight="1">
      <c r="A1424" s="125">
        <v>1.9000217E7</v>
      </c>
      <c r="B1424" s="125" t="s">
        <v>2581</v>
      </c>
      <c r="C1424" s="125"/>
      <c r="D1424" s="125"/>
      <c r="E1424" s="126"/>
      <c r="F1424" s="126"/>
      <c r="G1424" s="125"/>
      <c r="H1424" s="125"/>
      <c r="I1424" s="99"/>
      <c r="K1424" s="84"/>
      <c r="L1424" s="84"/>
      <c r="M1424" s="84"/>
      <c r="N1424" s="84"/>
      <c r="O1424" s="84"/>
      <c r="P1424" s="84"/>
      <c r="Q1424" s="84"/>
      <c r="R1424" s="84"/>
    </row>
    <row r="1425" ht="15.75" customHeight="1">
      <c r="A1425" s="125">
        <v>1.9000218E7</v>
      </c>
      <c r="B1425" s="125" t="s">
        <v>2582</v>
      </c>
      <c r="C1425" s="125"/>
      <c r="D1425" s="125"/>
      <c r="E1425" s="126"/>
      <c r="F1425" s="126"/>
      <c r="G1425" s="125"/>
      <c r="H1425" s="125"/>
      <c r="I1425" s="99"/>
      <c r="K1425" s="84"/>
      <c r="L1425" s="84"/>
      <c r="M1425" s="84"/>
      <c r="N1425" s="84"/>
      <c r="O1425" s="84"/>
      <c r="P1425" s="84"/>
      <c r="Q1425" s="84"/>
      <c r="R1425" s="84"/>
    </row>
    <row r="1426" ht="15.75" customHeight="1">
      <c r="A1426" s="125">
        <v>1.9000219E7</v>
      </c>
      <c r="B1426" s="125" t="s">
        <v>2583</v>
      </c>
      <c r="C1426" s="125"/>
      <c r="D1426" s="125"/>
      <c r="E1426" s="126"/>
      <c r="F1426" s="126"/>
      <c r="G1426" s="125"/>
      <c r="H1426" s="125"/>
      <c r="I1426" s="99"/>
      <c r="K1426" s="84"/>
      <c r="L1426" s="84"/>
      <c r="M1426" s="84"/>
      <c r="N1426" s="84"/>
      <c r="O1426" s="84"/>
      <c r="P1426" s="84"/>
      <c r="Q1426" s="84"/>
      <c r="R1426" s="84"/>
    </row>
    <row r="1427" ht="15.75" customHeight="1">
      <c r="A1427" s="125">
        <v>1.900022E7</v>
      </c>
      <c r="B1427" s="125" t="s">
        <v>2584</v>
      </c>
      <c r="C1427" s="125"/>
      <c r="D1427" s="125"/>
      <c r="E1427" s="126"/>
      <c r="F1427" s="126"/>
      <c r="G1427" s="125"/>
      <c r="H1427" s="125"/>
      <c r="I1427" s="99"/>
      <c r="K1427" s="84"/>
      <c r="L1427" s="84"/>
      <c r="M1427" s="84"/>
      <c r="N1427" s="84"/>
      <c r="O1427" s="84"/>
      <c r="P1427" s="84"/>
      <c r="Q1427" s="84"/>
      <c r="R1427" s="84"/>
    </row>
    <row r="1428" ht="15.75" customHeight="1">
      <c r="A1428" s="125">
        <v>1.9000221E7</v>
      </c>
      <c r="B1428" s="125" t="s">
        <v>2585</v>
      </c>
      <c r="C1428" s="125"/>
      <c r="D1428" s="125"/>
      <c r="E1428" s="126"/>
      <c r="F1428" s="126"/>
      <c r="G1428" s="125"/>
      <c r="H1428" s="125"/>
      <c r="I1428" s="99"/>
      <c r="K1428" s="84"/>
      <c r="L1428" s="84"/>
      <c r="M1428" s="84"/>
      <c r="N1428" s="84"/>
      <c r="O1428" s="84"/>
      <c r="P1428" s="84"/>
      <c r="Q1428" s="84"/>
      <c r="R1428" s="84"/>
    </row>
    <row r="1429" ht="15.75" customHeight="1">
      <c r="A1429" s="125">
        <v>1.9000222E7</v>
      </c>
      <c r="B1429" s="125" t="s">
        <v>2586</v>
      </c>
      <c r="C1429" s="125"/>
      <c r="D1429" s="125"/>
      <c r="E1429" s="126"/>
      <c r="F1429" s="126"/>
      <c r="G1429" s="125"/>
      <c r="H1429" s="125"/>
      <c r="I1429" s="99"/>
      <c r="K1429" s="84"/>
      <c r="L1429" s="84"/>
      <c r="M1429" s="84"/>
      <c r="N1429" s="84"/>
      <c r="O1429" s="84"/>
      <c r="P1429" s="84"/>
      <c r="Q1429" s="84"/>
      <c r="R1429" s="84"/>
    </row>
    <row r="1430" ht="15.75" customHeight="1">
      <c r="A1430" s="125">
        <v>1.9000223E7</v>
      </c>
      <c r="B1430" s="125" t="s">
        <v>2587</v>
      </c>
      <c r="C1430" s="125"/>
      <c r="D1430" s="125"/>
      <c r="E1430" s="126"/>
      <c r="F1430" s="126"/>
      <c r="G1430" s="125"/>
      <c r="H1430" s="125"/>
      <c r="I1430" s="99"/>
      <c r="K1430" s="84"/>
      <c r="L1430" s="84"/>
      <c r="M1430" s="84"/>
      <c r="N1430" s="84"/>
      <c r="O1430" s="84"/>
      <c r="P1430" s="84"/>
      <c r="Q1430" s="84"/>
      <c r="R1430" s="84"/>
    </row>
    <row r="1431" ht="15.75" customHeight="1">
      <c r="A1431" s="125">
        <v>1.9000224E7</v>
      </c>
      <c r="B1431" s="125" t="s">
        <v>2588</v>
      </c>
      <c r="C1431" s="125"/>
      <c r="D1431" s="125"/>
      <c r="E1431" s="126"/>
      <c r="F1431" s="126"/>
      <c r="G1431" s="125"/>
      <c r="H1431" s="125"/>
      <c r="I1431" s="99"/>
      <c r="K1431" s="84"/>
      <c r="L1431" s="84"/>
      <c r="M1431" s="84"/>
      <c r="N1431" s="84"/>
      <c r="O1431" s="84"/>
      <c r="P1431" s="84"/>
      <c r="Q1431" s="84"/>
      <c r="R1431" s="84"/>
    </row>
    <row r="1432" ht="15.75" customHeight="1">
      <c r="A1432" s="125">
        <v>1.9000225E7</v>
      </c>
      <c r="B1432" s="125" t="s">
        <v>2589</v>
      </c>
      <c r="C1432" s="125"/>
      <c r="D1432" s="125"/>
      <c r="E1432" s="126"/>
      <c r="F1432" s="126"/>
      <c r="G1432" s="125"/>
      <c r="H1432" s="125"/>
      <c r="I1432" s="99"/>
      <c r="K1432" s="84"/>
      <c r="L1432" s="84"/>
      <c r="M1432" s="84"/>
      <c r="N1432" s="84"/>
      <c r="O1432" s="84"/>
      <c r="P1432" s="84"/>
      <c r="Q1432" s="84"/>
      <c r="R1432" s="84"/>
    </row>
    <row r="1433" ht="15.75" customHeight="1">
      <c r="A1433" s="125">
        <v>1.9000226E7</v>
      </c>
      <c r="B1433" s="125" t="s">
        <v>2590</v>
      </c>
      <c r="C1433" s="125"/>
      <c r="D1433" s="125"/>
      <c r="E1433" s="126"/>
      <c r="F1433" s="126"/>
      <c r="G1433" s="125"/>
      <c r="H1433" s="125"/>
      <c r="I1433" s="99"/>
      <c r="K1433" s="84"/>
      <c r="L1433" s="84"/>
      <c r="M1433" s="84"/>
      <c r="N1433" s="84"/>
      <c r="O1433" s="84"/>
      <c r="P1433" s="84"/>
      <c r="Q1433" s="84"/>
      <c r="R1433" s="84"/>
    </row>
    <row r="1434" ht="15.75" customHeight="1">
      <c r="A1434" s="125">
        <v>1.9000227E7</v>
      </c>
      <c r="B1434" s="125" t="s">
        <v>2591</v>
      </c>
      <c r="C1434" s="125"/>
      <c r="D1434" s="125"/>
      <c r="E1434" s="126"/>
      <c r="F1434" s="126"/>
      <c r="G1434" s="125"/>
      <c r="H1434" s="125"/>
      <c r="I1434" s="99"/>
      <c r="K1434" s="84"/>
      <c r="L1434" s="84"/>
      <c r="M1434" s="84"/>
      <c r="N1434" s="84"/>
      <c r="O1434" s="84"/>
      <c r="P1434" s="84"/>
      <c r="Q1434" s="84"/>
      <c r="R1434" s="84"/>
    </row>
    <row r="1435" ht="15.75" customHeight="1">
      <c r="A1435" s="125">
        <v>1.9000228E7</v>
      </c>
      <c r="B1435" s="125" t="s">
        <v>2592</v>
      </c>
      <c r="C1435" s="125"/>
      <c r="D1435" s="125"/>
      <c r="E1435" s="126"/>
      <c r="F1435" s="126"/>
      <c r="G1435" s="125"/>
      <c r="H1435" s="125"/>
      <c r="I1435" s="99"/>
      <c r="K1435" s="84"/>
      <c r="L1435" s="84"/>
      <c r="M1435" s="84"/>
      <c r="N1435" s="84"/>
      <c r="O1435" s="84"/>
      <c r="P1435" s="84"/>
      <c r="Q1435" s="84"/>
      <c r="R1435" s="84"/>
    </row>
    <row r="1436" ht="15.75" customHeight="1">
      <c r="A1436" s="125">
        <v>1.9000229E7</v>
      </c>
      <c r="B1436" s="125" t="s">
        <v>2593</v>
      </c>
      <c r="C1436" s="125"/>
      <c r="D1436" s="125"/>
      <c r="E1436" s="126"/>
      <c r="F1436" s="126"/>
      <c r="G1436" s="125"/>
      <c r="H1436" s="125"/>
      <c r="I1436" s="99"/>
      <c r="K1436" s="84"/>
      <c r="L1436" s="84"/>
      <c r="M1436" s="84"/>
      <c r="N1436" s="84"/>
      <c r="O1436" s="84"/>
      <c r="P1436" s="84"/>
      <c r="Q1436" s="84"/>
      <c r="R1436" s="84"/>
    </row>
    <row r="1437" ht="15.75" customHeight="1">
      <c r="A1437" s="125">
        <v>1.900023E7</v>
      </c>
      <c r="B1437" s="125" t="s">
        <v>2594</v>
      </c>
      <c r="C1437" s="125"/>
      <c r="D1437" s="125"/>
      <c r="E1437" s="126"/>
      <c r="F1437" s="126"/>
      <c r="G1437" s="125"/>
      <c r="H1437" s="125"/>
      <c r="I1437" s="99"/>
      <c r="K1437" s="84"/>
      <c r="L1437" s="84"/>
      <c r="M1437" s="84"/>
      <c r="N1437" s="84"/>
      <c r="O1437" s="84"/>
      <c r="P1437" s="84"/>
      <c r="Q1437" s="84"/>
      <c r="R1437" s="84"/>
    </row>
    <row r="1438" ht="15.75" customHeight="1">
      <c r="A1438" s="125">
        <v>1.9000231E7</v>
      </c>
      <c r="B1438" s="125" t="s">
        <v>2595</v>
      </c>
      <c r="C1438" s="125"/>
      <c r="D1438" s="125"/>
      <c r="E1438" s="126"/>
      <c r="F1438" s="126"/>
      <c r="G1438" s="125"/>
      <c r="H1438" s="125"/>
      <c r="I1438" s="99"/>
      <c r="K1438" s="84"/>
      <c r="L1438" s="84"/>
      <c r="M1438" s="84"/>
      <c r="N1438" s="84"/>
      <c r="O1438" s="84"/>
      <c r="P1438" s="84"/>
      <c r="Q1438" s="84"/>
      <c r="R1438" s="84"/>
    </row>
    <row r="1439" ht="15.75" customHeight="1">
      <c r="A1439" s="125">
        <v>1.9000232E7</v>
      </c>
      <c r="B1439" s="125" t="s">
        <v>2596</v>
      </c>
      <c r="C1439" s="125"/>
      <c r="D1439" s="125"/>
      <c r="E1439" s="126"/>
      <c r="F1439" s="126"/>
      <c r="G1439" s="125"/>
      <c r="H1439" s="125"/>
      <c r="I1439" s="99"/>
      <c r="K1439" s="84"/>
      <c r="L1439" s="84"/>
      <c r="M1439" s="84"/>
      <c r="N1439" s="84"/>
      <c r="O1439" s="84"/>
      <c r="P1439" s="84"/>
      <c r="Q1439" s="84"/>
      <c r="R1439" s="84"/>
    </row>
    <row r="1440" ht="15.75" customHeight="1">
      <c r="A1440" s="125">
        <v>1.9000233E7</v>
      </c>
      <c r="B1440" s="125" t="s">
        <v>2597</v>
      </c>
      <c r="C1440" s="125"/>
      <c r="D1440" s="125"/>
      <c r="E1440" s="126"/>
      <c r="F1440" s="126"/>
      <c r="G1440" s="125"/>
      <c r="H1440" s="125"/>
      <c r="I1440" s="99"/>
      <c r="K1440" s="84"/>
      <c r="L1440" s="84"/>
      <c r="M1440" s="84"/>
      <c r="N1440" s="84"/>
      <c r="O1440" s="84"/>
      <c r="P1440" s="84"/>
      <c r="Q1440" s="84"/>
      <c r="R1440" s="84"/>
    </row>
    <row r="1441" ht="15.75" customHeight="1">
      <c r="A1441" s="125">
        <v>1.9000234E7</v>
      </c>
      <c r="B1441" s="125" t="s">
        <v>2598</v>
      </c>
      <c r="C1441" s="125"/>
      <c r="D1441" s="125"/>
      <c r="E1441" s="126"/>
      <c r="F1441" s="126"/>
      <c r="G1441" s="125"/>
      <c r="H1441" s="125"/>
      <c r="I1441" s="99"/>
      <c r="K1441" s="84"/>
      <c r="L1441" s="84"/>
      <c r="M1441" s="84"/>
      <c r="N1441" s="84"/>
      <c r="O1441" s="84"/>
      <c r="P1441" s="84"/>
      <c r="Q1441" s="84"/>
      <c r="R1441" s="84"/>
    </row>
    <row r="1442" ht="15.75" customHeight="1">
      <c r="A1442" s="125">
        <v>1.9000235E7</v>
      </c>
      <c r="B1442" s="125" t="s">
        <v>2599</v>
      </c>
      <c r="C1442" s="125"/>
      <c r="D1442" s="125"/>
      <c r="E1442" s="126"/>
      <c r="F1442" s="126"/>
      <c r="G1442" s="125"/>
      <c r="H1442" s="125"/>
      <c r="I1442" s="99"/>
      <c r="K1442" s="84"/>
      <c r="L1442" s="84"/>
      <c r="M1442" s="84"/>
      <c r="N1442" s="84"/>
      <c r="O1442" s="84"/>
      <c r="P1442" s="84"/>
      <c r="Q1442" s="84"/>
      <c r="R1442" s="84"/>
    </row>
    <row r="1443" ht="15.75" customHeight="1">
      <c r="A1443" s="125">
        <v>1.9000236E7</v>
      </c>
      <c r="B1443" s="125" t="s">
        <v>2600</v>
      </c>
      <c r="C1443" s="125"/>
      <c r="D1443" s="125"/>
      <c r="E1443" s="126"/>
      <c r="F1443" s="126"/>
      <c r="G1443" s="125"/>
      <c r="H1443" s="125"/>
      <c r="I1443" s="99"/>
      <c r="K1443" s="84"/>
      <c r="L1443" s="84"/>
      <c r="M1443" s="84"/>
      <c r="N1443" s="84"/>
      <c r="O1443" s="84"/>
      <c r="P1443" s="84"/>
      <c r="Q1443" s="84"/>
      <c r="R1443" s="84"/>
    </row>
    <row r="1444" ht="15.75" customHeight="1">
      <c r="A1444" s="125">
        <v>1.9000237E7</v>
      </c>
      <c r="B1444" s="125" t="s">
        <v>2601</v>
      </c>
      <c r="C1444" s="125"/>
      <c r="D1444" s="125"/>
      <c r="E1444" s="126"/>
      <c r="F1444" s="126"/>
      <c r="G1444" s="125"/>
      <c r="H1444" s="125"/>
      <c r="I1444" s="99"/>
      <c r="K1444" s="84"/>
      <c r="L1444" s="84"/>
      <c r="M1444" s="84"/>
      <c r="N1444" s="84"/>
      <c r="O1444" s="84"/>
      <c r="P1444" s="84"/>
      <c r="Q1444" s="84"/>
      <c r="R1444" s="84"/>
    </row>
    <row r="1445" ht="15.75" customHeight="1">
      <c r="A1445" s="125">
        <v>1.9000238E7</v>
      </c>
      <c r="B1445" s="125" t="s">
        <v>2602</v>
      </c>
      <c r="C1445" s="125"/>
      <c r="D1445" s="125"/>
      <c r="E1445" s="126"/>
      <c r="F1445" s="126"/>
      <c r="G1445" s="125"/>
      <c r="H1445" s="125"/>
      <c r="I1445" s="99"/>
      <c r="K1445" s="84"/>
      <c r="L1445" s="84"/>
      <c r="M1445" s="84"/>
      <c r="N1445" s="84"/>
      <c r="O1445" s="84"/>
      <c r="P1445" s="84"/>
      <c r="Q1445" s="84"/>
      <c r="R1445" s="84"/>
    </row>
    <row r="1446" ht="15.75" customHeight="1">
      <c r="A1446" s="125">
        <v>1.9000239E7</v>
      </c>
      <c r="B1446" s="125" t="s">
        <v>2603</v>
      </c>
      <c r="C1446" s="125"/>
      <c r="D1446" s="125"/>
      <c r="E1446" s="126"/>
      <c r="F1446" s="126"/>
      <c r="G1446" s="125"/>
      <c r="H1446" s="125"/>
      <c r="I1446" s="99"/>
      <c r="K1446" s="84"/>
      <c r="L1446" s="84"/>
      <c r="M1446" s="84"/>
      <c r="N1446" s="84"/>
      <c r="O1446" s="84"/>
      <c r="P1446" s="84"/>
      <c r="Q1446" s="84"/>
      <c r="R1446" s="84"/>
    </row>
    <row r="1447" ht="15.75" customHeight="1">
      <c r="A1447" s="125">
        <v>1.900024E7</v>
      </c>
      <c r="B1447" s="125" t="s">
        <v>2604</v>
      </c>
      <c r="C1447" s="125"/>
      <c r="D1447" s="125"/>
      <c r="E1447" s="126"/>
      <c r="F1447" s="126"/>
      <c r="G1447" s="125"/>
      <c r="H1447" s="125"/>
      <c r="I1447" s="99"/>
      <c r="K1447" s="84"/>
      <c r="L1447" s="84"/>
      <c r="M1447" s="84"/>
      <c r="N1447" s="84"/>
      <c r="O1447" s="84"/>
      <c r="P1447" s="84"/>
      <c r="Q1447" s="84"/>
      <c r="R1447" s="84"/>
    </row>
    <row r="1448" ht="15.75" customHeight="1">
      <c r="A1448" s="125">
        <v>1.9000241E7</v>
      </c>
      <c r="B1448" s="125" t="s">
        <v>2605</v>
      </c>
      <c r="C1448" s="125"/>
      <c r="D1448" s="125"/>
      <c r="E1448" s="126"/>
      <c r="F1448" s="126"/>
      <c r="G1448" s="125"/>
      <c r="H1448" s="125"/>
      <c r="I1448" s="99"/>
      <c r="K1448" s="84"/>
      <c r="L1448" s="84"/>
      <c r="M1448" s="84"/>
      <c r="N1448" s="84"/>
      <c r="O1448" s="84"/>
      <c r="P1448" s="84"/>
      <c r="Q1448" s="84"/>
      <c r="R1448" s="84"/>
    </row>
    <row r="1449" ht="15.75" customHeight="1">
      <c r="A1449" s="125">
        <v>1.9000242E7</v>
      </c>
      <c r="B1449" s="125" t="s">
        <v>2606</v>
      </c>
      <c r="C1449" s="125"/>
      <c r="D1449" s="125"/>
      <c r="E1449" s="126"/>
      <c r="F1449" s="126"/>
      <c r="G1449" s="125"/>
      <c r="H1449" s="125"/>
      <c r="I1449" s="99"/>
      <c r="K1449" s="84"/>
      <c r="L1449" s="84"/>
      <c r="M1449" s="84"/>
      <c r="N1449" s="84"/>
      <c r="O1449" s="84"/>
      <c r="P1449" s="84"/>
      <c r="Q1449" s="84"/>
      <c r="R1449" s="84"/>
    </row>
    <row r="1450" ht="15.75" customHeight="1">
      <c r="A1450" s="125">
        <v>1.9000243E7</v>
      </c>
      <c r="B1450" s="125" t="s">
        <v>2607</v>
      </c>
      <c r="C1450" s="125"/>
      <c r="D1450" s="125"/>
      <c r="E1450" s="126"/>
      <c r="F1450" s="126"/>
      <c r="G1450" s="125"/>
      <c r="H1450" s="125"/>
      <c r="I1450" s="99"/>
      <c r="K1450" s="84"/>
      <c r="L1450" s="84"/>
      <c r="M1450" s="84"/>
      <c r="N1450" s="84"/>
      <c r="O1450" s="84"/>
      <c r="P1450" s="84"/>
      <c r="Q1450" s="84"/>
      <c r="R1450" s="84"/>
    </row>
    <row r="1451" ht="15.75" customHeight="1">
      <c r="A1451" s="125">
        <v>1.9000244E7</v>
      </c>
      <c r="B1451" s="125" t="s">
        <v>2608</v>
      </c>
      <c r="C1451" s="125"/>
      <c r="D1451" s="125"/>
      <c r="E1451" s="126"/>
      <c r="F1451" s="126"/>
      <c r="G1451" s="125"/>
      <c r="H1451" s="125"/>
      <c r="I1451" s="99"/>
      <c r="K1451" s="84"/>
      <c r="L1451" s="84"/>
      <c r="M1451" s="84"/>
      <c r="N1451" s="84"/>
      <c r="O1451" s="84"/>
      <c r="P1451" s="84"/>
      <c r="Q1451" s="84"/>
      <c r="R1451" s="84"/>
    </row>
    <row r="1452" ht="15.75" customHeight="1">
      <c r="A1452" s="125">
        <v>1.9000245E7</v>
      </c>
      <c r="B1452" s="125" t="s">
        <v>2609</v>
      </c>
      <c r="C1452" s="125"/>
      <c r="D1452" s="125"/>
      <c r="E1452" s="126"/>
      <c r="F1452" s="126"/>
      <c r="G1452" s="125"/>
      <c r="H1452" s="125"/>
      <c r="I1452" s="99"/>
      <c r="K1452" s="84"/>
      <c r="L1452" s="84"/>
      <c r="M1452" s="84"/>
      <c r="N1452" s="84"/>
      <c r="O1452" s="84"/>
      <c r="P1452" s="84"/>
      <c r="Q1452" s="84"/>
      <c r="R1452" s="84"/>
    </row>
    <row r="1453" ht="15.75" customHeight="1">
      <c r="A1453" s="125">
        <v>1.9000246E7</v>
      </c>
      <c r="B1453" s="125" t="s">
        <v>2610</v>
      </c>
      <c r="C1453" s="125"/>
      <c r="D1453" s="125"/>
      <c r="E1453" s="126"/>
      <c r="F1453" s="126"/>
      <c r="G1453" s="125"/>
      <c r="H1453" s="125"/>
      <c r="I1453" s="99"/>
      <c r="K1453" s="84"/>
      <c r="L1453" s="84"/>
      <c r="M1453" s="84"/>
      <c r="N1453" s="84"/>
      <c r="O1453" s="84"/>
      <c r="P1453" s="84"/>
      <c r="Q1453" s="84"/>
      <c r="R1453" s="84"/>
    </row>
    <row r="1454" ht="15.75" customHeight="1">
      <c r="A1454" s="125">
        <v>1.9000247E7</v>
      </c>
      <c r="B1454" s="125" t="s">
        <v>2611</v>
      </c>
      <c r="C1454" s="125"/>
      <c r="D1454" s="125"/>
      <c r="E1454" s="126"/>
      <c r="F1454" s="126"/>
      <c r="G1454" s="125"/>
      <c r="H1454" s="125"/>
      <c r="I1454" s="99"/>
      <c r="K1454" s="84"/>
      <c r="L1454" s="84"/>
      <c r="M1454" s="84"/>
      <c r="N1454" s="84"/>
      <c r="O1454" s="84"/>
      <c r="P1454" s="84"/>
      <c r="Q1454" s="84"/>
      <c r="R1454" s="84"/>
    </row>
    <row r="1455" ht="15.75" customHeight="1">
      <c r="A1455" s="125">
        <v>1.9000248E7</v>
      </c>
      <c r="B1455" s="125" t="s">
        <v>2612</v>
      </c>
      <c r="C1455" s="125"/>
      <c r="D1455" s="125"/>
      <c r="E1455" s="126"/>
      <c r="F1455" s="126"/>
      <c r="G1455" s="125"/>
      <c r="H1455" s="125"/>
      <c r="I1455" s="99"/>
      <c r="K1455" s="84"/>
      <c r="L1455" s="84"/>
      <c r="M1455" s="84"/>
      <c r="N1455" s="84"/>
      <c r="O1455" s="84"/>
      <c r="P1455" s="84"/>
      <c r="Q1455" s="84"/>
      <c r="R1455" s="84"/>
    </row>
    <row r="1456" ht="15.75" customHeight="1">
      <c r="A1456" s="125">
        <v>1.9000249E7</v>
      </c>
      <c r="B1456" s="125" t="s">
        <v>2613</v>
      </c>
      <c r="C1456" s="125"/>
      <c r="D1456" s="125"/>
      <c r="E1456" s="126"/>
      <c r="F1456" s="126"/>
      <c r="G1456" s="125"/>
      <c r="H1456" s="125"/>
      <c r="I1456" s="99"/>
      <c r="K1456" s="84"/>
      <c r="L1456" s="84"/>
      <c r="M1456" s="84"/>
      <c r="N1456" s="84"/>
      <c r="O1456" s="84"/>
      <c r="P1456" s="84"/>
      <c r="Q1456" s="84"/>
      <c r="R1456" s="84"/>
    </row>
    <row r="1457" ht="15.75" customHeight="1">
      <c r="A1457" s="125">
        <v>1.900025E7</v>
      </c>
      <c r="B1457" s="125" t="s">
        <v>2614</v>
      </c>
      <c r="C1457" s="125"/>
      <c r="D1457" s="125"/>
      <c r="E1457" s="126"/>
      <c r="F1457" s="126"/>
      <c r="G1457" s="125"/>
      <c r="H1457" s="125"/>
      <c r="I1457" s="99"/>
      <c r="K1457" s="84"/>
      <c r="L1457" s="84"/>
      <c r="M1457" s="84"/>
      <c r="N1457" s="84"/>
      <c r="O1457" s="84"/>
      <c r="P1457" s="84"/>
      <c r="Q1457" s="84"/>
      <c r="R1457" s="84"/>
    </row>
    <row r="1458" ht="15.75" customHeight="1">
      <c r="A1458" s="125">
        <v>1.9000251E7</v>
      </c>
      <c r="B1458" s="125" t="s">
        <v>2615</v>
      </c>
      <c r="C1458" s="125"/>
      <c r="D1458" s="125"/>
      <c r="E1458" s="126"/>
      <c r="F1458" s="126"/>
      <c r="G1458" s="125"/>
      <c r="H1458" s="125"/>
      <c r="I1458" s="99"/>
      <c r="K1458" s="84"/>
      <c r="L1458" s="84"/>
      <c r="M1458" s="84"/>
      <c r="N1458" s="84"/>
      <c r="O1458" s="84"/>
      <c r="P1458" s="84"/>
      <c r="Q1458" s="84"/>
      <c r="R1458" s="84"/>
    </row>
    <row r="1459" ht="15.75" customHeight="1">
      <c r="A1459" s="125">
        <v>1.9000252E7</v>
      </c>
      <c r="B1459" s="125" t="s">
        <v>2616</v>
      </c>
      <c r="C1459" s="125"/>
      <c r="D1459" s="125"/>
      <c r="E1459" s="126"/>
      <c r="F1459" s="126"/>
      <c r="G1459" s="125"/>
      <c r="H1459" s="125"/>
      <c r="I1459" s="99"/>
      <c r="K1459" s="84"/>
      <c r="L1459" s="84"/>
      <c r="M1459" s="84"/>
      <c r="N1459" s="84"/>
      <c r="O1459" s="84"/>
      <c r="P1459" s="84"/>
      <c r="Q1459" s="84"/>
      <c r="R1459" s="84"/>
    </row>
    <row r="1460" ht="15.75" customHeight="1">
      <c r="A1460" s="125">
        <v>1.9000253E7</v>
      </c>
      <c r="B1460" s="125" t="s">
        <v>2617</v>
      </c>
      <c r="C1460" s="125"/>
      <c r="D1460" s="125"/>
      <c r="E1460" s="126"/>
      <c r="F1460" s="126"/>
      <c r="G1460" s="125"/>
      <c r="H1460" s="125"/>
      <c r="I1460" s="99"/>
      <c r="K1460" s="84"/>
      <c r="L1460" s="84"/>
      <c r="M1460" s="84"/>
      <c r="N1460" s="84"/>
      <c r="O1460" s="84"/>
      <c r="P1460" s="84"/>
      <c r="Q1460" s="84"/>
      <c r="R1460" s="84"/>
    </row>
    <row r="1461" ht="15.75" customHeight="1">
      <c r="A1461" s="125">
        <v>1.9000254E7</v>
      </c>
      <c r="B1461" s="125" t="s">
        <v>2618</v>
      </c>
      <c r="C1461" s="125"/>
      <c r="D1461" s="125"/>
      <c r="E1461" s="126"/>
      <c r="F1461" s="126"/>
      <c r="G1461" s="125"/>
      <c r="H1461" s="125"/>
      <c r="I1461" s="99"/>
      <c r="K1461" s="84"/>
      <c r="L1461" s="84"/>
      <c r="M1461" s="84"/>
      <c r="N1461" s="84"/>
      <c r="O1461" s="84"/>
      <c r="P1461" s="84"/>
      <c r="Q1461" s="84"/>
      <c r="R1461" s="84"/>
    </row>
    <row r="1462" ht="15.75" customHeight="1">
      <c r="A1462" s="125">
        <v>1.9000255E7</v>
      </c>
      <c r="B1462" s="125" t="s">
        <v>2619</v>
      </c>
      <c r="C1462" s="125"/>
      <c r="D1462" s="125"/>
      <c r="E1462" s="126"/>
      <c r="F1462" s="126"/>
      <c r="G1462" s="125"/>
      <c r="H1462" s="125"/>
      <c r="I1462" s="99"/>
      <c r="K1462" s="84"/>
      <c r="L1462" s="84"/>
      <c r="M1462" s="84"/>
      <c r="N1462" s="84"/>
      <c r="O1462" s="84"/>
      <c r="P1462" s="84"/>
      <c r="Q1462" s="84"/>
      <c r="R1462" s="84"/>
    </row>
    <row r="1463" ht="15.75" customHeight="1">
      <c r="A1463" s="125">
        <v>1.9000256E7</v>
      </c>
      <c r="B1463" s="125" t="s">
        <v>2620</v>
      </c>
      <c r="C1463" s="125"/>
      <c r="D1463" s="125"/>
      <c r="E1463" s="126"/>
      <c r="F1463" s="126"/>
      <c r="G1463" s="125"/>
      <c r="H1463" s="125"/>
      <c r="I1463" s="99"/>
      <c r="K1463" s="84"/>
      <c r="L1463" s="84"/>
      <c r="M1463" s="84"/>
      <c r="N1463" s="84"/>
      <c r="O1463" s="84"/>
      <c r="P1463" s="84"/>
      <c r="Q1463" s="84"/>
      <c r="R1463" s="84"/>
    </row>
    <row r="1464" ht="15.75" customHeight="1">
      <c r="A1464" s="125">
        <v>1.9000257E7</v>
      </c>
      <c r="B1464" s="125" t="s">
        <v>2621</v>
      </c>
      <c r="C1464" s="125"/>
      <c r="D1464" s="125"/>
      <c r="E1464" s="126"/>
      <c r="F1464" s="126"/>
      <c r="G1464" s="125"/>
      <c r="H1464" s="125"/>
      <c r="I1464" s="99"/>
      <c r="K1464" s="84"/>
      <c r="L1464" s="84"/>
      <c r="M1464" s="84"/>
      <c r="N1464" s="84"/>
      <c r="O1464" s="84"/>
      <c r="P1464" s="84"/>
      <c r="Q1464" s="84"/>
      <c r="R1464" s="84"/>
    </row>
    <row r="1465" ht="15.75" customHeight="1">
      <c r="A1465" s="125">
        <v>1.9000258E7</v>
      </c>
      <c r="B1465" s="125" t="s">
        <v>2622</v>
      </c>
      <c r="C1465" s="125"/>
      <c r="D1465" s="125"/>
      <c r="E1465" s="126"/>
      <c r="F1465" s="126"/>
      <c r="G1465" s="125"/>
      <c r="H1465" s="125"/>
      <c r="I1465" s="99"/>
      <c r="K1465" s="84"/>
      <c r="L1465" s="84"/>
      <c r="M1465" s="84"/>
      <c r="N1465" s="84"/>
      <c r="O1465" s="84"/>
      <c r="P1465" s="84"/>
      <c r="Q1465" s="84"/>
      <c r="R1465" s="84"/>
    </row>
    <row r="1466" ht="15.75" customHeight="1">
      <c r="A1466" s="125">
        <v>1.9000259E7</v>
      </c>
      <c r="B1466" s="125" t="s">
        <v>2623</v>
      </c>
      <c r="C1466" s="125"/>
      <c r="D1466" s="125"/>
      <c r="E1466" s="126"/>
      <c r="F1466" s="126"/>
      <c r="G1466" s="125"/>
      <c r="H1466" s="125"/>
      <c r="I1466" s="99"/>
      <c r="K1466" s="84"/>
      <c r="L1466" s="84"/>
      <c r="M1466" s="84"/>
      <c r="N1466" s="84"/>
      <c r="O1466" s="84"/>
      <c r="P1466" s="84"/>
      <c r="Q1466" s="84"/>
      <c r="R1466" s="84"/>
    </row>
    <row r="1467" ht="15.75" customHeight="1">
      <c r="A1467" s="125">
        <v>1.900026E7</v>
      </c>
      <c r="B1467" s="125" t="s">
        <v>2624</v>
      </c>
      <c r="C1467" s="125"/>
      <c r="D1467" s="125"/>
      <c r="E1467" s="126"/>
      <c r="F1467" s="126"/>
      <c r="G1467" s="125"/>
      <c r="H1467" s="125"/>
      <c r="I1467" s="99"/>
      <c r="K1467" s="84"/>
      <c r="L1467" s="84"/>
      <c r="M1467" s="84"/>
      <c r="N1467" s="84"/>
      <c r="O1467" s="84"/>
      <c r="P1467" s="84"/>
      <c r="Q1467" s="84"/>
      <c r="R1467" s="84"/>
    </row>
    <row r="1468" ht="15.75" customHeight="1">
      <c r="A1468" s="125">
        <v>1.9000261E7</v>
      </c>
      <c r="B1468" s="125" t="s">
        <v>2625</v>
      </c>
      <c r="C1468" s="125"/>
      <c r="D1468" s="125"/>
      <c r="E1468" s="126"/>
      <c r="F1468" s="126"/>
      <c r="G1468" s="125"/>
      <c r="H1468" s="125"/>
      <c r="I1468" s="99"/>
      <c r="K1468" s="84"/>
      <c r="L1468" s="84"/>
      <c r="M1468" s="84"/>
      <c r="N1468" s="84"/>
      <c r="O1468" s="84"/>
      <c r="P1468" s="84"/>
      <c r="Q1468" s="84"/>
      <c r="R1468" s="84"/>
    </row>
    <row r="1469" ht="15.75" customHeight="1">
      <c r="A1469" s="125">
        <v>1.9000262E7</v>
      </c>
      <c r="B1469" s="125" t="s">
        <v>2626</v>
      </c>
      <c r="C1469" s="125"/>
      <c r="D1469" s="125"/>
      <c r="E1469" s="126"/>
      <c r="F1469" s="126"/>
      <c r="G1469" s="125"/>
      <c r="H1469" s="125"/>
      <c r="I1469" s="99"/>
      <c r="K1469" s="84"/>
      <c r="L1469" s="84"/>
      <c r="M1469" s="84"/>
      <c r="N1469" s="84"/>
      <c r="O1469" s="84"/>
      <c r="P1469" s="84"/>
      <c r="Q1469" s="84"/>
      <c r="R1469" s="84"/>
    </row>
    <row r="1470" ht="15.75" customHeight="1">
      <c r="A1470" s="125">
        <v>1.9000263E7</v>
      </c>
      <c r="B1470" s="125" t="s">
        <v>2627</v>
      </c>
      <c r="C1470" s="125"/>
      <c r="D1470" s="125"/>
      <c r="E1470" s="126"/>
      <c r="F1470" s="126"/>
      <c r="G1470" s="125"/>
      <c r="H1470" s="125"/>
      <c r="I1470" s="99"/>
      <c r="K1470" s="84"/>
      <c r="L1470" s="84"/>
      <c r="M1470" s="84"/>
      <c r="N1470" s="84"/>
      <c r="O1470" s="84"/>
      <c r="P1470" s="84"/>
      <c r="Q1470" s="84"/>
      <c r="R1470" s="84"/>
    </row>
    <row r="1471" ht="15.75" customHeight="1">
      <c r="A1471" s="125">
        <v>1.9000264E7</v>
      </c>
      <c r="B1471" s="125" t="s">
        <v>2628</v>
      </c>
      <c r="C1471" s="125"/>
      <c r="D1471" s="125"/>
      <c r="E1471" s="126"/>
      <c r="F1471" s="126"/>
      <c r="G1471" s="125"/>
      <c r="H1471" s="125"/>
      <c r="I1471" s="99"/>
      <c r="K1471" s="84"/>
      <c r="L1471" s="84"/>
      <c r="M1471" s="84"/>
      <c r="N1471" s="84"/>
      <c r="O1471" s="84"/>
      <c r="P1471" s="84"/>
      <c r="Q1471" s="84"/>
      <c r="R1471" s="84"/>
    </row>
    <row r="1472" ht="15.75" customHeight="1">
      <c r="A1472" s="125">
        <v>1.9000265E7</v>
      </c>
      <c r="B1472" s="125" t="s">
        <v>2629</v>
      </c>
      <c r="C1472" s="125"/>
      <c r="D1472" s="125"/>
      <c r="E1472" s="126"/>
      <c r="F1472" s="126"/>
      <c r="G1472" s="125"/>
      <c r="H1472" s="125"/>
      <c r="I1472" s="99"/>
      <c r="K1472" s="84"/>
      <c r="L1472" s="84"/>
      <c r="M1472" s="84"/>
      <c r="N1472" s="84"/>
      <c r="O1472" s="84"/>
      <c r="P1472" s="84"/>
      <c r="Q1472" s="84"/>
      <c r="R1472" s="84"/>
    </row>
    <row r="1473" ht="15.75" customHeight="1">
      <c r="A1473" s="125">
        <v>1.9000266E7</v>
      </c>
      <c r="B1473" s="125" t="s">
        <v>2630</v>
      </c>
      <c r="C1473" s="125"/>
      <c r="D1473" s="125"/>
      <c r="E1473" s="126"/>
      <c r="F1473" s="126"/>
      <c r="G1473" s="125"/>
      <c r="H1473" s="125"/>
      <c r="I1473" s="99"/>
      <c r="K1473" s="84"/>
      <c r="L1473" s="84"/>
      <c r="M1473" s="84"/>
      <c r="N1473" s="84"/>
      <c r="O1473" s="84"/>
      <c r="P1473" s="84"/>
      <c r="Q1473" s="84"/>
      <c r="R1473" s="84"/>
    </row>
    <row r="1474" ht="15.75" customHeight="1">
      <c r="A1474" s="125">
        <v>1.9000267E7</v>
      </c>
      <c r="B1474" s="125" t="s">
        <v>2631</v>
      </c>
      <c r="C1474" s="125"/>
      <c r="D1474" s="125"/>
      <c r="E1474" s="126"/>
      <c r="F1474" s="126"/>
      <c r="G1474" s="125"/>
      <c r="H1474" s="125"/>
      <c r="I1474" s="99"/>
      <c r="K1474" s="84"/>
      <c r="L1474" s="84"/>
      <c r="M1474" s="84"/>
      <c r="N1474" s="84"/>
      <c r="O1474" s="84"/>
      <c r="P1474" s="84"/>
      <c r="Q1474" s="84"/>
      <c r="R1474" s="84"/>
    </row>
    <row r="1475" ht="15.75" customHeight="1">
      <c r="A1475" s="125">
        <v>1.9000268E7</v>
      </c>
      <c r="B1475" s="125" t="s">
        <v>2632</v>
      </c>
      <c r="C1475" s="125"/>
      <c r="D1475" s="125"/>
      <c r="E1475" s="126"/>
      <c r="F1475" s="126"/>
      <c r="G1475" s="125"/>
      <c r="H1475" s="125"/>
      <c r="I1475" s="99"/>
      <c r="K1475" s="84"/>
      <c r="L1475" s="84"/>
      <c r="M1475" s="84"/>
      <c r="N1475" s="84"/>
      <c r="O1475" s="84"/>
      <c r="P1475" s="84"/>
      <c r="Q1475" s="84"/>
      <c r="R1475" s="84"/>
    </row>
    <row r="1476" ht="15.75" customHeight="1">
      <c r="A1476" s="125">
        <v>1.9000269E7</v>
      </c>
      <c r="B1476" s="125" t="s">
        <v>2633</v>
      </c>
      <c r="C1476" s="125"/>
      <c r="D1476" s="125"/>
      <c r="E1476" s="126"/>
      <c r="F1476" s="126"/>
      <c r="G1476" s="125"/>
      <c r="H1476" s="125"/>
      <c r="I1476" s="99"/>
      <c r="K1476" s="84"/>
      <c r="L1476" s="84"/>
      <c r="M1476" s="84"/>
      <c r="N1476" s="84"/>
      <c r="O1476" s="84"/>
      <c r="P1476" s="84"/>
      <c r="Q1476" s="84"/>
      <c r="R1476" s="84"/>
    </row>
    <row r="1477" ht="15.75" customHeight="1">
      <c r="A1477" s="125">
        <v>1.900027E7</v>
      </c>
      <c r="B1477" s="125" t="s">
        <v>2634</v>
      </c>
      <c r="C1477" s="125"/>
      <c r="D1477" s="125"/>
      <c r="E1477" s="126"/>
      <c r="F1477" s="126"/>
      <c r="G1477" s="125"/>
      <c r="H1477" s="125"/>
      <c r="I1477" s="99"/>
      <c r="K1477" s="84"/>
      <c r="L1477" s="84"/>
      <c r="M1477" s="84"/>
      <c r="N1477" s="84"/>
      <c r="O1477" s="84"/>
      <c r="P1477" s="84"/>
      <c r="Q1477" s="84"/>
      <c r="R1477" s="84"/>
    </row>
    <row r="1478" ht="15.75" customHeight="1">
      <c r="A1478" s="125">
        <v>1.9000271E7</v>
      </c>
      <c r="B1478" s="125" t="s">
        <v>2635</v>
      </c>
      <c r="C1478" s="125"/>
      <c r="D1478" s="125"/>
      <c r="E1478" s="126"/>
      <c r="F1478" s="126"/>
      <c r="G1478" s="125"/>
      <c r="H1478" s="125"/>
      <c r="I1478" s="99"/>
      <c r="K1478" s="84"/>
      <c r="L1478" s="84"/>
      <c r="M1478" s="84"/>
      <c r="N1478" s="84"/>
      <c r="O1478" s="84"/>
      <c r="P1478" s="84"/>
      <c r="Q1478" s="84"/>
      <c r="R1478" s="84"/>
    </row>
    <row r="1479" ht="15.75" customHeight="1">
      <c r="A1479" s="125">
        <v>1.9000272E7</v>
      </c>
      <c r="B1479" s="125" t="s">
        <v>2636</v>
      </c>
      <c r="C1479" s="125"/>
      <c r="D1479" s="125"/>
      <c r="E1479" s="126"/>
      <c r="F1479" s="126"/>
      <c r="G1479" s="125"/>
      <c r="H1479" s="125"/>
      <c r="I1479" s="99"/>
      <c r="K1479" s="84"/>
      <c r="L1479" s="84"/>
      <c r="M1479" s="84"/>
      <c r="N1479" s="84"/>
      <c r="O1479" s="84"/>
      <c r="P1479" s="84"/>
      <c r="Q1479" s="84"/>
      <c r="R1479" s="84"/>
    </row>
    <row r="1480" ht="15.75" customHeight="1">
      <c r="A1480" s="125">
        <v>1.9000273E7</v>
      </c>
      <c r="B1480" s="125" t="s">
        <v>2637</v>
      </c>
      <c r="C1480" s="125"/>
      <c r="D1480" s="125"/>
      <c r="E1480" s="126"/>
      <c r="F1480" s="126"/>
      <c r="G1480" s="125"/>
      <c r="H1480" s="125"/>
      <c r="I1480" s="99"/>
      <c r="K1480" s="84"/>
      <c r="L1480" s="84"/>
      <c r="M1480" s="84"/>
      <c r="N1480" s="84"/>
      <c r="O1480" s="84"/>
      <c r="P1480" s="84"/>
      <c r="Q1480" s="84"/>
      <c r="R1480" s="84"/>
    </row>
    <row r="1481" ht="15.75" customHeight="1">
      <c r="A1481" s="125">
        <v>1.9000274E7</v>
      </c>
      <c r="B1481" s="125" t="s">
        <v>2638</v>
      </c>
      <c r="C1481" s="125"/>
      <c r="D1481" s="125"/>
      <c r="E1481" s="126"/>
      <c r="F1481" s="126"/>
      <c r="G1481" s="125"/>
      <c r="H1481" s="125"/>
      <c r="I1481" s="99"/>
      <c r="K1481" s="84"/>
      <c r="L1481" s="84"/>
      <c r="M1481" s="84"/>
      <c r="N1481" s="84"/>
      <c r="O1481" s="84"/>
      <c r="P1481" s="84"/>
      <c r="Q1481" s="84"/>
      <c r="R1481" s="84"/>
    </row>
    <row r="1482" ht="15.75" customHeight="1">
      <c r="A1482" s="125">
        <v>1.9000275E7</v>
      </c>
      <c r="B1482" s="125" t="s">
        <v>2639</v>
      </c>
      <c r="C1482" s="125"/>
      <c r="D1482" s="125"/>
      <c r="E1482" s="126"/>
      <c r="F1482" s="126"/>
      <c r="G1482" s="125"/>
      <c r="H1482" s="125"/>
      <c r="I1482" s="99"/>
      <c r="K1482" s="84"/>
      <c r="L1482" s="84"/>
      <c r="M1482" s="84"/>
      <c r="N1482" s="84"/>
      <c r="O1482" s="84"/>
      <c r="P1482" s="84"/>
      <c r="Q1482" s="84"/>
      <c r="R1482" s="84"/>
    </row>
    <row r="1483" ht="15.75" customHeight="1">
      <c r="A1483" s="125">
        <v>1.9000276E7</v>
      </c>
      <c r="B1483" s="125" t="s">
        <v>2640</v>
      </c>
      <c r="C1483" s="125"/>
      <c r="D1483" s="125"/>
      <c r="E1483" s="126"/>
      <c r="F1483" s="126"/>
      <c r="G1483" s="125"/>
      <c r="H1483" s="125"/>
      <c r="I1483" s="99"/>
      <c r="K1483" s="84"/>
      <c r="L1483" s="84"/>
      <c r="M1483" s="84"/>
      <c r="N1483" s="84"/>
      <c r="O1483" s="84"/>
      <c r="P1483" s="84"/>
      <c r="Q1483" s="84"/>
      <c r="R1483" s="84"/>
    </row>
    <row r="1484" ht="15.75" customHeight="1">
      <c r="A1484" s="125">
        <v>1.9000277E7</v>
      </c>
      <c r="B1484" s="125" t="s">
        <v>2641</v>
      </c>
      <c r="C1484" s="125"/>
      <c r="D1484" s="125"/>
      <c r="E1484" s="126"/>
      <c r="F1484" s="126"/>
      <c r="G1484" s="125"/>
      <c r="H1484" s="125"/>
      <c r="I1484" s="99"/>
      <c r="K1484" s="84"/>
      <c r="L1484" s="84"/>
      <c r="M1484" s="84"/>
      <c r="N1484" s="84"/>
      <c r="O1484" s="84"/>
      <c r="P1484" s="84"/>
      <c r="Q1484" s="84"/>
      <c r="R1484" s="84"/>
    </row>
    <row r="1485" ht="15.75" customHeight="1">
      <c r="A1485" s="125">
        <v>1.9000278E7</v>
      </c>
      <c r="B1485" s="125" t="s">
        <v>2642</v>
      </c>
      <c r="C1485" s="125"/>
      <c r="D1485" s="125"/>
      <c r="E1485" s="126"/>
      <c r="F1485" s="126"/>
      <c r="G1485" s="125"/>
      <c r="H1485" s="125"/>
      <c r="I1485" s="99"/>
      <c r="K1485" s="84"/>
      <c r="L1485" s="84"/>
      <c r="M1485" s="84"/>
      <c r="N1485" s="84"/>
      <c r="O1485" s="84"/>
      <c r="P1485" s="84"/>
      <c r="Q1485" s="84"/>
      <c r="R1485" s="84"/>
    </row>
    <row r="1486" ht="15.75" customHeight="1">
      <c r="A1486" s="125">
        <v>1.9000279E7</v>
      </c>
      <c r="B1486" s="125" t="s">
        <v>2643</v>
      </c>
      <c r="C1486" s="125"/>
      <c r="D1486" s="125"/>
      <c r="E1486" s="126"/>
      <c r="F1486" s="126"/>
      <c r="G1486" s="125"/>
      <c r="H1486" s="125"/>
      <c r="I1486" s="99"/>
      <c r="K1486" s="84"/>
      <c r="L1486" s="84"/>
      <c r="M1486" s="84"/>
      <c r="N1486" s="84"/>
      <c r="O1486" s="84"/>
      <c r="P1486" s="84"/>
      <c r="Q1486" s="84"/>
      <c r="R1486" s="84"/>
    </row>
    <row r="1487" ht="15.75" customHeight="1">
      <c r="A1487" s="125">
        <v>1.900028E7</v>
      </c>
      <c r="B1487" s="125" t="s">
        <v>2644</v>
      </c>
      <c r="C1487" s="125"/>
      <c r="D1487" s="125"/>
      <c r="E1487" s="126"/>
      <c r="F1487" s="126"/>
      <c r="G1487" s="125"/>
      <c r="H1487" s="125"/>
      <c r="I1487" s="99"/>
      <c r="K1487" s="84"/>
      <c r="L1487" s="84"/>
      <c r="M1487" s="84"/>
      <c r="N1487" s="84"/>
      <c r="O1487" s="84"/>
      <c r="P1487" s="84"/>
      <c r="Q1487" s="84"/>
      <c r="R1487" s="84"/>
    </row>
    <row r="1488" ht="15.75" customHeight="1">
      <c r="A1488" s="125">
        <v>1.9000281E7</v>
      </c>
      <c r="B1488" s="125" t="s">
        <v>2645</v>
      </c>
      <c r="C1488" s="125"/>
      <c r="D1488" s="125"/>
      <c r="E1488" s="126"/>
      <c r="F1488" s="126"/>
      <c r="G1488" s="125"/>
      <c r="H1488" s="125"/>
      <c r="I1488" s="99"/>
      <c r="K1488" s="84"/>
      <c r="L1488" s="84"/>
      <c r="M1488" s="84"/>
      <c r="N1488" s="84"/>
      <c r="O1488" s="84"/>
      <c r="P1488" s="84"/>
      <c r="Q1488" s="84"/>
      <c r="R1488" s="84"/>
    </row>
    <row r="1489" ht="15.75" customHeight="1">
      <c r="A1489" s="125">
        <v>1.9000282E7</v>
      </c>
      <c r="B1489" s="125" t="s">
        <v>2646</v>
      </c>
      <c r="C1489" s="125"/>
      <c r="D1489" s="125"/>
      <c r="E1489" s="126"/>
      <c r="F1489" s="126"/>
      <c r="G1489" s="125"/>
      <c r="H1489" s="125"/>
      <c r="I1489" s="99"/>
      <c r="K1489" s="84"/>
      <c r="L1489" s="84"/>
      <c r="M1489" s="84"/>
      <c r="N1489" s="84"/>
      <c r="O1489" s="84"/>
      <c r="P1489" s="84"/>
      <c r="Q1489" s="84"/>
      <c r="R1489" s="84"/>
    </row>
    <row r="1490" ht="15.75" customHeight="1">
      <c r="A1490" s="125">
        <v>1.9000283E7</v>
      </c>
      <c r="B1490" s="125" t="s">
        <v>2647</v>
      </c>
      <c r="C1490" s="125"/>
      <c r="D1490" s="125"/>
      <c r="E1490" s="126"/>
      <c r="F1490" s="126"/>
      <c r="G1490" s="125"/>
      <c r="H1490" s="125"/>
      <c r="I1490" s="99"/>
      <c r="K1490" s="84"/>
      <c r="L1490" s="84"/>
      <c r="M1490" s="84"/>
      <c r="N1490" s="84"/>
      <c r="O1490" s="84"/>
      <c r="P1490" s="84"/>
      <c r="Q1490" s="84"/>
      <c r="R1490" s="84"/>
    </row>
    <row r="1491" ht="15.75" customHeight="1">
      <c r="A1491" s="125">
        <v>1.9000284E7</v>
      </c>
      <c r="B1491" s="125" t="s">
        <v>2648</v>
      </c>
      <c r="C1491" s="125"/>
      <c r="D1491" s="125"/>
      <c r="E1491" s="126"/>
      <c r="F1491" s="126"/>
      <c r="G1491" s="125"/>
      <c r="H1491" s="125"/>
      <c r="I1491" s="99"/>
      <c r="K1491" s="84"/>
      <c r="L1491" s="84"/>
      <c r="M1491" s="84"/>
      <c r="N1491" s="84"/>
      <c r="O1491" s="84"/>
      <c r="P1491" s="84"/>
      <c r="Q1491" s="84"/>
      <c r="R1491" s="84"/>
    </row>
    <row r="1492" ht="15.75" customHeight="1">
      <c r="A1492" s="125">
        <v>1.9000285E7</v>
      </c>
      <c r="B1492" s="125" t="s">
        <v>2649</v>
      </c>
      <c r="C1492" s="125"/>
      <c r="D1492" s="125"/>
      <c r="E1492" s="126"/>
      <c r="F1492" s="126"/>
      <c r="G1492" s="125"/>
      <c r="H1492" s="125"/>
      <c r="I1492" s="99"/>
      <c r="K1492" s="84"/>
      <c r="L1492" s="84"/>
      <c r="M1492" s="84"/>
      <c r="N1492" s="84"/>
      <c r="O1492" s="84"/>
      <c r="P1492" s="84"/>
      <c r="Q1492" s="84"/>
      <c r="R1492" s="84"/>
    </row>
    <row r="1493" ht="15.75" customHeight="1">
      <c r="A1493" s="125">
        <v>1.9000286E7</v>
      </c>
      <c r="B1493" s="125" t="s">
        <v>2650</v>
      </c>
      <c r="C1493" s="125"/>
      <c r="D1493" s="125"/>
      <c r="E1493" s="126"/>
      <c r="F1493" s="126"/>
      <c r="G1493" s="125"/>
      <c r="H1493" s="125"/>
      <c r="I1493" s="99"/>
      <c r="K1493" s="84"/>
      <c r="L1493" s="84"/>
      <c r="M1493" s="84"/>
      <c r="N1493" s="84"/>
      <c r="O1493" s="84"/>
      <c r="P1493" s="84"/>
      <c r="Q1493" s="84"/>
      <c r="R1493" s="84"/>
    </row>
    <row r="1494" ht="15.75" customHeight="1">
      <c r="A1494" s="125">
        <v>1.9000287E7</v>
      </c>
      <c r="B1494" s="125" t="s">
        <v>2651</v>
      </c>
      <c r="C1494" s="125"/>
      <c r="D1494" s="125"/>
      <c r="E1494" s="126"/>
      <c r="F1494" s="126"/>
      <c r="G1494" s="125"/>
      <c r="H1494" s="125"/>
      <c r="I1494" s="99"/>
      <c r="K1494" s="84"/>
      <c r="L1494" s="84"/>
      <c r="M1494" s="84"/>
      <c r="N1494" s="84"/>
      <c r="O1494" s="84"/>
      <c r="P1494" s="84"/>
      <c r="Q1494" s="84"/>
      <c r="R1494" s="84"/>
    </row>
    <row r="1495" ht="15.75" customHeight="1">
      <c r="A1495" s="125">
        <v>1.9000288E7</v>
      </c>
      <c r="B1495" s="125" t="s">
        <v>2652</v>
      </c>
      <c r="C1495" s="125"/>
      <c r="D1495" s="125"/>
      <c r="E1495" s="126"/>
      <c r="F1495" s="126"/>
      <c r="G1495" s="125"/>
      <c r="H1495" s="125"/>
      <c r="I1495" s="99"/>
      <c r="K1495" s="84"/>
      <c r="L1495" s="84"/>
      <c r="M1495" s="84"/>
      <c r="N1495" s="84"/>
      <c r="O1495" s="84"/>
      <c r="P1495" s="84"/>
      <c r="Q1495" s="84"/>
      <c r="R1495" s="84"/>
    </row>
    <row r="1496" ht="15.75" customHeight="1">
      <c r="A1496" s="125">
        <v>1.9000289E7</v>
      </c>
      <c r="B1496" s="125" t="s">
        <v>2653</v>
      </c>
      <c r="C1496" s="125"/>
      <c r="D1496" s="125"/>
      <c r="E1496" s="126"/>
      <c r="F1496" s="126"/>
      <c r="G1496" s="125"/>
      <c r="H1496" s="125"/>
      <c r="I1496" s="99"/>
      <c r="K1496" s="84"/>
      <c r="L1496" s="84"/>
      <c r="M1496" s="84"/>
      <c r="N1496" s="84"/>
      <c r="O1496" s="84"/>
      <c r="P1496" s="84"/>
      <c r="Q1496" s="84"/>
      <c r="R1496" s="84"/>
    </row>
    <row r="1497" ht="15.75" customHeight="1">
      <c r="A1497" s="125">
        <v>1.900029E7</v>
      </c>
      <c r="B1497" s="125" t="s">
        <v>2654</v>
      </c>
      <c r="C1497" s="125"/>
      <c r="D1497" s="125"/>
      <c r="E1497" s="126"/>
      <c r="F1497" s="126"/>
      <c r="G1497" s="125"/>
      <c r="H1497" s="125"/>
      <c r="I1497" s="99"/>
      <c r="K1497" s="84"/>
      <c r="L1497" s="84"/>
      <c r="M1497" s="84"/>
      <c r="N1497" s="84"/>
      <c r="O1497" s="84"/>
      <c r="P1497" s="84"/>
      <c r="Q1497" s="84"/>
      <c r="R1497" s="84"/>
    </row>
    <row r="1498" ht="15.75" customHeight="1">
      <c r="A1498" s="125">
        <v>1.9000291E7</v>
      </c>
      <c r="B1498" s="125" t="s">
        <v>2655</v>
      </c>
      <c r="C1498" s="125"/>
      <c r="D1498" s="125"/>
      <c r="E1498" s="126"/>
      <c r="F1498" s="126"/>
      <c r="G1498" s="125"/>
      <c r="H1498" s="125"/>
      <c r="I1498" s="99"/>
      <c r="K1498" s="84"/>
      <c r="L1498" s="84"/>
      <c r="M1498" s="84"/>
      <c r="N1498" s="84"/>
      <c r="O1498" s="84"/>
      <c r="P1498" s="84"/>
      <c r="Q1498" s="84"/>
      <c r="R1498" s="84"/>
    </row>
    <row r="1499" ht="15.75" customHeight="1">
      <c r="A1499" s="125">
        <v>1.9000292E7</v>
      </c>
      <c r="B1499" s="125" t="s">
        <v>2656</v>
      </c>
      <c r="C1499" s="125"/>
      <c r="D1499" s="125"/>
      <c r="E1499" s="126"/>
      <c r="F1499" s="126"/>
      <c r="G1499" s="125"/>
      <c r="H1499" s="125"/>
      <c r="I1499" s="99"/>
      <c r="K1499" s="84"/>
      <c r="L1499" s="84"/>
      <c r="M1499" s="84"/>
      <c r="N1499" s="84"/>
      <c r="O1499" s="84"/>
      <c r="P1499" s="84"/>
      <c r="Q1499" s="84"/>
      <c r="R1499" s="84"/>
    </row>
    <row r="1500" ht="15.75" customHeight="1">
      <c r="A1500" s="125"/>
      <c r="B1500" s="125"/>
      <c r="C1500" s="125"/>
      <c r="D1500" s="125"/>
      <c r="E1500" s="126"/>
      <c r="F1500" s="126"/>
      <c r="G1500" s="125"/>
      <c r="H1500" s="125"/>
      <c r="I1500" s="99"/>
      <c r="K1500" s="84"/>
      <c r="L1500" s="84"/>
      <c r="M1500" s="84"/>
      <c r="N1500" s="84"/>
      <c r="O1500" s="84"/>
      <c r="P1500" s="84"/>
      <c r="Q1500" s="84"/>
      <c r="R1500" s="84"/>
    </row>
    <row r="1501" ht="15.75" customHeight="1">
      <c r="A1501" s="125">
        <v>1.9100001E7</v>
      </c>
      <c r="B1501" s="213" t="s">
        <v>2657</v>
      </c>
      <c r="C1501" s="125"/>
      <c r="D1501" s="125"/>
      <c r="E1501" s="126"/>
      <c r="F1501" s="126"/>
      <c r="G1501" s="125"/>
      <c r="H1501" s="125"/>
      <c r="I1501" s="99"/>
      <c r="K1501" s="84"/>
      <c r="L1501" s="84"/>
      <c r="M1501" s="84"/>
      <c r="N1501" s="84"/>
      <c r="O1501" s="84"/>
      <c r="P1501" s="84"/>
      <c r="Q1501" s="84"/>
      <c r="R1501" s="84"/>
    </row>
    <row r="1502" ht="15.75" customHeight="1">
      <c r="A1502" s="125">
        <v>1.9100002E7</v>
      </c>
      <c r="B1502" s="125" t="s">
        <v>2658</v>
      </c>
      <c r="C1502" s="125"/>
      <c r="D1502" s="125"/>
      <c r="E1502" s="126"/>
      <c r="F1502" s="126"/>
      <c r="G1502" s="125"/>
      <c r="H1502" s="125"/>
      <c r="I1502" s="99"/>
      <c r="K1502" s="84"/>
      <c r="L1502" s="84"/>
      <c r="M1502" s="84"/>
      <c r="N1502" s="84"/>
      <c r="O1502" s="84"/>
      <c r="P1502" s="84"/>
      <c r="Q1502" s="84"/>
      <c r="R1502" s="84"/>
    </row>
    <row r="1503" ht="15.75" customHeight="1">
      <c r="A1503" s="125">
        <v>1.9100003E7</v>
      </c>
      <c r="B1503" s="125" t="s">
        <v>2659</v>
      </c>
      <c r="C1503" s="125"/>
      <c r="D1503" s="125"/>
      <c r="E1503" s="126"/>
      <c r="F1503" s="126"/>
      <c r="G1503" s="125"/>
      <c r="H1503" s="125"/>
      <c r="I1503" s="99"/>
      <c r="K1503" s="84"/>
      <c r="L1503" s="84"/>
      <c r="M1503" s="84"/>
      <c r="N1503" s="84"/>
      <c r="O1503" s="84"/>
      <c r="P1503" s="84"/>
      <c r="Q1503" s="84"/>
      <c r="R1503" s="84"/>
    </row>
    <row r="1504" ht="15.75" customHeight="1">
      <c r="A1504" s="125">
        <v>1.9100004E7</v>
      </c>
      <c r="B1504" s="125" t="s">
        <v>2660</v>
      </c>
      <c r="C1504" s="125"/>
      <c r="D1504" s="125"/>
      <c r="E1504" s="126"/>
      <c r="F1504" s="126"/>
      <c r="G1504" s="125"/>
      <c r="H1504" s="125"/>
      <c r="I1504" s="99"/>
      <c r="K1504" s="84"/>
      <c r="L1504" s="84"/>
      <c r="M1504" s="84"/>
      <c r="N1504" s="84"/>
      <c r="O1504" s="84"/>
      <c r="P1504" s="84"/>
      <c r="Q1504" s="84"/>
      <c r="R1504" s="84"/>
    </row>
    <row r="1505" ht="15.75" customHeight="1">
      <c r="A1505" s="125">
        <v>1.9100005E7</v>
      </c>
      <c r="B1505" s="125" t="s">
        <v>2661</v>
      </c>
      <c r="C1505" s="125"/>
      <c r="D1505" s="125"/>
      <c r="E1505" s="126"/>
      <c r="F1505" s="126"/>
      <c r="G1505" s="125"/>
      <c r="H1505" s="125"/>
      <c r="I1505" s="99"/>
      <c r="K1505" s="84"/>
      <c r="L1505" s="84"/>
      <c r="M1505" s="84"/>
      <c r="N1505" s="84"/>
      <c r="O1505" s="84"/>
      <c r="P1505" s="84"/>
      <c r="Q1505" s="84"/>
      <c r="R1505" s="84"/>
    </row>
    <row r="1506" ht="15.75" customHeight="1">
      <c r="A1506" s="125">
        <v>1.9100006E7</v>
      </c>
      <c r="B1506" s="125" t="s">
        <v>2662</v>
      </c>
      <c r="C1506" s="125"/>
      <c r="D1506" s="125"/>
      <c r="E1506" s="126"/>
      <c r="F1506" s="126"/>
      <c r="G1506" s="125"/>
      <c r="H1506" s="125"/>
      <c r="I1506" s="99"/>
      <c r="K1506" s="84"/>
      <c r="L1506" s="84"/>
      <c r="M1506" s="84"/>
      <c r="N1506" s="84"/>
      <c r="O1506" s="84"/>
      <c r="P1506" s="84"/>
      <c r="Q1506" s="84"/>
      <c r="R1506" s="84"/>
    </row>
    <row r="1507" ht="15.75" customHeight="1">
      <c r="A1507" s="125">
        <v>1.9100007E7</v>
      </c>
      <c r="B1507" s="125" t="s">
        <v>2663</v>
      </c>
      <c r="C1507" s="125"/>
      <c r="D1507" s="125"/>
      <c r="E1507" s="126"/>
      <c r="F1507" s="126"/>
      <c r="G1507" s="125"/>
      <c r="H1507" s="125"/>
      <c r="I1507" s="99"/>
      <c r="K1507" s="84"/>
      <c r="L1507" s="84"/>
      <c r="M1507" s="84"/>
      <c r="N1507" s="84"/>
      <c r="O1507" s="84"/>
      <c r="P1507" s="84"/>
      <c r="Q1507" s="84"/>
      <c r="R1507" s="84"/>
    </row>
    <row r="1508" ht="15.75" customHeight="1">
      <c r="A1508" s="125">
        <v>1.9100008E7</v>
      </c>
      <c r="B1508" s="125" t="s">
        <v>2664</v>
      </c>
      <c r="C1508" s="125"/>
      <c r="D1508" s="125"/>
      <c r="E1508" s="126"/>
      <c r="F1508" s="126"/>
      <c r="G1508" s="125"/>
      <c r="H1508" s="125"/>
      <c r="I1508" s="99"/>
      <c r="K1508" s="84"/>
      <c r="L1508" s="84"/>
      <c r="M1508" s="84"/>
      <c r="N1508" s="84"/>
      <c r="O1508" s="84"/>
      <c r="P1508" s="84"/>
      <c r="Q1508" s="84"/>
      <c r="R1508" s="84"/>
    </row>
    <row r="1509" ht="15.75" customHeight="1">
      <c r="A1509" s="125">
        <v>1.9100009E7</v>
      </c>
      <c r="B1509" s="125" t="s">
        <v>2665</v>
      </c>
      <c r="C1509" s="125"/>
      <c r="D1509" s="125"/>
      <c r="E1509" s="126"/>
      <c r="F1509" s="126"/>
      <c r="G1509" s="125"/>
      <c r="H1509" s="125"/>
      <c r="I1509" s="99"/>
      <c r="K1509" s="84"/>
      <c r="L1509" s="84"/>
      <c r="M1509" s="84"/>
      <c r="N1509" s="84"/>
      <c r="O1509" s="84"/>
      <c r="P1509" s="84"/>
      <c r="Q1509" s="84"/>
      <c r="R1509" s="84"/>
    </row>
    <row r="1510" ht="15.75" customHeight="1">
      <c r="A1510" s="125">
        <v>1.910001E7</v>
      </c>
      <c r="B1510" s="125" t="s">
        <v>2666</v>
      </c>
      <c r="C1510" s="125"/>
      <c r="D1510" s="125"/>
      <c r="E1510" s="126"/>
      <c r="F1510" s="126"/>
      <c r="G1510" s="125"/>
      <c r="H1510" s="125"/>
      <c r="I1510" s="99"/>
      <c r="K1510" s="84"/>
      <c r="L1510" s="84"/>
      <c r="M1510" s="84"/>
      <c r="N1510" s="84"/>
      <c r="O1510" s="84"/>
      <c r="P1510" s="84"/>
      <c r="Q1510" s="84"/>
      <c r="R1510" s="84"/>
    </row>
    <row r="1511" ht="15.75" customHeight="1">
      <c r="A1511" s="125">
        <v>1.9100011E7</v>
      </c>
      <c r="B1511" s="125" t="s">
        <v>2667</v>
      </c>
      <c r="C1511" s="125"/>
      <c r="D1511" s="125"/>
      <c r="E1511" s="126"/>
      <c r="F1511" s="126"/>
      <c r="G1511" s="125"/>
      <c r="H1511" s="125"/>
      <c r="I1511" s="99"/>
      <c r="K1511" s="84"/>
      <c r="L1511" s="84"/>
      <c r="M1511" s="84"/>
      <c r="N1511" s="84"/>
      <c r="O1511" s="84"/>
      <c r="P1511" s="84"/>
      <c r="Q1511" s="84"/>
      <c r="R1511" s="84"/>
    </row>
    <row r="1512" ht="15.75" customHeight="1">
      <c r="A1512" s="125">
        <v>1.9100012E7</v>
      </c>
      <c r="B1512" s="125" t="s">
        <v>2668</v>
      </c>
      <c r="C1512" s="125"/>
      <c r="D1512" s="125"/>
      <c r="E1512" s="126"/>
      <c r="F1512" s="126"/>
      <c r="G1512" s="125"/>
      <c r="H1512" s="125"/>
      <c r="I1512" s="99"/>
      <c r="K1512" s="84"/>
      <c r="L1512" s="84"/>
      <c r="M1512" s="84"/>
      <c r="N1512" s="84"/>
      <c r="O1512" s="84"/>
      <c r="P1512" s="84"/>
      <c r="Q1512" s="84"/>
      <c r="R1512" s="84"/>
    </row>
    <row r="1513" ht="15.75" customHeight="1">
      <c r="A1513" s="125">
        <v>1.9100013E7</v>
      </c>
      <c r="B1513" s="125" t="s">
        <v>2669</v>
      </c>
      <c r="C1513" s="125"/>
      <c r="D1513" s="125"/>
      <c r="E1513" s="126"/>
      <c r="F1513" s="126"/>
      <c r="G1513" s="125"/>
      <c r="H1513" s="125"/>
      <c r="I1513" s="99"/>
      <c r="K1513" s="84"/>
      <c r="L1513" s="84"/>
      <c r="M1513" s="84"/>
      <c r="N1513" s="84"/>
      <c r="O1513" s="84"/>
      <c r="P1513" s="84"/>
      <c r="Q1513" s="84"/>
      <c r="R1513" s="84"/>
    </row>
    <row r="1514" ht="15.75" customHeight="1">
      <c r="A1514" s="125">
        <v>1.9100014E7</v>
      </c>
      <c r="B1514" s="125" t="s">
        <v>2670</v>
      </c>
      <c r="C1514" s="125"/>
      <c r="D1514" s="125"/>
      <c r="E1514" s="126"/>
      <c r="F1514" s="126"/>
      <c r="G1514" s="125"/>
      <c r="H1514" s="125"/>
      <c r="I1514" s="99"/>
      <c r="K1514" s="84"/>
      <c r="L1514" s="84"/>
      <c r="M1514" s="84"/>
      <c r="N1514" s="84"/>
      <c r="O1514" s="84"/>
      <c r="P1514" s="84"/>
      <c r="Q1514" s="84"/>
      <c r="R1514" s="84"/>
    </row>
    <row r="1515" ht="15.75" customHeight="1">
      <c r="A1515" s="125">
        <v>1.9100015E7</v>
      </c>
      <c r="B1515" s="125" t="s">
        <v>2671</v>
      </c>
      <c r="C1515" s="125"/>
      <c r="D1515" s="125"/>
      <c r="E1515" s="126"/>
      <c r="F1515" s="126"/>
      <c r="G1515" s="125"/>
      <c r="H1515" s="125"/>
      <c r="I1515" s="99"/>
      <c r="K1515" s="84"/>
      <c r="L1515" s="84"/>
      <c r="M1515" s="84"/>
      <c r="N1515" s="84"/>
      <c r="O1515" s="84"/>
      <c r="P1515" s="84"/>
      <c r="Q1515" s="84"/>
      <c r="R1515" s="84"/>
    </row>
    <row r="1516" ht="15.75" customHeight="1">
      <c r="A1516" s="125">
        <v>1.9100016E7</v>
      </c>
      <c r="B1516" s="125" t="s">
        <v>2672</v>
      </c>
      <c r="C1516" s="125"/>
      <c r="D1516" s="125"/>
      <c r="E1516" s="126"/>
      <c r="F1516" s="126"/>
      <c r="G1516" s="125"/>
      <c r="H1516" s="125"/>
      <c r="I1516" s="99"/>
      <c r="K1516" s="84"/>
      <c r="L1516" s="84"/>
      <c r="M1516" s="84"/>
      <c r="N1516" s="84"/>
      <c r="O1516" s="84"/>
      <c r="P1516" s="84"/>
      <c r="Q1516" s="84"/>
      <c r="R1516" s="84"/>
    </row>
    <row r="1517" ht="15.75" customHeight="1">
      <c r="A1517" s="125">
        <v>1.9100017E7</v>
      </c>
      <c r="B1517" s="125" t="s">
        <v>2673</v>
      </c>
      <c r="C1517" s="125"/>
      <c r="D1517" s="125"/>
      <c r="E1517" s="126"/>
      <c r="F1517" s="126"/>
      <c r="G1517" s="125"/>
      <c r="H1517" s="125"/>
      <c r="I1517" s="99"/>
      <c r="K1517" s="84"/>
      <c r="L1517" s="84"/>
      <c r="M1517" s="84"/>
      <c r="N1517" s="84"/>
      <c r="O1517" s="84"/>
      <c r="P1517" s="84"/>
      <c r="Q1517" s="84"/>
      <c r="R1517" s="84"/>
    </row>
    <row r="1518" ht="15.75" customHeight="1">
      <c r="A1518" s="125">
        <v>1.9100018E7</v>
      </c>
      <c r="B1518" s="125" t="s">
        <v>2674</v>
      </c>
      <c r="C1518" s="125"/>
      <c r="D1518" s="125"/>
      <c r="E1518" s="126"/>
      <c r="F1518" s="126"/>
      <c r="G1518" s="125"/>
      <c r="H1518" s="125"/>
      <c r="I1518" s="99"/>
      <c r="K1518" s="84"/>
      <c r="L1518" s="84"/>
      <c r="M1518" s="84"/>
      <c r="N1518" s="84"/>
      <c r="O1518" s="84"/>
      <c r="P1518" s="84"/>
      <c r="Q1518" s="84"/>
      <c r="R1518" s="84"/>
    </row>
    <row r="1519" ht="15.75" customHeight="1">
      <c r="A1519" s="125">
        <v>1.9100019E7</v>
      </c>
      <c r="B1519" s="125" t="s">
        <v>2675</v>
      </c>
      <c r="C1519" s="125"/>
      <c r="D1519" s="125"/>
      <c r="E1519" s="126"/>
      <c r="F1519" s="126"/>
      <c r="G1519" s="125"/>
      <c r="H1519" s="125"/>
      <c r="I1519" s="99"/>
      <c r="K1519" s="84"/>
      <c r="L1519" s="84"/>
      <c r="M1519" s="84"/>
      <c r="N1519" s="84"/>
      <c r="O1519" s="84"/>
      <c r="P1519" s="84"/>
      <c r="Q1519" s="84"/>
      <c r="R1519" s="84"/>
    </row>
    <row r="1520" ht="15.75" customHeight="1">
      <c r="A1520" s="125">
        <v>1.910002E7</v>
      </c>
      <c r="B1520" s="125" t="s">
        <v>2676</v>
      </c>
      <c r="C1520" s="125"/>
      <c r="D1520" s="125"/>
      <c r="E1520" s="126"/>
      <c r="F1520" s="126"/>
      <c r="G1520" s="125"/>
      <c r="H1520" s="125"/>
      <c r="I1520" s="99"/>
      <c r="K1520" s="84"/>
      <c r="L1520" s="84"/>
      <c r="M1520" s="84"/>
      <c r="N1520" s="84"/>
      <c r="O1520" s="84"/>
      <c r="P1520" s="84"/>
      <c r="Q1520" s="84"/>
      <c r="R1520" s="84"/>
    </row>
    <row r="1521" ht="15.75" customHeight="1">
      <c r="A1521" s="125">
        <v>1.9100021E7</v>
      </c>
      <c r="B1521" s="125" t="s">
        <v>2677</v>
      </c>
      <c r="C1521" s="125"/>
      <c r="D1521" s="125"/>
      <c r="E1521" s="126"/>
      <c r="F1521" s="126"/>
      <c r="G1521" s="125"/>
      <c r="H1521" s="125"/>
      <c r="I1521" s="99"/>
      <c r="K1521" s="84"/>
      <c r="L1521" s="84"/>
      <c r="M1521" s="84"/>
      <c r="N1521" s="84"/>
      <c r="O1521" s="84"/>
      <c r="P1521" s="84"/>
      <c r="Q1521" s="84"/>
      <c r="R1521" s="84"/>
    </row>
    <row r="1522" ht="15.75" customHeight="1">
      <c r="A1522" s="125">
        <v>1.9100022E7</v>
      </c>
      <c r="B1522" s="125" t="s">
        <v>2678</v>
      </c>
      <c r="C1522" s="125"/>
      <c r="D1522" s="125"/>
      <c r="E1522" s="126"/>
      <c r="F1522" s="126"/>
      <c r="G1522" s="125"/>
      <c r="H1522" s="125"/>
      <c r="I1522" s="99"/>
      <c r="K1522" s="84"/>
      <c r="L1522" s="84"/>
      <c r="M1522" s="84"/>
      <c r="N1522" s="84"/>
      <c r="O1522" s="84"/>
      <c r="P1522" s="84"/>
      <c r="Q1522" s="84"/>
      <c r="R1522" s="84"/>
    </row>
    <row r="1523" ht="15.75" customHeight="1">
      <c r="A1523" s="125">
        <v>1.9100023E7</v>
      </c>
      <c r="B1523" s="125" t="s">
        <v>2679</v>
      </c>
      <c r="C1523" s="125"/>
      <c r="D1523" s="125"/>
      <c r="E1523" s="126"/>
      <c r="F1523" s="126"/>
      <c r="G1523" s="125"/>
      <c r="H1523" s="125"/>
      <c r="I1523" s="99"/>
      <c r="K1523" s="84"/>
      <c r="L1523" s="84"/>
      <c r="M1523" s="84"/>
      <c r="N1523" s="84"/>
      <c r="O1523" s="84"/>
      <c r="P1523" s="84"/>
      <c r="Q1523" s="84"/>
      <c r="R1523" s="84"/>
    </row>
    <row r="1524" ht="15.75" customHeight="1">
      <c r="A1524" s="125"/>
      <c r="B1524" s="125"/>
      <c r="C1524" s="125"/>
      <c r="D1524" s="125"/>
      <c r="E1524" s="126"/>
      <c r="F1524" s="126"/>
      <c r="G1524" s="125"/>
      <c r="H1524" s="125"/>
      <c r="I1524" s="99"/>
      <c r="K1524" s="84"/>
      <c r="L1524" s="84"/>
      <c r="M1524" s="84"/>
      <c r="N1524" s="84"/>
      <c r="O1524" s="84"/>
      <c r="P1524" s="84"/>
      <c r="Q1524" s="84"/>
      <c r="R1524" s="84"/>
    </row>
    <row r="1525" ht="15.75" customHeight="1">
      <c r="A1525" s="125">
        <v>1.9100101E7</v>
      </c>
      <c r="B1525" s="214" t="s">
        <v>2680</v>
      </c>
      <c r="C1525" s="125"/>
      <c r="D1525" s="125"/>
      <c r="E1525" s="126"/>
      <c r="F1525" s="126"/>
      <c r="G1525" s="125"/>
      <c r="H1525" s="125"/>
      <c r="I1525" s="99"/>
      <c r="K1525" s="84"/>
      <c r="L1525" s="84"/>
      <c r="M1525" s="84"/>
      <c r="N1525" s="84"/>
      <c r="O1525" s="84"/>
      <c r="P1525" s="84"/>
      <c r="Q1525" s="84"/>
      <c r="R1525" s="84"/>
    </row>
    <row r="1526" ht="15.75" customHeight="1">
      <c r="A1526" s="125">
        <v>1.9100102E7</v>
      </c>
      <c r="B1526" s="125" t="s">
        <v>2681</v>
      </c>
      <c r="C1526" s="125"/>
      <c r="D1526" s="125"/>
      <c r="E1526" s="126"/>
      <c r="F1526" s="126"/>
      <c r="G1526" s="125"/>
      <c r="H1526" s="125"/>
      <c r="I1526" s="99"/>
      <c r="K1526" s="84"/>
      <c r="L1526" s="84"/>
      <c r="M1526" s="84"/>
      <c r="N1526" s="84"/>
      <c r="O1526" s="84"/>
      <c r="P1526" s="84"/>
      <c r="Q1526" s="84"/>
      <c r="R1526" s="84"/>
    </row>
    <row r="1527" ht="15.75" customHeight="1">
      <c r="A1527" s="125">
        <v>1.9100103E7</v>
      </c>
      <c r="B1527" s="125" t="s">
        <v>2682</v>
      </c>
      <c r="C1527" s="125"/>
      <c r="D1527" s="125"/>
      <c r="E1527" s="126"/>
      <c r="F1527" s="126"/>
      <c r="G1527" s="125"/>
      <c r="H1527" s="125"/>
      <c r="I1527" s="99"/>
      <c r="K1527" s="84"/>
      <c r="L1527" s="84"/>
      <c r="M1527" s="84"/>
      <c r="N1527" s="84"/>
      <c r="O1527" s="84"/>
      <c r="P1527" s="84"/>
      <c r="Q1527" s="84"/>
      <c r="R1527" s="84"/>
    </row>
    <row r="1528" ht="15.75" customHeight="1">
      <c r="A1528" s="125">
        <v>1.9100104E7</v>
      </c>
      <c r="B1528" s="125" t="s">
        <v>2683</v>
      </c>
      <c r="C1528" s="125"/>
      <c r="D1528" s="125"/>
      <c r="E1528" s="126"/>
      <c r="F1528" s="126"/>
      <c r="G1528" s="125"/>
      <c r="H1528" s="125"/>
      <c r="I1528" s="99"/>
      <c r="K1528" s="84"/>
      <c r="L1528" s="84"/>
      <c r="M1528" s="84"/>
      <c r="N1528" s="84"/>
      <c r="O1528" s="84"/>
      <c r="P1528" s="84"/>
      <c r="Q1528" s="84"/>
      <c r="R1528" s="84"/>
    </row>
    <row r="1529" ht="15.75" customHeight="1">
      <c r="A1529" s="125">
        <v>1.9100105E7</v>
      </c>
      <c r="B1529" s="125" t="s">
        <v>2684</v>
      </c>
      <c r="C1529" s="125"/>
      <c r="D1529" s="125"/>
      <c r="E1529" s="126"/>
      <c r="F1529" s="126"/>
      <c r="G1529" s="125"/>
      <c r="H1529" s="125"/>
      <c r="I1529" s="99"/>
      <c r="K1529" s="84"/>
      <c r="L1529" s="84"/>
      <c r="M1529" s="84"/>
      <c r="N1529" s="84"/>
      <c r="O1529" s="84"/>
      <c r="P1529" s="84"/>
      <c r="Q1529" s="84"/>
      <c r="R1529" s="84"/>
    </row>
    <row r="1530" ht="15.75" customHeight="1">
      <c r="A1530" s="125">
        <v>1.9100106E7</v>
      </c>
      <c r="B1530" s="125" t="s">
        <v>2685</v>
      </c>
      <c r="C1530" s="125"/>
      <c r="D1530" s="125"/>
      <c r="E1530" s="126"/>
      <c r="F1530" s="126"/>
      <c r="G1530" s="125"/>
      <c r="H1530" s="125"/>
      <c r="I1530" s="99"/>
      <c r="K1530" s="84"/>
      <c r="L1530" s="84"/>
      <c r="M1530" s="84"/>
      <c r="N1530" s="84"/>
      <c r="O1530" s="84"/>
      <c r="P1530" s="84"/>
      <c r="Q1530" s="84"/>
      <c r="R1530" s="84"/>
    </row>
    <row r="1531" ht="15.75" customHeight="1">
      <c r="A1531" s="125">
        <v>1.9100107E7</v>
      </c>
      <c r="B1531" s="125" t="s">
        <v>2686</v>
      </c>
      <c r="C1531" s="125"/>
      <c r="D1531" s="125"/>
      <c r="E1531" s="126"/>
      <c r="F1531" s="126"/>
      <c r="G1531" s="125"/>
      <c r="H1531" s="125"/>
      <c r="I1531" s="99"/>
      <c r="K1531" s="84"/>
      <c r="L1531" s="84"/>
      <c r="M1531" s="84"/>
      <c r="N1531" s="84"/>
      <c r="O1531" s="84"/>
      <c r="P1531" s="84"/>
      <c r="Q1531" s="84"/>
      <c r="R1531" s="84"/>
    </row>
    <row r="1532" ht="15.75" customHeight="1">
      <c r="A1532" s="125">
        <v>1.9100108E7</v>
      </c>
      <c r="B1532" s="125" t="s">
        <v>2687</v>
      </c>
      <c r="C1532" s="125"/>
      <c r="D1532" s="125"/>
      <c r="E1532" s="126"/>
      <c r="F1532" s="126"/>
      <c r="G1532" s="125"/>
      <c r="H1532" s="125"/>
      <c r="I1532" s="99"/>
      <c r="K1532" s="84"/>
      <c r="L1532" s="84"/>
      <c r="M1532" s="84"/>
      <c r="N1532" s="84"/>
      <c r="O1532" s="84"/>
      <c r="P1532" s="84"/>
      <c r="Q1532" s="84"/>
      <c r="R1532" s="84"/>
    </row>
    <row r="1533" ht="15.75" customHeight="1">
      <c r="A1533" s="125">
        <v>1.9100109E7</v>
      </c>
      <c r="B1533" s="125" t="s">
        <v>2688</v>
      </c>
      <c r="C1533" s="125"/>
      <c r="D1533" s="125"/>
      <c r="E1533" s="126"/>
      <c r="F1533" s="126"/>
      <c r="G1533" s="125"/>
      <c r="H1533" s="125"/>
      <c r="I1533" s="99"/>
      <c r="K1533" s="84"/>
      <c r="L1533" s="84"/>
      <c r="M1533" s="84"/>
      <c r="N1533" s="84"/>
      <c r="O1533" s="84"/>
      <c r="P1533" s="84"/>
      <c r="Q1533" s="84"/>
      <c r="R1533" s="84"/>
    </row>
    <row r="1534" ht="15.75" customHeight="1">
      <c r="A1534" s="125">
        <v>1.910011E7</v>
      </c>
      <c r="B1534" s="125" t="s">
        <v>2689</v>
      </c>
      <c r="C1534" s="125"/>
      <c r="D1534" s="125"/>
      <c r="E1534" s="126"/>
      <c r="F1534" s="126"/>
      <c r="G1534" s="125"/>
      <c r="H1534" s="125"/>
      <c r="I1534" s="99"/>
      <c r="K1534" s="84"/>
      <c r="L1534" s="84"/>
      <c r="M1534" s="84"/>
      <c r="N1534" s="84"/>
      <c r="O1534" s="84"/>
      <c r="P1534" s="84"/>
      <c r="Q1534" s="84"/>
      <c r="R1534" s="84"/>
    </row>
    <row r="1535" ht="15.75" customHeight="1">
      <c r="A1535" s="125">
        <v>1.9100111E7</v>
      </c>
      <c r="B1535" s="125" t="s">
        <v>2690</v>
      </c>
      <c r="C1535" s="125"/>
      <c r="D1535" s="125"/>
      <c r="E1535" s="126"/>
      <c r="F1535" s="126"/>
      <c r="G1535" s="125"/>
      <c r="H1535" s="125"/>
      <c r="I1535" s="99"/>
      <c r="K1535" s="84"/>
      <c r="L1535" s="84"/>
      <c r="M1535" s="84"/>
      <c r="N1535" s="84"/>
      <c r="O1535" s="84"/>
      <c r="P1535" s="84"/>
      <c r="Q1535" s="84"/>
      <c r="R1535" s="84"/>
    </row>
    <row r="1536" ht="15.75" customHeight="1">
      <c r="A1536" s="125">
        <v>1.9100112E7</v>
      </c>
      <c r="B1536" s="125" t="s">
        <v>2691</v>
      </c>
      <c r="C1536" s="125"/>
      <c r="D1536" s="125"/>
      <c r="E1536" s="126"/>
      <c r="F1536" s="126"/>
      <c r="G1536" s="125"/>
      <c r="H1536" s="125"/>
      <c r="I1536" s="99"/>
      <c r="K1536" s="84"/>
      <c r="L1536" s="84"/>
      <c r="M1536" s="84"/>
      <c r="N1536" s="84"/>
      <c r="O1536" s="84"/>
      <c r="P1536" s="84"/>
      <c r="Q1536" s="84"/>
      <c r="R1536" s="84"/>
    </row>
    <row r="1537" ht="15.75" customHeight="1">
      <c r="A1537" s="125">
        <v>1.9100113E7</v>
      </c>
      <c r="B1537" s="125" t="s">
        <v>2692</v>
      </c>
      <c r="C1537" s="125"/>
      <c r="D1537" s="125"/>
      <c r="E1537" s="126"/>
      <c r="F1537" s="126"/>
      <c r="G1537" s="125"/>
      <c r="H1537" s="125"/>
      <c r="I1537" s="99"/>
      <c r="K1537" s="84"/>
      <c r="L1537" s="84"/>
      <c r="M1537" s="84"/>
      <c r="N1537" s="84"/>
      <c r="O1537" s="84"/>
      <c r="P1537" s="84"/>
      <c r="Q1537" s="84"/>
      <c r="R1537" s="84"/>
    </row>
    <row r="1538" ht="15.75" customHeight="1">
      <c r="A1538" s="125">
        <v>1.9100114E7</v>
      </c>
      <c r="B1538" s="125" t="s">
        <v>2693</v>
      </c>
      <c r="C1538" s="125"/>
      <c r="D1538" s="125"/>
      <c r="E1538" s="126"/>
      <c r="F1538" s="126"/>
      <c r="G1538" s="125"/>
      <c r="H1538" s="125"/>
      <c r="I1538" s="99"/>
      <c r="K1538" s="84"/>
      <c r="L1538" s="84"/>
      <c r="M1538" s="84"/>
      <c r="N1538" s="84"/>
      <c r="O1538" s="84"/>
      <c r="P1538" s="84"/>
      <c r="Q1538" s="84"/>
      <c r="R1538" s="84"/>
    </row>
    <row r="1539" ht="15.75" customHeight="1">
      <c r="A1539" s="125">
        <v>1.9100115E7</v>
      </c>
      <c r="B1539" s="125" t="s">
        <v>2694</v>
      </c>
      <c r="C1539" s="125"/>
      <c r="D1539" s="125"/>
      <c r="E1539" s="126"/>
      <c r="F1539" s="126"/>
      <c r="G1539" s="125"/>
      <c r="H1539" s="125"/>
      <c r="I1539" s="99"/>
      <c r="K1539" s="84"/>
      <c r="L1539" s="84"/>
      <c r="M1539" s="84"/>
      <c r="N1539" s="84"/>
      <c r="O1539" s="84"/>
      <c r="P1539" s="84"/>
      <c r="Q1539" s="84"/>
      <c r="R1539" s="84"/>
    </row>
    <row r="1540" ht="15.75" customHeight="1">
      <c r="A1540" s="125">
        <v>1.9100116E7</v>
      </c>
      <c r="B1540" s="125" t="s">
        <v>2695</v>
      </c>
      <c r="C1540" s="125"/>
      <c r="D1540" s="125"/>
      <c r="E1540" s="126"/>
      <c r="F1540" s="126"/>
      <c r="G1540" s="125"/>
      <c r="H1540" s="125"/>
      <c r="I1540" s="99"/>
      <c r="K1540" s="84"/>
      <c r="L1540" s="84"/>
      <c r="M1540" s="84"/>
      <c r="N1540" s="84"/>
      <c r="O1540" s="84"/>
      <c r="P1540" s="84"/>
      <c r="Q1540" s="84"/>
      <c r="R1540" s="84"/>
    </row>
    <row r="1541" ht="15.75" customHeight="1">
      <c r="A1541" s="125">
        <v>1.9100117E7</v>
      </c>
      <c r="B1541" s="125" t="s">
        <v>2696</v>
      </c>
      <c r="C1541" s="125"/>
      <c r="D1541" s="125"/>
      <c r="E1541" s="126"/>
      <c r="F1541" s="126"/>
      <c r="G1541" s="125"/>
      <c r="H1541" s="125"/>
      <c r="I1541" s="99"/>
      <c r="K1541" s="84"/>
      <c r="L1541" s="84"/>
      <c r="M1541" s="84"/>
      <c r="N1541" s="84"/>
      <c r="O1541" s="84"/>
      <c r="P1541" s="84"/>
      <c r="Q1541" s="84"/>
      <c r="R1541" s="84"/>
    </row>
    <row r="1542" ht="15.75" customHeight="1">
      <c r="A1542" s="125">
        <v>1.9100118E7</v>
      </c>
      <c r="B1542" s="125" t="s">
        <v>2697</v>
      </c>
      <c r="C1542" s="125"/>
      <c r="D1542" s="125"/>
      <c r="E1542" s="126"/>
      <c r="F1542" s="126"/>
      <c r="G1542" s="125"/>
      <c r="H1542" s="125"/>
      <c r="I1542" s="99"/>
      <c r="K1542" s="84"/>
      <c r="L1542" s="84"/>
      <c r="M1542" s="84"/>
      <c r="N1542" s="84"/>
      <c r="O1542" s="84"/>
      <c r="P1542" s="84"/>
      <c r="Q1542" s="84"/>
      <c r="R1542" s="84"/>
    </row>
    <row r="1543" ht="15.75" customHeight="1">
      <c r="A1543" s="125">
        <v>1.9100119E7</v>
      </c>
      <c r="B1543" s="125" t="s">
        <v>2698</v>
      </c>
      <c r="C1543" s="125"/>
      <c r="D1543" s="125"/>
      <c r="E1543" s="126"/>
      <c r="F1543" s="126"/>
      <c r="G1543" s="125"/>
      <c r="H1543" s="125"/>
      <c r="I1543" s="99"/>
      <c r="K1543" s="84"/>
      <c r="L1543" s="84"/>
      <c r="M1543" s="84"/>
      <c r="N1543" s="84"/>
      <c r="O1543" s="84"/>
      <c r="P1543" s="84"/>
      <c r="Q1543" s="84"/>
      <c r="R1543" s="84"/>
    </row>
    <row r="1544" ht="15.75" customHeight="1">
      <c r="A1544" s="125">
        <v>1.910012E7</v>
      </c>
      <c r="B1544" s="125" t="s">
        <v>2699</v>
      </c>
      <c r="C1544" s="125"/>
      <c r="D1544" s="125"/>
      <c r="E1544" s="126"/>
      <c r="F1544" s="126"/>
      <c r="G1544" s="125"/>
      <c r="H1544" s="125"/>
      <c r="I1544" s="99"/>
      <c r="K1544" s="84"/>
      <c r="L1544" s="84"/>
      <c r="M1544" s="84"/>
      <c r="N1544" s="84"/>
      <c r="O1544" s="84"/>
      <c r="P1544" s="84"/>
      <c r="Q1544" s="84"/>
      <c r="R1544" s="84"/>
    </row>
    <row r="1545" ht="15.75" customHeight="1">
      <c r="A1545" s="125">
        <v>1.9100121E7</v>
      </c>
      <c r="B1545" s="125" t="s">
        <v>2700</v>
      </c>
      <c r="C1545" s="125"/>
      <c r="D1545" s="125"/>
      <c r="E1545" s="126"/>
      <c r="F1545" s="126"/>
      <c r="G1545" s="125"/>
      <c r="H1545" s="125"/>
      <c r="I1545" s="99"/>
      <c r="K1545" s="84"/>
      <c r="L1545" s="84"/>
      <c r="M1545" s="84"/>
      <c r="N1545" s="84"/>
      <c r="O1545" s="84"/>
      <c r="P1545" s="84"/>
      <c r="Q1545" s="84"/>
      <c r="R1545" s="84"/>
    </row>
    <row r="1546" ht="15.75" customHeight="1">
      <c r="A1546" s="125">
        <v>1.9100122E7</v>
      </c>
      <c r="B1546" s="125" t="s">
        <v>2701</v>
      </c>
      <c r="C1546" s="125"/>
      <c r="D1546" s="125"/>
      <c r="E1546" s="126"/>
      <c r="F1546" s="126"/>
      <c r="G1546" s="125"/>
      <c r="H1546" s="125"/>
      <c r="I1546" s="99"/>
      <c r="K1546" s="84"/>
      <c r="L1546" s="84"/>
      <c r="M1546" s="84"/>
      <c r="N1546" s="84"/>
      <c r="O1546" s="84"/>
      <c r="P1546" s="84"/>
      <c r="Q1546" s="84"/>
      <c r="R1546" s="84"/>
    </row>
    <row r="1547" ht="15.75" customHeight="1">
      <c r="A1547" s="125">
        <v>1.9100123E7</v>
      </c>
      <c r="B1547" s="125" t="s">
        <v>2702</v>
      </c>
      <c r="C1547" s="125"/>
      <c r="D1547" s="125"/>
      <c r="E1547" s="126"/>
      <c r="F1547" s="126"/>
      <c r="G1547" s="125"/>
      <c r="H1547" s="125"/>
      <c r="I1547" s="99"/>
      <c r="K1547" s="84"/>
      <c r="L1547" s="84"/>
      <c r="M1547" s="84"/>
      <c r="N1547" s="84"/>
      <c r="O1547" s="84"/>
      <c r="P1547" s="84"/>
      <c r="Q1547" s="84"/>
      <c r="R1547" s="84"/>
    </row>
    <row r="1548" ht="15.75" customHeight="1">
      <c r="A1548" s="125">
        <v>1.9100201E7</v>
      </c>
      <c r="B1548" s="215" t="s">
        <v>2703</v>
      </c>
      <c r="C1548" s="125"/>
      <c r="D1548" s="125"/>
      <c r="E1548" s="126"/>
      <c r="F1548" s="126"/>
      <c r="G1548" s="125"/>
      <c r="H1548" s="125"/>
      <c r="I1548" s="99"/>
      <c r="K1548" s="84"/>
      <c r="L1548" s="84"/>
      <c r="M1548" s="84"/>
      <c r="N1548" s="84"/>
      <c r="O1548" s="84"/>
      <c r="P1548" s="84"/>
      <c r="Q1548" s="84"/>
      <c r="R1548" s="84"/>
    </row>
    <row r="1549" ht="15.75" customHeight="1">
      <c r="A1549" s="125">
        <v>1.9100202E7</v>
      </c>
      <c r="B1549" s="125" t="s">
        <v>2704</v>
      </c>
      <c r="C1549" s="125"/>
      <c r="D1549" s="125"/>
      <c r="E1549" s="126"/>
      <c r="F1549" s="126"/>
      <c r="G1549" s="125"/>
      <c r="H1549" s="125"/>
      <c r="I1549" s="99"/>
      <c r="K1549" s="84"/>
      <c r="L1549" s="84"/>
      <c r="M1549" s="84"/>
      <c r="N1549" s="84"/>
      <c r="O1549" s="84"/>
      <c r="P1549" s="84"/>
      <c r="Q1549" s="84"/>
      <c r="R1549" s="84"/>
    </row>
    <row r="1550" ht="15.75" customHeight="1">
      <c r="A1550" s="125">
        <v>1.9100203E7</v>
      </c>
      <c r="B1550" s="125" t="s">
        <v>2705</v>
      </c>
      <c r="C1550" s="125"/>
      <c r="D1550" s="125"/>
      <c r="E1550" s="126"/>
      <c r="F1550" s="126"/>
      <c r="G1550" s="125"/>
      <c r="H1550" s="125"/>
      <c r="I1550" s="99"/>
      <c r="K1550" s="84"/>
      <c r="L1550" s="84"/>
      <c r="M1550" s="84"/>
      <c r="N1550" s="84"/>
      <c r="O1550" s="84"/>
      <c r="P1550" s="84"/>
      <c r="Q1550" s="84"/>
      <c r="R1550" s="84"/>
    </row>
    <row r="1551" ht="15.75" customHeight="1">
      <c r="A1551" s="125">
        <v>1.9100204E7</v>
      </c>
      <c r="B1551" s="125" t="s">
        <v>2706</v>
      </c>
      <c r="C1551" s="125"/>
      <c r="D1551" s="125"/>
      <c r="E1551" s="126"/>
      <c r="F1551" s="126"/>
      <c r="G1551" s="125"/>
      <c r="H1551" s="125"/>
      <c r="I1551" s="99"/>
      <c r="K1551" s="84"/>
      <c r="L1551" s="84"/>
      <c r="M1551" s="84"/>
      <c r="N1551" s="84"/>
      <c r="O1551" s="84"/>
      <c r="P1551" s="84"/>
      <c r="Q1551" s="84"/>
      <c r="R1551" s="84"/>
    </row>
    <row r="1552" ht="15.75" customHeight="1">
      <c r="A1552" s="125">
        <v>1.9100205E7</v>
      </c>
      <c r="B1552" s="125" t="s">
        <v>2707</v>
      </c>
      <c r="C1552" s="125"/>
      <c r="D1552" s="125"/>
      <c r="E1552" s="126"/>
      <c r="F1552" s="126"/>
      <c r="G1552" s="125"/>
      <c r="H1552" s="125"/>
      <c r="I1552" s="99"/>
      <c r="K1552" s="84"/>
      <c r="L1552" s="84"/>
      <c r="M1552" s="84"/>
      <c r="N1552" s="84"/>
      <c r="O1552" s="84"/>
      <c r="P1552" s="84"/>
      <c r="Q1552" s="84"/>
      <c r="R1552" s="84"/>
    </row>
    <row r="1553" ht="15.75" customHeight="1">
      <c r="A1553" s="125">
        <v>1.9100206E7</v>
      </c>
      <c r="B1553" s="125" t="s">
        <v>2708</v>
      </c>
      <c r="C1553" s="125"/>
      <c r="D1553" s="125"/>
      <c r="E1553" s="126"/>
      <c r="F1553" s="126"/>
      <c r="G1553" s="125"/>
      <c r="H1553" s="125"/>
      <c r="I1553" s="99"/>
      <c r="K1553" s="84"/>
      <c r="L1553" s="84"/>
      <c r="M1553" s="84"/>
      <c r="N1553" s="84"/>
      <c r="O1553" s="84"/>
      <c r="P1553" s="84"/>
      <c r="Q1553" s="84"/>
      <c r="R1553" s="84"/>
    </row>
    <row r="1554" ht="15.75" customHeight="1">
      <c r="A1554" s="125">
        <v>1.9100207E7</v>
      </c>
      <c r="B1554" s="125" t="s">
        <v>2709</v>
      </c>
      <c r="C1554" s="125"/>
      <c r="D1554" s="125"/>
      <c r="E1554" s="126"/>
      <c r="F1554" s="126"/>
      <c r="G1554" s="125"/>
      <c r="H1554" s="125"/>
      <c r="I1554" s="99"/>
      <c r="K1554" s="84"/>
      <c r="L1554" s="84"/>
      <c r="M1554" s="84"/>
      <c r="N1554" s="84"/>
      <c r="O1554" s="84"/>
      <c r="P1554" s="84"/>
      <c r="Q1554" s="84"/>
      <c r="R1554" s="84"/>
    </row>
    <row r="1555" ht="15.75" customHeight="1">
      <c r="A1555" s="125">
        <v>1.9100208E7</v>
      </c>
      <c r="B1555" s="125" t="s">
        <v>2710</v>
      </c>
      <c r="C1555" s="125"/>
      <c r="D1555" s="125"/>
      <c r="E1555" s="126"/>
      <c r="F1555" s="126"/>
      <c r="G1555" s="125"/>
      <c r="H1555" s="125"/>
      <c r="I1555" s="99"/>
      <c r="K1555" s="84"/>
      <c r="L1555" s="84"/>
      <c r="M1555" s="84"/>
      <c r="N1555" s="84"/>
      <c r="O1555" s="84"/>
      <c r="P1555" s="84"/>
      <c r="Q1555" s="84"/>
      <c r="R1555" s="84"/>
    </row>
    <row r="1556" ht="15.75" customHeight="1">
      <c r="A1556" s="125">
        <v>1.9100209E7</v>
      </c>
      <c r="B1556" s="125" t="s">
        <v>2711</v>
      </c>
      <c r="C1556" s="125"/>
      <c r="D1556" s="125"/>
      <c r="E1556" s="126"/>
      <c r="F1556" s="126"/>
      <c r="G1556" s="125"/>
      <c r="H1556" s="125"/>
      <c r="I1556" s="99"/>
      <c r="K1556" s="84"/>
      <c r="L1556" s="84"/>
      <c r="M1556" s="84"/>
      <c r="N1556" s="84"/>
      <c r="O1556" s="84"/>
      <c r="P1556" s="84"/>
      <c r="Q1556" s="84"/>
      <c r="R1556" s="84"/>
    </row>
    <row r="1557" ht="15.75" customHeight="1">
      <c r="A1557" s="125">
        <v>1.910021E7</v>
      </c>
      <c r="B1557" s="125" t="s">
        <v>2712</v>
      </c>
      <c r="C1557" s="125"/>
      <c r="D1557" s="125"/>
      <c r="E1557" s="126"/>
      <c r="F1557" s="126"/>
      <c r="G1557" s="125"/>
      <c r="H1557" s="125"/>
      <c r="I1557" s="99"/>
      <c r="K1557" s="84"/>
      <c r="L1557" s="84"/>
      <c r="M1557" s="84"/>
      <c r="N1557" s="84"/>
      <c r="O1557" s="84"/>
      <c r="P1557" s="84"/>
      <c r="Q1557" s="84"/>
      <c r="R1557" s="84"/>
    </row>
    <row r="1558" ht="15.75" customHeight="1">
      <c r="A1558" s="125">
        <v>1.9100211E7</v>
      </c>
      <c r="B1558" s="125" t="s">
        <v>2713</v>
      </c>
      <c r="C1558" s="125"/>
      <c r="D1558" s="125"/>
      <c r="E1558" s="126"/>
      <c r="F1558" s="126"/>
      <c r="G1558" s="125"/>
      <c r="H1558" s="125"/>
      <c r="I1558" s="99"/>
      <c r="K1558" s="84"/>
      <c r="L1558" s="84"/>
      <c r="M1558" s="84"/>
      <c r="N1558" s="84"/>
      <c r="O1558" s="84"/>
      <c r="P1558" s="84"/>
      <c r="Q1558" s="84"/>
      <c r="R1558" s="84"/>
    </row>
    <row r="1559" ht="15.75" customHeight="1">
      <c r="A1559" s="125">
        <v>1.9100212E7</v>
      </c>
      <c r="B1559" s="125" t="s">
        <v>2714</v>
      </c>
      <c r="C1559" s="125"/>
      <c r="D1559" s="125"/>
      <c r="E1559" s="126"/>
      <c r="F1559" s="126"/>
      <c r="G1559" s="125"/>
      <c r="H1559" s="125"/>
      <c r="I1559" s="99"/>
      <c r="K1559" s="84"/>
      <c r="L1559" s="84"/>
      <c r="M1559" s="84"/>
      <c r="N1559" s="84"/>
      <c r="O1559" s="84"/>
      <c r="P1559" s="84"/>
      <c r="Q1559" s="84"/>
      <c r="R1559" s="84"/>
    </row>
    <row r="1560" ht="15.75" customHeight="1">
      <c r="A1560" s="125">
        <v>1.9100213E7</v>
      </c>
      <c r="B1560" s="125" t="s">
        <v>2715</v>
      </c>
      <c r="C1560" s="125"/>
      <c r="D1560" s="125"/>
      <c r="E1560" s="126"/>
      <c r="F1560" s="126"/>
      <c r="G1560" s="125"/>
      <c r="H1560" s="125"/>
      <c r="I1560" s="99"/>
      <c r="K1560" s="84"/>
      <c r="L1560" s="84"/>
      <c r="M1560" s="84"/>
      <c r="N1560" s="84"/>
      <c r="O1560" s="84"/>
      <c r="P1560" s="84"/>
      <c r="Q1560" s="84"/>
      <c r="R1560" s="84"/>
    </row>
    <row r="1561" ht="15.75" customHeight="1">
      <c r="A1561" s="125">
        <v>1.9100214E7</v>
      </c>
      <c r="B1561" s="125" t="s">
        <v>2716</v>
      </c>
      <c r="C1561" s="125"/>
      <c r="D1561" s="125"/>
      <c r="E1561" s="126"/>
      <c r="F1561" s="126"/>
      <c r="G1561" s="125"/>
      <c r="H1561" s="125"/>
      <c r="I1561" s="99"/>
      <c r="K1561" s="84"/>
      <c r="L1561" s="84"/>
      <c r="M1561" s="84"/>
      <c r="N1561" s="84"/>
      <c r="O1561" s="84"/>
      <c r="P1561" s="84"/>
      <c r="Q1561" s="84"/>
      <c r="R1561" s="84"/>
    </row>
    <row r="1562" ht="15.75" customHeight="1">
      <c r="A1562" s="125">
        <v>1.9100215E7</v>
      </c>
      <c r="B1562" s="125" t="s">
        <v>2717</v>
      </c>
      <c r="C1562" s="125"/>
      <c r="D1562" s="125"/>
      <c r="E1562" s="126"/>
      <c r="F1562" s="126"/>
      <c r="G1562" s="125"/>
      <c r="H1562" s="125"/>
      <c r="I1562" s="99"/>
      <c r="K1562" s="84"/>
      <c r="L1562" s="84"/>
      <c r="M1562" s="84"/>
      <c r="N1562" s="84"/>
      <c r="O1562" s="84"/>
      <c r="P1562" s="84"/>
      <c r="Q1562" s="84"/>
      <c r="R1562" s="84"/>
    </row>
    <row r="1563" ht="15.75" customHeight="1">
      <c r="A1563" s="125">
        <v>1.9100216E7</v>
      </c>
      <c r="B1563" s="125" t="s">
        <v>2718</v>
      </c>
      <c r="C1563" s="125"/>
      <c r="D1563" s="125"/>
      <c r="E1563" s="126"/>
      <c r="F1563" s="126"/>
      <c r="G1563" s="125"/>
      <c r="H1563" s="125"/>
      <c r="I1563" s="99"/>
      <c r="K1563" s="84"/>
      <c r="L1563" s="84"/>
      <c r="M1563" s="84"/>
      <c r="N1563" s="84"/>
      <c r="O1563" s="84"/>
      <c r="P1563" s="84"/>
      <c r="Q1563" s="84"/>
      <c r="R1563" s="84"/>
    </row>
    <row r="1564" ht="15.75" customHeight="1">
      <c r="A1564" s="125">
        <v>1.9100217E7</v>
      </c>
      <c r="B1564" s="125" t="s">
        <v>2719</v>
      </c>
      <c r="C1564" s="125"/>
      <c r="D1564" s="125"/>
      <c r="E1564" s="126"/>
      <c r="F1564" s="126"/>
      <c r="G1564" s="125"/>
      <c r="H1564" s="125"/>
      <c r="I1564" s="99"/>
      <c r="K1564" s="84"/>
      <c r="L1564" s="84"/>
      <c r="M1564" s="84"/>
      <c r="N1564" s="84"/>
      <c r="O1564" s="84"/>
      <c r="P1564" s="84"/>
      <c r="Q1564" s="84"/>
      <c r="R1564" s="84"/>
    </row>
    <row r="1565" ht="15.75" customHeight="1">
      <c r="A1565" s="125">
        <v>1.9100218E7</v>
      </c>
      <c r="B1565" s="125" t="s">
        <v>2720</v>
      </c>
      <c r="C1565" s="125"/>
      <c r="D1565" s="125"/>
      <c r="E1565" s="126"/>
      <c r="F1565" s="126"/>
      <c r="G1565" s="125"/>
      <c r="H1565" s="125"/>
      <c r="I1565" s="99"/>
      <c r="K1565" s="84"/>
      <c r="L1565" s="84"/>
      <c r="M1565" s="84"/>
      <c r="N1565" s="84"/>
      <c r="O1565" s="84"/>
      <c r="P1565" s="84"/>
      <c r="Q1565" s="84"/>
      <c r="R1565" s="84"/>
    </row>
    <row r="1566" ht="15.75" customHeight="1">
      <c r="A1566" s="125">
        <v>1.9100219E7</v>
      </c>
      <c r="B1566" s="125" t="s">
        <v>2721</v>
      </c>
      <c r="C1566" s="125"/>
      <c r="D1566" s="125"/>
      <c r="E1566" s="126"/>
      <c r="F1566" s="126"/>
      <c r="G1566" s="125"/>
      <c r="H1566" s="125"/>
      <c r="I1566" s="99"/>
      <c r="K1566" s="84"/>
      <c r="L1566" s="84"/>
      <c r="M1566" s="84"/>
      <c r="N1566" s="84"/>
      <c r="O1566" s="84"/>
      <c r="P1566" s="84"/>
      <c r="Q1566" s="84"/>
      <c r="R1566" s="84"/>
    </row>
    <row r="1567" ht="15.75" customHeight="1">
      <c r="A1567" s="125">
        <v>1.910022E7</v>
      </c>
      <c r="B1567" s="125" t="s">
        <v>2722</v>
      </c>
      <c r="C1567" s="125"/>
      <c r="D1567" s="125"/>
      <c r="E1567" s="126"/>
      <c r="F1567" s="126"/>
      <c r="G1567" s="125"/>
      <c r="H1567" s="125"/>
      <c r="I1567" s="99"/>
      <c r="K1567" s="84"/>
      <c r="L1567" s="84"/>
      <c r="M1567" s="84"/>
      <c r="N1567" s="84"/>
      <c r="O1567" s="84"/>
      <c r="P1567" s="84"/>
      <c r="Q1567" s="84"/>
      <c r="R1567" s="84"/>
    </row>
    <row r="1568" ht="15.75" customHeight="1">
      <c r="A1568" s="125">
        <v>1.9100221E7</v>
      </c>
      <c r="B1568" s="125" t="s">
        <v>2723</v>
      </c>
      <c r="C1568" s="125"/>
      <c r="D1568" s="125"/>
      <c r="E1568" s="126"/>
      <c r="F1568" s="126"/>
      <c r="G1568" s="125"/>
      <c r="H1568" s="125"/>
      <c r="I1568" s="99"/>
      <c r="K1568" s="84"/>
      <c r="L1568" s="84"/>
      <c r="M1568" s="84"/>
      <c r="N1568" s="84"/>
      <c r="O1568" s="84"/>
      <c r="P1568" s="84"/>
      <c r="Q1568" s="84"/>
      <c r="R1568" s="84"/>
    </row>
    <row r="1569" ht="15.75" customHeight="1">
      <c r="A1569" s="125">
        <v>1.9100222E7</v>
      </c>
      <c r="B1569" s="125" t="s">
        <v>2724</v>
      </c>
      <c r="C1569" s="125"/>
      <c r="D1569" s="125"/>
      <c r="E1569" s="126"/>
      <c r="F1569" s="126"/>
      <c r="G1569" s="125"/>
      <c r="H1569" s="125"/>
      <c r="I1569" s="99"/>
      <c r="K1569" s="84"/>
      <c r="L1569" s="84"/>
      <c r="M1569" s="84"/>
      <c r="N1569" s="84"/>
      <c r="O1569" s="84"/>
      <c r="P1569" s="84"/>
      <c r="Q1569" s="84"/>
      <c r="R1569" s="84"/>
    </row>
    <row r="1570" ht="15.75" customHeight="1">
      <c r="A1570" s="125">
        <v>1.9100223E7</v>
      </c>
      <c r="B1570" s="125" t="s">
        <v>2725</v>
      </c>
      <c r="C1570" s="125"/>
      <c r="D1570" s="125"/>
      <c r="E1570" s="126"/>
      <c r="F1570" s="126"/>
      <c r="G1570" s="125"/>
      <c r="H1570" s="125"/>
      <c r="I1570" s="99"/>
      <c r="K1570" s="84"/>
      <c r="L1570" s="84"/>
      <c r="M1570" s="84"/>
      <c r="N1570" s="84"/>
      <c r="O1570" s="84"/>
      <c r="P1570" s="84"/>
      <c r="Q1570" s="84"/>
      <c r="R1570" s="84"/>
    </row>
    <row r="1571" ht="15.75" customHeight="1">
      <c r="A1571" s="125"/>
      <c r="B1571" s="125"/>
      <c r="C1571" s="125"/>
      <c r="D1571" s="125"/>
      <c r="E1571" s="126"/>
      <c r="F1571" s="126"/>
      <c r="G1571" s="125"/>
      <c r="H1571" s="125"/>
      <c r="I1571" s="99"/>
      <c r="K1571" s="84"/>
      <c r="L1571" s="84"/>
      <c r="M1571" s="84"/>
      <c r="N1571" s="84"/>
      <c r="O1571" s="84"/>
      <c r="P1571" s="84"/>
      <c r="Q1571" s="84"/>
      <c r="R1571" s="84"/>
    </row>
    <row r="1572" ht="15.75" customHeight="1">
      <c r="A1572" s="125"/>
      <c r="B1572" s="125"/>
      <c r="C1572" s="125"/>
      <c r="D1572" s="125"/>
      <c r="E1572" s="126"/>
      <c r="F1572" s="126"/>
      <c r="G1572" s="125"/>
      <c r="H1572" s="125"/>
      <c r="I1572" s="99"/>
      <c r="K1572" s="84"/>
      <c r="L1572" s="84"/>
      <c r="M1572" s="84"/>
      <c r="N1572" s="84"/>
      <c r="O1572" s="84"/>
      <c r="P1572" s="84"/>
      <c r="Q1572" s="84"/>
      <c r="R1572" s="84"/>
    </row>
    <row r="1573" ht="15.75" customHeight="1">
      <c r="A1573" s="125"/>
      <c r="B1573" s="125"/>
      <c r="C1573" s="125"/>
      <c r="D1573" s="125"/>
      <c r="E1573" s="126"/>
      <c r="F1573" s="126"/>
      <c r="G1573" s="125"/>
      <c r="H1573" s="125"/>
      <c r="I1573" s="99"/>
      <c r="K1573" s="84"/>
      <c r="L1573" s="84"/>
      <c r="M1573" s="84"/>
      <c r="N1573" s="84"/>
      <c r="O1573" s="84"/>
      <c r="P1573" s="84"/>
      <c r="Q1573" s="84"/>
      <c r="R1573" s="84"/>
    </row>
    <row r="1574" ht="15.75" customHeight="1">
      <c r="A1574" s="125"/>
      <c r="B1574" s="125"/>
      <c r="C1574" s="125"/>
      <c r="D1574" s="125"/>
      <c r="E1574" s="126"/>
      <c r="F1574" s="126"/>
      <c r="G1574" s="125"/>
      <c r="H1574" s="125"/>
      <c r="I1574" s="99"/>
      <c r="K1574" s="84"/>
      <c r="L1574" s="84"/>
      <c r="M1574" s="84"/>
      <c r="N1574" s="84"/>
      <c r="O1574" s="84"/>
      <c r="P1574" s="84"/>
      <c r="Q1574" s="84"/>
      <c r="R1574" s="84"/>
    </row>
    <row r="1575" ht="15.75" customHeight="1">
      <c r="A1575" s="125"/>
      <c r="B1575" s="125"/>
      <c r="C1575" s="125"/>
      <c r="D1575" s="125"/>
      <c r="E1575" s="126"/>
      <c r="F1575" s="126"/>
      <c r="G1575" s="125"/>
      <c r="H1575" s="125"/>
      <c r="I1575" s="99"/>
      <c r="K1575" s="84"/>
      <c r="L1575" s="84"/>
      <c r="M1575" s="84"/>
      <c r="N1575" s="84"/>
      <c r="O1575" s="84"/>
      <c r="P1575" s="84"/>
      <c r="Q1575" s="84"/>
      <c r="R1575" s="84"/>
    </row>
    <row r="1576" ht="15.75" customHeight="1">
      <c r="A1576" s="125"/>
      <c r="B1576" s="125"/>
      <c r="C1576" s="125"/>
      <c r="D1576" s="125"/>
      <c r="E1576" s="126"/>
      <c r="F1576" s="126"/>
      <c r="G1576" s="125"/>
      <c r="H1576" s="125"/>
      <c r="I1576" s="99"/>
      <c r="K1576" s="84"/>
      <c r="L1576" s="84"/>
      <c r="M1576" s="84"/>
      <c r="N1576" s="84"/>
      <c r="O1576" s="84"/>
      <c r="P1576" s="84"/>
      <c r="Q1576" s="84"/>
      <c r="R1576" s="84"/>
    </row>
    <row r="1577" ht="15.75" customHeight="1">
      <c r="A1577" s="125"/>
      <c r="B1577" s="125"/>
      <c r="C1577" s="125"/>
      <c r="D1577" s="125"/>
      <c r="E1577" s="126"/>
      <c r="F1577" s="126"/>
      <c r="G1577" s="125"/>
      <c r="H1577" s="125"/>
      <c r="I1577" s="99"/>
      <c r="K1577" s="84"/>
      <c r="L1577" s="84"/>
      <c r="M1577" s="84"/>
      <c r="N1577" s="84"/>
      <c r="O1577" s="84"/>
      <c r="P1577" s="84"/>
      <c r="Q1577" s="84"/>
      <c r="R1577" s="84"/>
    </row>
    <row r="1578" ht="15.75" customHeight="1">
      <c r="A1578" s="125"/>
      <c r="B1578" s="125"/>
      <c r="C1578" s="125"/>
      <c r="D1578" s="125"/>
      <c r="E1578" s="126"/>
      <c r="F1578" s="126"/>
      <c r="G1578" s="125"/>
      <c r="H1578" s="125"/>
      <c r="I1578" s="99"/>
      <c r="K1578" s="84"/>
      <c r="L1578" s="84"/>
      <c r="M1578" s="84"/>
      <c r="N1578" s="84"/>
      <c r="O1578" s="84"/>
      <c r="P1578" s="84"/>
      <c r="Q1578" s="84"/>
      <c r="R1578" s="84"/>
    </row>
    <row r="1579" ht="15.75" customHeight="1">
      <c r="A1579" s="125"/>
      <c r="B1579" s="125"/>
      <c r="C1579" s="125"/>
      <c r="D1579" s="125"/>
      <c r="E1579" s="126"/>
      <c r="F1579" s="126"/>
      <c r="G1579" s="125"/>
      <c r="H1579" s="125"/>
      <c r="I1579" s="99"/>
      <c r="K1579" s="84"/>
      <c r="L1579" s="84"/>
      <c r="M1579" s="84"/>
      <c r="N1579" s="84"/>
      <c r="O1579" s="84"/>
      <c r="P1579" s="84"/>
      <c r="Q1579" s="84"/>
      <c r="R1579" s="84"/>
    </row>
    <row r="1580" ht="15.75" customHeight="1">
      <c r="A1580" s="125"/>
      <c r="B1580" s="125"/>
      <c r="C1580" s="125"/>
      <c r="D1580" s="125"/>
      <c r="E1580" s="126"/>
      <c r="F1580" s="126"/>
      <c r="G1580" s="125"/>
      <c r="H1580" s="125"/>
      <c r="I1580" s="99"/>
      <c r="K1580" s="84"/>
      <c r="L1580" s="84"/>
      <c r="M1580" s="84"/>
      <c r="N1580" s="84"/>
      <c r="O1580" s="84"/>
      <c r="P1580" s="84"/>
      <c r="Q1580" s="84"/>
      <c r="R1580" s="84"/>
    </row>
    <row r="1581" ht="15.75" customHeight="1">
      <c r="A1581" s="125"/>
      <c r="B1581" s="125"/>
      <c r="C1581" s="125"/>
      <c r="D1581" s="125"/>
      <c r="E1581" s="126"/>
      <c r="F1581" s="126"/>
      <c r="G1581" s="125"/>
      <c r="H1581" s="125"/>
      <c r="I1581" s="99"/>
      <c r="K1581" s="84"/>
      <c r="L1581" s="84"/>
      <c r="M1581" s="84"/>
      <c r="N1581" s="84"/>
      <c r="O1581" s="84"/>
      <c r="P1581" s="84"/>
      <c r="Q1581" s="84"/>
      <c r="R1581" s="84"/>
    </row>
    <row r="1582" ht="15.75" customHeight="1">
      <c r="A1582" s="125"/>
      <c r="B1582" s="125"/>
      <c r="C1582" s="125"/>
      <c r="D1582" s="125"/>
      <c r="E1582" s="126"/>
      <c r="F1582" s="126"/>
      <c r="G1582" s="125"/>
      <c r="H1582" s="125"/>
      <c r="I1582" s="99"/>
      <c r="K1582" s="84"/>
      <c r="L1582" s="84"/>
      <c r="M1582" s="84"/>
      <c r="N1582" s="84"/>
      <c r="O1582" s="84"/>
      <c r="P1582" s="84"/>
      <c r="Q1582" s="84"/>
      <c r="R1582" s="84"/>
    </row>
    <row r="1583" ht="15.75" customHeight="1">
      <c r="A1583" s="125"/>
      <c r="B1583" s="125"/>
      <c r="C1583" s="125"/>
      <c r="D1583" s="125"/>
      <c r="E1583" s="126"/>
      <c r="F1583" s="126"/>
      <c r="G1583" s="125"/>
      <c r="H1583" s="125"/>
      <c r="I1583" s="99"/>
      <c r="K1583" s="84"/>
      <c r="L1583" s="84"/>
      <c r="M1583" s="84"/>
      <c r="N1583" s="84"/>
      <c r="O1583" s="84"/>
      <c r="P1583" s="84"/>
      <c r="Q1583" s="84"/>
      <c r="R1583" s="84"/>
    </row>
    <row r="1584" ht="15.75" customHeight="1">
      <c r="A1584" s="125"/>
      <c r="B1584" s="125"/>
      <c r="C1584" s="125"/>
      <c r="D1584" s="125"/>
      <c r="E1584" s="126"/>
      <c r="F1584" s="126"/>
      <c r="G1584" s="125"/>
      <c r="H1584" s="125"/>
      <c r="I1584" s="99"/>
      <c r="K1584" s="84"/>
      <c r="L1584" s="84"/>
      <c r="M1584" s="84"/>
      <c r="N1584" s="84"/>
      <c r="O1584" s="84"/>
      <c r="P1584" s="84"/>
      <c r="Q1584" s="84"/>
      <c r="R1584" s="84"/>
    </row>
    <row r="1585" ht="15.75" customHeight="1">
      <c r="A1585" s="125"/>
      <c r="B1585" s="125"/>
      <c r="C1585" s="125"/>
      <c r="D1585" s="125"/>
      <c r="E1585" s="126"/>
      <c r="F1585" s="126"/>
      <c r="G1585" s="125"/>
      <c r="H1585" s="125"/>
      <c r="I1585" s="99"/>
      <c r="K1585" s="84"/>
      <c r="L1585" s="84"/>
      <c r="M1585" s="84"/>
      <c r="N1585" s="84"/>
      <c r="O1585" s="84"/>
      <c r="P1585" s="84"/>
      <c r="Q1585" s="84"/>
      <c r="R1585" s="84"/>
    </row>
    <row r="1586" ht="15.75" customHeight="1">
      <c r="A1586" s="125"/>
      <c r="B1586" s="125"/>
      <c r="C1586" s="125"/>
      <c r="D1586" s="125"/>
      <c r="E1586" s="126"/>
      <c r="F1586" s="126"/>
      <c r="G1586" s="125"/>
      <c r="H1586" s="125"/>
      <c r="I1586" s="99"/>
      <c r="K1586" s="84"/>
      <c r="L1586" s="84"/>
      <c r="M1586" s="84"/>
      <c r="N1586" s="84"/>
      <c r="O1586" s="84"/>
      <c r="P1586" s="84"/>
      <c r="Q1586" s="84"/>
      <c r="R1586" s="84"/>
    </row>
    <row r="1587" ht="15.75" customHeight="1">
      <c r="A1587" s="125"/>
      <c r="B1587" s="125"/>
      <c r="C1587" s="125"/>
      <c r="D1587" s="125"/>
      <c r="E1587" s="126"/>
      <c r="F1587" s="126"/>
      <c r="G1587" s="125"/>
      <c r="H1587" s="125"/>
      <c r="I1587" s="99"/>
      <c r="K1587" s="84"/>
      <c r="L1587" s="84"/>
      <c r="M1587" s="84"/>
      <c r="N1587" s="84"/>
      <c r="O1587" s="84"/>
      <c r="P1587" s="84"/>
      <c r="Q1587" s="84"/>
      <c r="R1587" s="84"/>
    </row>
    <row r="1588" ht="15.75" customHeight="1">
      <c r="A1588" s="125"/>
      <c r="B1588" s="125"/>
      <c r="C1588" s="125"/>
      <c r="D1588" s="125"/>
      <c r="E1588" s="126"/>
      <c r="F1588" s="126"/>
      <c r="G1588" s="125"/>
      <c r="H1588" s="125"/>
      <c r="I1588" s="99"/>
      <c r="K1588" s="84"/>
      <c r="L1588" s="84"/>
      <c r="M1588" s="84"/>
      <c r="N1588" s="84"/>
      <c r="O1588" s="84"/>
      <c r="P1588" s="84"/>
      <c r="Q1588" s="84"/>
      <c r="R1588" s="84"/>
    </row>
    <row r="1589" ht="15.75" customHeight="1">
      <c r="A1589" s="125"/>
      <c r="B1589" s="125"/>
      <c r="C1589" s="125"/>
      <c r="D1589" s="125"/>
      <c r="E1589" s="126"/>
      <c r="F1589" s="126"/>
      <c r="G1589" s="125"/>
      <c r="H1589" s="125"/>
      <c r="I1589" s="99"/>
      <c r="K1589" s="84"/>
      <c r="L1589" s="84"/>
      <c r="M1589" s="84"/>
      <c r="N1589" s="84"/>
      <c r="O1589" s="84"/>
      <c r="P1589" s="84"/>
      <c r="Q1589" s="84"/>
      <c r="R1589" s="84"/>
    </row>
    <row r="1590" ht="15.75" customHeight="1">
      <c r="A1590" s="125"/>
      <c r="B1590" s="125"/>
      <c r="C1590" s="125"/>
      <c r="D1590" s="125"/>
      <c r="E1590" s="126"/>
      <c r="F1590" s="126"/>
      <c r="G1590" s="125"/>
      <c r="H1590" s="125"/>
      <c r="I1590" s="99"/>
      <c r="K1590" s="84"/>
      <c r="L1590" s="84"/>
      <c r="M1590" s="84"/>
      <c r="N1590" s="84"/>
      <c r="O1590" s="84"/>
      <c r="P1590" s="84"/>
      <c r="Q1590" s="84"/>
      <c r="R1590" s="84"/>
    </row>
    <row r="1591" ht="15.75" customHeight="1">
      <c r="A1591" s="125"/>
      <c r="B1591" s="125"/>
      <c r="C1591" s="125"/>
      <c r="D1591" s="125"/>
      <c r="E1591" s="126"/>
      <c r="F1591" s="126"/>
      <c r="G1591" s="125"/>
      <c r="H1591" s="125"/>
      <c r="I1591" s="99"/>
      <c r="K1591" s="84"/>
      <c r="L1591" s="84"/>
      <c r="M1591" s="84"/>
      <c r="N1591" s="84"/>
      <c r="O1591" s="84"/>
      <c r="P1591" s="84"/>
      <c r="Q1591" s="84"/>
      <c r="R1591" s="84"/>
    </row>
    <row r="1592" ht="15.75" customHeight="1">
      <c r="A1592" s="125"/>
      <c r="B1592" s="125"/>
      <c r="C1592" s="125"/>
      <c r="D1592" s="125"/>
      <c r="E1592" s="126"/>
      <c r="F1592" s="126"/>
      <c r="G1592" s="125"/>
      <c r="H1592" s="125"/>
      <c r="I1592" s="99"/>
      <c r="K1592" s="84"/>
      <c r="L1592" s="84"/>
      <c r="M1592" s="84"/>
      <c r="N1592" s="84"/>
      <c r="O1592" s="84"/>
      <c r="P1592" s="84"/>
      <c r="Q1592" s="84"/>
      <c r="R1592" s="84"/>
    </row>
    <row r="1593" ht="15.75" customHeight="1">
      <c r="A1593" s="125"/>
      <c r="B1593" s="125"/>
      <c r="C1593" s="125"/>
      <c r="D1593" s="125"/>
      <c r="E1593" s="126"/>
      <c r="F1593" s="126"/>
      <c r="G1593" s="125"/>
      <c r="H1593" s="125"/>
      <c r="I1593" s="99"/>
      <c r="K1593" s="84"/>
      <c r="L1593" s="84"/>
      <c r="M1593" s="84"/>
      <c r="N1593" s="84"/>
      <c r="O1593" s="84"/>
      <c r="P1593" s="84"/>
      <c r="Q1593" s="84"/>
      <c r="R1593" s="84"/>
    </row>
    <row r="1594" ht="15.75" customHeight="1">
      <c r="A1594" s="125"/>
      <c r="B1594" s="125"/>
      <c r="C1594" s="125"/>
      <c r="D1594" s="125"/>
      <c r="E1594" s="126"/>
      <c r="F1594" s="126"/>
      <c r="G1594" s="125"/>
      <c r="H1594" s="125"/>
      <c r="I1594" s="99"/>
      <c r="K1594" s="84"/>
      <c r="L1594" s="84"/>
      <c r="M1594" s="84"/>
      <c r="N1594" s="84"/>
      <c r="O1594" s="84"/>
      <c r="P1594" s="84"/>
      <c r="Q1594" s="84"/>
      <c r="R1594" s="84"/>
    </row>
    <row r="1595" ht="15.75" customHeight="1">
      <c r="A1595" s="125"/>
      <c r="B1595" s="125"/>
      <c r="C1595" s="125"/>
      <c r="D1595" s="125"/>
      <c r="E1595" s="126"/>
      <c r="F1595" s="126"/>
      <c r="G1595" s="125"/>
      <c r="H1595" s="125"/>
      <c r="I1595" s="99"/>
      <c r="K1595" s="84"/>
      <c r="L1595" s="84"/>
      <c r="M1595" s="84"/>
      <c r="N1595" s="84"/>
      <c r="O1595" s="84"/>
      <c r="P1595" s="84"/>
      <c r="Q1595" s="84"/>
      <c r="R1595" s="84"/>
    </row>
    <row r="1596" ht="15.75" customHeight="1">
      <c r="A1596" s="125"/>
      <c r="B1596" s="125"/>
      <c r="C1596" s="125"/>
      <c r="D1596" s="125"/>
      <c r="E1596" s="126"/>
      <c r="F1596" s="126"/>
      <c r="G1596" s="125"/>
      <c r="H1596" s="125"/>
      <c r="I1596" s="99"/>
      <c r="K1596" s="84"/>
      <c r="L1596" s="84"/>
      <c r="M1596" s="84"/>
      <c r="N1596" s="84"/>
      <c r="O1596" s="84"/>
      <c r="P1596" s="84"/>
      <c r="Q1596" s="84"/>
      <c r="R1596" s="84"/>
    </row>
    <row r="1597" ht="15.75" customHeight="1">
      <c r="A1597" s="125"/>
      <c r="B1597" s="125"/>
      <c r="C1597" s="125"/>
      <c r="D1597" s="125"/>
      <c r="E1597" s="126"/>
      <c r="F1597" s="126"/>
      <c r="G1597" s="125"/>
      <c r="H1597" s="125"/>
      <c r="I1597" s="99"/>
      <c r="K1597" s="84"/>
      <c r="L1597" s="84"/>
      <c r="M1597" s="84"/>
      <c r="N1597" s="84"/>
      <c r="O1597" s="84"/>
      <c r="P1597" s="84"/>
      <c r="Q1597" s="84"/>
      <c r="R1597" s="84"/>
    </row>
    <row r="1598" ht="15.75" customHeight="1">
      <c r="A1598" s="125"/>
      <c r="B1598" s="125"/>
      <c r="C1598" s="125"/>
      <c r="D1598" s="125"/>
      <c r="E1598" s="126"/>
      <c r="F1598" s="126"/>
      <c r="G1598" s="125"/>
      <c r="H1598" s="125"/>
      <c r="I1598" s="99"/>
      <c r="K1598" s="84"/>
      <c r="L1598" s="84"/>
      <c r="M1598" s="84"/>
      <c r="N1598" s="84"/>
      <c r="O1598" s="84"/>
      <c r="P1598" s="84"/>
      <c r="Q1598" s="84"/>
      <c r="R1598" s="84"/>
    </row>
    <row r="1599" ht="15.75" customHeight="1">
      <c r="A1599" s="125"/>
      <c r="B1599" s="125"/>
      <c r="C1599" s="125"/>
      <c r="D1599" s="125"/>
      <c r="E1599" s="126"/>
      <c r="F1599" s="126"/>
      <c r="G1599" s="125"/>
      <c r="H1599" s="125"/>
      <c r="I1599" s="99"/>
      <c r="K1599" s="84"/>
      <c r="L1599" s="84"/>
      <c r="M1599" s="84"/>
      <c r="N1599" s="84"/>
      <c r="O1599" s="84"/>
      <c r="P1599" s="84"/>
      <c r="Q1599" s="84"/>
      <c r="R1599" s="84"/>
    </row>
    <row r="1600" ht="15.75" customHeight="1">
      <c r="A1600" s="125"/>
      <c r="B1600" s="125"/>
      <c r="C1600" s="125"/>
      <c r="D1600" s="125"/>
      <c r="E1600" s="126"/>
      <c r="F1600" s="126"/>
      <c r="G1600" s="125"/>
      <c r="H1600" s="125"/>
      <c r="I1600" s="99"/>
      <c r="K1600" s="84"/>
      <c r="L1600" s="84"/>
      <c r="M1600" s="84"/>
      <c r="N1600" s="84"/>
      <c r="O1600" s="84"/>
      <c r="P1600" s="84"/>
      <c r="Q1600" s="84"/>
      <c r="R1600" s="84"/>
    </row>
    <row r="1601" ht="15.75" customHeight="1">
      <c r="A1601" s="125"/>
      <c r="B1601" s="125"/>
      <c r="C1601" s="125"/>
      <c r="D1601" s="125"/>
      <c r="E1601" s="126"/>
      <c r="F1601" s="126"/>
      <c r="G1601" s="125"/>
      <c r="H1601" s="125"/>
      <c r="I1601" s="99"/>
      <c r="K1601" s="84"/>
      <c r="L1601" s="84"/>
      <c r="M1601" s="84"/>
      <c r="N1601" s="84"/>
      <c r="O1601" s="84"/>
      <c r="P1601" s="84"/>
      <c r="Q1601" s="84"/>
      <c r="R1601" s="84"/>
    </row>
    <row r="1602" ht="15.75" customHeight="1">
      <c r="A1602" s="125"/>
      <c r="B1602" s="125"/>
      <c r="C1602" s="125"/>
      <c r="D1602" s="125"/>
      <c r="E1602" s="126"/>
      <c r="F1602" s="126"/>
      <c r="G1602" s="125"/>
      <c r="H1602" s="125"/>
      <c r="I1602" s="99"/>
      <c r="K1602" s="84"/>
      <c r="L1602" s="84"/>
      <c r="M1602" s="84"/>
      <c r="N1602" s="84"/>
      <c r="O1602" s="84"/>
      <c r="P1602" s="84"/>
      <c r="Q1602" s="84"/>
      <c r="R1602" s="84"/>
    </row>
    <row r="1603" ht="15.75" customHeight="1">
      <c r="A1603" s="125"/>
      <c r="B1603" s="125"/>
      <c r="C1603" s="125"/>
      <c r="D1603" s="125"/>
      <c r="E1603" s="126"/>
      <c r="F1603" s="126"/>
      <c r="G1603" s="125"/>
      <c r="H1603" s="125"/>
      <c r="I1603" s="99"/>
      <c r="K1603" s="84"/>
      <c r="L1603" s="84"/>
      <c r="M1603" s="84"/>
      <c r="N1603" s="84"/>
      <c r="O1603" s="84"/>
      <c r="P1603" s="84"/>
      <c r="Q1603" s="84"/>
      <c r="R1603" s="84"/>
    </row>
    <row r="1604" ht="15.75" customHeight="1">
      <c r="A1604" s="125"/>
      <c r="B1604" s="125"/>
      <c r="C1604" s="125"/>
      <c r="D1604" s="125"/>
      <c r="E1604" s="126"/>
      <c r="F1604" s="126"/>
      <c r="G1604" s="125"/>
      <c r="H1604" s="125"/>
      <c r="I1604" s="99"/>
      <c r="K1604" s="84"/>
      <c r="L1604" s="84"/>
      <c r="M1604" s="84"/>
      <c r="N1604" s="84"/>
      <c r="O1604" s="84"/>
      <c r="P1604" s="84"/>
      <c r="Q1604" s="84"/>
      <c r="R1604" s="84"/>
    </row>
    <row r="1605" ht="15.75" customHeight="1">
      <c r="A1605" s="125"/>
      <c r="B1605" s="125"/>
      <c r="C1605" s="125"/>
      <c r="D1605" s="125"/>
      <c r="E1605" s="126"/>
      <c r="F1605" s="126"/>
      <c r="G1605" s="125"/>
      <c r="H1605" s="125"/>
      <c r="I1605" s="99"/>
      <c r="K1605" s="84"/>
      <c r="L1605" s="84"/>
      <c r="M1605" s="84"/>
      <c r="N1605" s="84"/>
      <c r="O1605" s="84"/>
      <c r="P1605" s="84"/>
      <c r="Q1605" s="84"/>
      <c r="R1605" s="84"/>
    </row>
    <row r="1606" ht="15.75" customHeight="1">
      <c r="A1606" s="125"/>
      <c r="B1606" s="125"/>
      <c r="C1606" s="125"/>
      <c r="D1606" s="125"/>
      <c r="E1606" s="126"/>
      <c r="F1606" s="126"/>
      <c r="G1606" s="125"/>
      <c r="H1606" s="125"/>
      <c r="I1606" s="99"/>
      <c r="K1606" s="84"/>
      <c r="L1606" s="84"/>
      <c r="M1606" s="84"/>
      <c r="N1606" s="84"/>
      <c r="O1606" s="84"/>
      <c r="P1606" s="84"/>
      <c r="Q1606" s="84"/>
      <c r="R1606" s="84"/>
    </row>
    <row r="1607" ht="15.75" customHeight="1">
      <c r="A1607" s="125"/>
      <c r="B1607" s="125"/>
      <c r="C1607" s="125"/>
      <c r="D1607" s="125"/>
      <c r="E1607" s="126"/>
      <c r="F1607" s="126"/>
      <c r="G1607" s="125"/>
      <c r="H1607" s="125"/>
      <c r="I1607" s="99"/>
      <c r="K1607" s="84"/>
      <c r="L1607" s="84"/>
      <c r="M1607" s="84"/>
      <c r="N1607" s="84"/>
      <c r="O1607" s="84"/>
      <c r="P1607" s="84"/>
      <c r="Q1607" s="84"/>
      <c r="R1607" s="84"/>
    </row>
    <row r="1608" ht="15.75" customHeight="1">
      <c r="A1608" s="125"/>
      <c r="B1608" s="125"/>
      <c r="C1608" s="125"/>
      <c r="D1608" s="125"/>
      <c r="E1608" s="126"/>
      <c r="F1608" s="126"/>
      <c r="G1608" s="125"/>
      <c r="H1608" s="125"/>
      <c r="I1608" s="99"/>
      <c r="K1608" s="84"/>
      <c r="L1608" s="84"/>
      <c r="M1608" s="84"/>
      <c r="N1608" s="84"/>
      <c r="O1608" s="84"/>
      <c r="P1608" s="84"/>
      <c r="Q1608" s="84"/>
      <c r="R1608" s="84"/>
    </row>
    <row r="1609" ht="15.75" customHeight="1">
      <c r="A1609" s="125"/>
      <c r="B1609" s="125"/>
      <c r="C1609" s="125"/>
      <c r="D1609" s="125"/>
      <c r="E1609" s="126"/>
      <c r="F1609" s="126"/>
      <c r="G1609" s="125"/>
      <c r="H1609" s="125"/>
      <c r="I1609" s="99"/>
      <c r="K1609" s="84"/>
      <c r="L1609" s="84"/>
      <c r="M1609" s="84"/>
      <c r="N1609" s="84"/>
      <c r="O1609" s="84"/>
      <c r="P1609" s="84"/>
      <c r="Q1609" s="84"/>
      <c r="R1609" s="84"/>
    </row>
    <row r="1610" ht="15.75" customHeight="1">
      <c r="A1610" s="125"/>
      <c r="B1610" s="125"/>
      <c r="C1610" s="125"/>
      <c r="D1610" s="125"/>
      <c r="E1610" s="126"/>
      <c r="F1610" s="126"/>
      <c r="G1610" s="125"/>
      <c r="H1610" s="125"/>
      <c r="I1610" s="99"/>
      <c r="K1610" s="84"/>
      <c r="L1610" s="84"/>
      <c r="M1610" s="84"/>
      <c r="N1610" s="84"/>
      <c r="O1610" s="84"/>
      <c r="P1610" s="84"/>
      <c r="Q1610" s="84"/>
      <c r="R1610" s="84"/>
    </row>
    <row r="1611" ht="15.75" customHeight="1">
      <c r="A1611" s="125"/>
      <c r="B1611" s="125"/>
      <c r="C1611" s="125"/>
      <c r="D1611" s="125"/>
      <c r="E1611" s="126"/>
      <c r="F1611" s="126"/>
      <c r="G1611" s="125"/>
      <c r="H1611" s="125"/>
      <c r="I1611" s="99"/>
      <c r="K1611" s="84"/>
      <c r="L1611" s="84"/>
      <c r="M1611" s="84"/>
      <c r="N1611" s="84"/>
      <c r="O1611" s="84"/>
      <c r="P1611" s="84"/>
      <c r="Q1611" s="84"/>
      <c r="R1611" s="84"/>
    </row>
    <row r="1612" ht="15.75" customHeight="1">
      <c r="A1612" s="125"/>
      <c r="B1612" s="125"/>
      <c r="C1612" s="125"/>
      <c r="D1612" s="125"/>
      <c r="E1612" s="126"/>
      <c r="F1612" s="126"/>
      <c r="G1612" s="125"/>
      <c r="H1612" s="125"/>
      <c r="I1612" s="99"/>
      <c r="K1612" s="84"/>
      <c r="L1612" s="84"/>
      <c r="M1612" s="84"/>
      <c r="N1612" s="84"/>
      <c r="O1612" s="84"/>
      <c r="P1612" s="84"/>
      <c r="Q1612" s="84"/>
      <c r="R1612" s="84"/>
    </row>
    <row r="1613" ht="15.75" customHeight="1">
      <c r="A1613" s="125"/>
      <c r="B1613" s="125"/>
      <c r="C1613" s="125"/>
      <c r="D1613" s="125"/>
      <c r="E1613" s="126"/>
      <c r="F1613" s="126"/>
      <c r="G1613" s="125"/>
      <c r="H1613" s="125"/>
      <c r="I1613" s="99"/>
      <c r="K1613" s="84"/>
      <c r="L1613" s="84"/>
      <c r="M1613" s="84"/>
      <c r="N1613" s="84"/>
      <c r="O1613" s="84"/>
      <c r="P1613" s="84"/>
      <c r="Q1613" s="84"/>
      <c r="R1613" s="84"/>
    </row>
    <row r="1614" ht="15.75" customHeight="1">
      <c r="A1614" s="125"/>
      <c r="B1614" s="125"/>
      <c r="C1614" s="125"/>
      <c r="D1614" s="125"/>
      <c r="E1614" s="126"/>
      <c r="F1614" s="126"/>
      <c r="G1614" s="125"/>
      <c r="H1614" s="125"/>
      <c r="I1614" s="99"/>
      <c r="K1614" s="84"/>
      <c r="L1614" s="84"/>
      <c r="M1614" s="84"/>
      <c r="N1614" s="84"/>
      <c r="O1614" s="84"/>
      <c r="P1614" s="84"/>
      <c r="Q1614" s="84"/>
      <c r="R1614" s="84"/>
    </row>
    <row r="1615" ht="15.75" customHeight="1">
      <c r="A1615" s="125"/>
      <c r="B1615" s="125"/>
      <c r="C1615" s="125"/>
      <c r="D1615" s="125"/>
      <c r="E1615" s="126"/>
      <c r="F1615" s="126"/>
      <c r="G1615" s="125"/>
      <c r="H1615" s="125"/>
      <c r="I1615" s="99"/>
      <c r="K1615" s="84"/>
      <c r="L1615" s="84"/>
      <c r="M1615" s="84"/>
      <c r="N1615" s="84"/>
      <c r="O1615" s="84"/>
      <c r="P1615" s="84"/>
      <c r="Q1615" s="84"/>
      <c r="R1615" s="84"/>
    </row>
    <row r="1616" ht="15.75" customHeight="1">
      <c r="A1616" s="125"/>
      <c r="B1616" s="125"/>
      <c r="C1616" s="125"/>
      <c r="D1616" s="125"/>
      <c r="E1616" s="126"/>
      <c r="F1616" s="126"/>
      <c r="G1616" s="125"/>
      <c r="H1616" s="125"/>
      <c r="I1616" s="99"/>
      <c r="K1616" s="84"/>
      <c r="L1616" s="84"/>
      <c r="M1616" s="84"/>
      <c r="N1616" s="84"/>
      <c r="O1616" s="84"/>
      <c r="P1616" s="84"/>
      <c r="Q1616" s="84"/>
      <c r="R1616" s="84"/>
    </row>
    <row r="1617" ht="15.75" customHeight="1">
      <c r="A1617" s="125"/>
      <c r="B1617" s="125"/>
      <c r="C1617" s="125"/>
      <c r="D1617" s="125"/>
      <c r="E1617" s="126"/>
      <c r="F1617" s="126"/>
      <c r="G1617" s="125"/>
      <c r="H1617" s="125"/>
      <c r="I1617" s="99"/>
      <c r="K1617" s="84"/>
      <c r="L1617" s="84"/>
      <c r="M1617" s="84"/>
      <c r="N1617" s="84"/>
      <c r="O1617" s="84"/>
      <c r="P1617" s="84"/>
      <c r="Q1617" s="84"/>
      <c r="R1617" s="84"/>
    </row>
    <row r="1618" ht="15.75" customHeight="1">
      <c r="A1618" s="125"/>
      <c r="B1618" s="125"/>
      <c r="C1618" s="125"/>
      <c r="D1618" s="125"/>
      <c r="E1618" s="126"/>
      <c r="F1618" s="126"/>
      <c r="G1618" s="125"/>
      <c r="H1618" s="125"/>
      <c r="I1618" s="99"/>
      <c r="K1618" s="84"/>
      <c r="L1618" s="84"/>
      <c r="M1618" s="84"/>
      <c r="N1618" s="84"/>
      <c r="O1618" s="84"/>
      <c r="P1618" s="84"/>
      <c r="Q1618" s="84"/>
      <c r="R1618" s="84"/>
    </row>
    <row r="1619" ht="15.75" customHeight="1">
      <c r="A1619" s="125"/>
      <c r="B1619" s="125"/>
      <c r="C1619" s="125"/>
      <c r="D1619" s="125"/>
      <c r="E1619" s="126"/>
      <c r="F1619" s="126"/>
      <c r="G1619" s="125"/>
      <c r="H1619" s="125"/>
      <c r="I1619" s="99"/>
      <c r="K1619" s="84"/>
      <c r="L1619" s="84"/>
      <c r="M1619" s="84"/>
      <c r="N1619" s="84"/>
      <c r="O1619" s="84"/>
      <c r="P1619" s="84"/>
      <c r="Q1619" s="84"/>
      <c r="R1619" s="84"/>
    </row>
    <row r="1620" ht="15.75" customHeight="1">
      <c r="A1620" s="125"/>
      <c r="B1620" s="125"/>
      <c r="C1620" s="125"/>
      <c r="D1620" s="125"/>
      <c r="E1620" s="126"/>
      <c r="F1620" s="126"/>
      <c r="G1620" s="125"/>
      <c r="H1620" s="125"/>
      <c r="I1620" s="99"/>
      <c r="K1620" s="84"/>
      <c r="L1620" s="84"/>
      <c r="M1620" s="84"/>
      <c r="N1620" s="84"/>
      <c r="O1620" s="84"/>
      <c r="P1620" s="84"/>
      <c r="Q1620" s="84"/>
      <c r="R1620" s="84"/>
    </row>
    <row r="1621" ht="15.75" customHeight="1">
      <c r="A1621" s="125"/>
      <c r="B1621" s="125"/>
      <c r="C1621" s="125"/>
      <c r="D1621" s="125"/>
      <c r="E1621" s="126"/>
      <c r="F1621" s="126"/>
      <c r="G1621" s="125"/>
      <c r="H1621" s="125"/>
      <c r="I1621" s="99"/>
      <c r="K1621" s="84"/>
      <c r="L1621" s="84"/>
      <c r="M1621" s="84"/>
      <c r="N1621" s="84"/>
      <c r="O1621" s="84"/>
      <c r="P1621" s="84"/>
      <c r="Q1621" s="84"/>
      <c r="R1621" s="84"/>
    </row>
    <row r="1622" ht="15.75" customHeight="1">
      <c r="A1622" s="125"/>
      <c r="B1622" s="125"/>
      <c r="C1622" s="125"/>
      <c r="D1622" s="125"/>
      <c r="E1622" s="126"/>
      <c r="F1622" s="126"/>
      <c r="G1622" s="125"/>
      <c r="H1622" s="125"/>
      <c r="I1622" s="99"/>
      <c r="K1622" s="84"/>
      <c r="L1622" s="84"/>
      <c r="M1622" s="84"/>
      <c r="N1622" s="84"/>
      <c r="O1622" s="84"/>
      <c r="P1622" s="84"/>
      <c r="Q1622" s="84"/>
      <c r="R1622" s="84"/>
    </row>
    <row r="1623" ht="15.75" customHeight="1">
      <c r="A1623" s="125"/>
      <c r="B1623" s="125"/>
      <c r="C1623" s="125"/>
      <c r="D1623" s="125"/>
      <c r="E1623" s="126"/>
      <c r="F1623" s="126"/>
      <c r="G1623" s="125"/>
      <c r="H1623" s="125"/>
      <c r="I1623" s="99"/>
      <c r="K1623" s="84"/>
      <c r="L1623" s="84"/>
      <c r="M1623" s="84"/>
      <c r="N1623" s="84"/>
      <c r="O1623" s="84"/>
      <c r="P1623" s="84"/>
      <c r="Q1623" s="84"/>
      <c r="R1623" s="84"/>
    </row>
    <row r="1624" ht="15.75" customHeight="1">
      <c r="A1624" s="125"/>
      <c r="B1624" s="125"/>
      <c r="C1624" s="125"/>
      <c r="D1624" s="125"/>
      <c r="E1624" s="126"/>
      <c r="F1624" s="126"/>
      <c r="G1624" s="125"/>
      <c r="H1624" s="125"/>
      <c r="I1624" s="99"/>
      <c r="K1624" s="84"/>
      <c r="L1624" s="84"/>
      <c r="M1624" s="84"/>
      <c r="N1624" s="84"/>
      <c r="O1624" s="84"/>
      <c r="P1624" s="84"/>
      <c r="Q1624" s="84"/>
      <c r="R1624" s="84"/>
    </row>
    <row r="1625" ht="15.75" customHeight="1">
      <c r="A1625" s="125"/>
      <c r="B1625" s="125"/>
      <c r="C1625" s="125"/>
      <c r="D1625" s="125"/>
      <c r="E1625" s="126"/>
      <c r="F1625" s="126"/>
      <c r="G1625" s="125"/>
      <c r="H1625" s="125"/>
      <c r="I1625" s="99"/>
      <c r="K1625" s="84"/>
      <c r="L1625" s="84"/>
      <c r="M1625" s="84"/>
      <c r="N1625" s="84"/>
      <c r="O1625" s="84"/>
      <c r="P1625" s="84"/>
      <c r="Q1625" s="84"/>
      <c r="R1625" s="84"/>
    </row>
    <row r="1626" ht="15.75" customHeight="1">
      <c r="A1626" s="125"/>
      <c r="B1626" s="125"/>
      <c r="C1626" s="125"/>
      <c r="D1626" s="125"/>
      <c r="E1626" s="126"/>
      <c r="F1626" s="126"/>
      <c r="G1626" s="125"/>
      <c r="H1626" s="125"/>
      <c r="I1626" s="99"/>
      <c r="K1626" s="84"/>
      <c r="L1626" s="84"/>
      <c r="M1626" s="84"/>
      <c r="N1626" s="84"/>
      <c r="O1626" s="84"/>
      <c r="P1626" s="84"/>
      <c r="Q1626" s="84"/>
      <c r="R1626" s="84"/>
    </row>
    <row r="1627" ht="15.75" customHeight="1">
      <c r="A1627" s="125"/>
      <c r="B1627" s="125"/>
      <c r="C1627" s="125"/>
      <c r="D1627" s="125"/>
      <c r="E1627" s="126"/>
      <c r="F1627" s="126"/>
      <c r="G1627" s="125"/>
      <c r="H1627" s="125"/>
      <c r="I1627" s="99"/>
      <c r="K1627" s="84"/>
      <c r="L1627" s="84"/>
      <c r="M1627" s="84"/>
      <c r="N1627" s="84"/>
      <c r="O1627" s="84"/>
      <c r="P1627" s="84"/>
      <c r="Q1627" s="84"/>
      <c r="R1627" s="84"/>
    </row>
    <row r="1628" ht="15.75" customHeight="1">
      <c r="A1628" s="125"/>
      <c r="B1628" s="125"/>
      <c r="C1628" s="125"/>
      <c r="D1628" s="125"/>
      <c r="E1628" s="126"/>
      <c r="F1628" s="126"/>
      <c r="G1628" s="125"/>
      <c r="H1628" s="125"/>
      <c r="I1628" s="99"/>
      <c r="K1628" s="84"/>
      <c r="L1628" s="84"/>
      <c r="M1628" s="84"/>
      <c r="N1628" s="84"/>
      <c r="O1628" s="84"/>
      <c r="P1628" s="84"/>
      <c r="Q1628" s="84"/>
      <c r="R1628" s="84"/>
    </row>
    <row r="1629" ht="15.75" customHeight="1">
      <c r="A1629" s="125"/>
      <c r="B1629" s="125"/>
      <c r="C1629" s="125"/>
      <c r="D1629" s="125"/>
      <c r="E1629" s="126"/>
      <c r="F1629" s="126"/>
      <c r="G1629" s="125"/>
      <c r="H1629" s="125"/>
      <c r="I1629" s="99"/>
      <c r="K1629" s="84"/>
      <c r="L1629" s="84"/>
      <c r="M1629" s="84"/>
      <c r="N1629" s="84"/>
      <c r="O1629" s="84"/>
      <c r="P1629" s="84"/>
      <c r="Q1629" s="84"/>
      <c r="R1629" s="84"/>
    </row>
    <row r="1630" ht="15.75" customHeight="1">
      <c r="A1630" s="125"/>
      <c r="B1630" s="125"/>
      <c r="C1630" s="125"/>
      <c r="D1630" s="125"/>
      <c r="E1630" s="126"/>
      <c r="F1630" s="126"/>
      <c r="G1630" s="125"/>
      <c r="H1630" s="125"/>
      <c r="I1630" s="99"/>
      <c r="K1630" s="84"/>
      <c r="L1630" s="84"/>
      <c r="M1630" s="84"/>
      <c r="N1630" s="84"/>
      <c r="O1630" s="84"/>
      <c r="P1630" s="84"/>
      <c r="Q1630" s="84"/>
      <c r="R1630" s="84"/>
    </row>
    <row r="1631" ht="15.75" customHeight="1">
      <c r="A1631" s="125"/>
      <c r="B1631" s="125"/>
      <c r="C1631" s="125"/>
      <c r="D1631" s="125"/>
      <c r="E1631" s="126"/>
      <c r="F1631" s="126"/>
      <c r="G1631" s="125"/>
      <c r="H1631" s="125"/>
      <c r="I1631" s="99"/>
      <c r="K1631" s="84"/>
      <c r="L1631" s="84"/>
      <c r="M1631" s="84"/>
      <c r="N1631" s="84"/>
      <c r="O1631" s="84"/>
      <c r="P1631" s="84"/>
      <c r="Q1631" s="84"/>
      <c r="R1631" s="84"/>
    </row>
    <row r="1632" ht="15.75" customHeight="1">
      <c r="A1632" s="125"/>
      <c r="B1632" s="125"/>
      <c r="C1632" s="125"/>
      <c r="D1632" s="125"/>
      <c r="E1632" s="126"/>
      <c r="F1632" s="126"/>
      <c r="G1632" s="125"/>
      <c r="H1632" s="125"/>
      <c r="I1632" s="99"/>
      <c r="K1632" s="84"/>
      <c r="L1632" s="84"/>
      <c r="M1632" s="84"/>
      <c r="N1632" s="84"/>
      <c r="O1632" s="84"/>
      <c r="P1632" s="84"/>
      <c r="Q1632" s="84"/>
      <c r="R1632" s="84"/>
    </row>
    <row r="1633" ht="15.75" customHeight="1">
      <c r="A1633" s="125"/>
      <c r="B1633" s="125"/>
      <c r="C1633" s="125"/>
      <c r="D1633" s="125"/>
      <c r="E1633" s="126"/>
      <c r="F1633" s="126"/>
      <c r="G1633" s="125"/>
      <c r="H1633" s="125"/>
      <c r="I1633" s="99"/>
      <c r="K1633" s="84"/>
      <c r="L1633" s="84"/>
      <c r="M1633" s="84"/>
      <c r="N1633" s="84"/>
      <c r="O1633" s="84"/>
      <c r="P1633" s="84"/>
      <c r="Q1633" s="84"/>
      <c r="R1633" s="84"/>
    </row>
    <row r="1634" ht="15.75" customHeight="1">
      <c r="A1634" s="125"/>
      <c r="B1634" s="125"/>
      <c r="C1634" s="125"/>
      <c r="D1634" s="125"/>
      <c r="E1634" s="126"/>
      <c r="F1634" s="126"/>
      <c r="G1634" s="125"/>
      <c r="H1634" s="125"/>
      <c r="I1634" s="99"/>
      <c r="K1634" s="84"/>
      <c r="L1634" s="84"/>
      <c r="M1634" s="84"/>
      <c r="N1634" s="84"/>
      <c r="O1634" s="84"/>
      <c r="P1634" s="84"/>
      <c r="Q1634" s="84"/>
      <c r="R1634" s="84"/>
    </row>
    <row r="1635" ht="15.75" customHeight="1">
      <c r="A1635" s="125"/>
      <c r="B1635" s="125"/>
      <c r="C1635" s="125"/>
      <c r="D1635" s="125"/>
      <c r="E1635" s="126"/>
      <c r="F1635" s="126"/>
      <c r="G1635" s="125"/>
      <c r="H1635" s="125"/>
      <c r="I1635" s="99"/>
      <c r="K1635" s="84"/>
      <c r="L1635" s="84"/>
      <c r="M1635" s="84"/>
      <c r="N1635" s="84"/>
      <c r="O1635" s="84"/>
      <c r="P1635" s="84"/>
      <c r="Q1635" s="84"/>
      <c r="R1635" s="84"/>
    </row>
    <row r="1636" ht="15.75" customHeight="1">
      <c r="A1636" s="125"/>
      <c r="B1636" s="125"/>
      <c r="C1636" s="125"/>
      <c r="D1636" s="125"/>
      <c r="E1636" s="126"/>
      <c r="F1636" s="126"/>
      <c r="G1636" s="125"/>
      <c r="H1636" s="125"/>
      <c r="I1636" s="99"/>
      <c r="K1636" s="84"/>
      <c r="L1636" s="84"/>
      <c r="M1636" s="84"/>
      <c r="N1636" s="84"/>
      <c r="O1636" s="84"/>
      <c r="P1636" s="84"/>
      <c r="Q1636" s="84"/>
      <c r="R1636" s="84"/>
    </row>
    <row r="1637" ht="15.75" customHeight="1">
      <c r="A1637" s="125"/>
      <c r="B1637" s="125"/>
      <c r="C1637" s="125"/>
      <c r="D1637" s="125"/>
      <c r="E1637" s="126"/>
      <c r="F1637" s="126"/>
      <c r="G1637" s="125"/>
      <c r="H1637" s="125"/>
      <c r="I1637" s="99"/>
      <c r="K1637" s="84"/>
      <c r="L1637" s="84"/>
      <c r="M1637" s="84"/>
      <c r="N1637" s="84"/>
      <c r="O1637" s="84"/>
      <c r="P1637" s="84"/>
      <c r="Q1637" s="84"/>
      <c r="R1637" s="84"/>
    </row>
    <row r="1638" ht="15.75" customHeight="1">
      <c r="A1638" s="125"/>
      <c r="B1638" s="125"/>
      <c r="C1638" s="125"/>
      <c r="D1638" s="125"/>
      <c r="E1638" s="126"/>
      <c r="F1638" s="126"/>
      <c r="G1638" s="125"/>
      <c r="H1638" s="125"/>
      <c r="I1638" s="99"/>
      <c r="K1638" s="84"/>
      <c r="L1638" s="84"/>
      <c r="M1638" s="84"/>
      <c r="N1638" s="84"/>
      <c r="O1638" s="84"/>
      <c r="P1638" s="84"/>
      <c r="Q1638" s="84"/>
      <c r="R1638" s="84"/>
    </row>
    <row r="1639" ht="15.75" customHeight="1">
      <c r="A1639" s="125"/>
      <c r="B1639" s="125"/>
      <c r="C1639" s="125"/>
      <c r="D1639" s="125"/>
      <c r="E1639" s="126"/>
      <c r="F1639" s="126"/>
      <c r="G1639" s="125"/>
      <c r="H1639" s="125"/>
      <c r="I1639" s="99"/>
      <c r="K1639" s="84"/>
      <c r="L1639" s="84"/>
      <c r="M1639" s="84"/>
      <c r="N1639" s="84"/>
      <c r="O1639" s="84"/>
      <c r="P1639" s="84"/>
      <c r="Q1639" s="84"/>
      <c r="R1639" s="84"/>
    </row>
    <row r="1640" ht="15.75" customHeight="1">
      <c r="A1640" s="125"/>
      <c r="B1640" s="125"/>
      <c r="C1640" s="125"/>
      <c r="D1640" s="125"/>
      <c r="E1640" s="126"/>
      <c r="F1640" s="126"/>
      <c r="G1640" s="125"/>
      <c r="H1640" s="125"/>
      <c r="I1640" s="99"/>
      <c r="K1640" s="84"/>
      <c r="L1640" s="84"/>
      <c r="M1640" s="84"/>
      <c r="N1640" s="84"/>
      <c r="O1640" s="84"/>
      <c r="P1640" s="84"/>
      <c r="Q1640" s="84"/>
      <c r="R1640" s="84"/>
    </row>
    <row r="1641" ht="15.75" customHeight="1">
      <c r="A1641" s="125"/>
      <c r="B1641" s="125"/>
      <c r="C1641" s="125"/>
      <c r="D1641" s="125"/>
      <c r="E1641" s="126"/>
      <c r="F1641" s="126"/>
      <c r="G1641" s="125"/>
      <c r="H1641" s="125"/>
      <c r="I1641" s="99"/>
      <c r="K1641" s="84"/>
      <c r="L1641" s="84"/>
      <c r="M1641" s="84"/>
      <c r="N1641" s="84"/>
      <c r="O1641" s="84"/>
      <c r="P1641" s="84"/>
      <c r="Q1641" s="84"/>
      <c r="R1641" s="84"/>
    </row>
    <row r="1642" ht="15.75" customHeight="1">
      <c r="A1642" s="125"/>
      <c r="B1642" s="125"/>
      <c r="C1642" s="125"/>
      <c r="D1642" s="125"/>
      <c r="E1642" s="126"/>
      <c r="F1642" s="126"/>
      <c r="G1642" s="125"/>
      <c r="H1642" s="125"/>
      <c r="I1642" s="99"/>
      <c r="K1642" s="84"/>
      <c r="L1642" s="84"/>
      <c r="M1642" s="84"/>
      <c r="N1642" s="84"/>
      <c r="O1642" s="84"/>
      <c r="P1642" s="84"/>
      <c r="Q1642" s="84"/>
      <c r="R1642" s="84"/>
    </row>
    <row r="1643" ht="15.75" customHeight="1">
      <c r="A1643" s="125"/>
      <c r="B1643" s="125"/>
      <c r="C1643" s="125"/>
      <c r="D1643" s="125"/>
      <c r="E1643" s="126"/>
      <c r="F1643" s="126"/>
      <c r="G1643" s="125"/>
      <c r="H1643" s="125"/>
      <c r="I1643" s="99"/>
      <c r="K1643" s="84"/>
      <c r="L1643" s="84"/>
      <c r="M1643" s="84"/>
      <c r="N1643" s="84"/>
      <c r="O1643" s="84"/>
      <c r="P1643" s="84"/>
      <c r="Q1643" s="84"/>
      <c r="R1643" s="84"/>
    </row>
    <row r="1644" ht="15.75" customHeight="1">
      <c r="A1644" s="125"/>
      <c r="B1644" s="125"/>
      <c r="C1644" s="125"/>
      <c r="D1644" s="125"/>
      <c r="E1644" s="126"/>
      <c r="F1644" s="126"/>
      <c r="G1644" s="125"/>
      <c r="H1644" s="125"/>
      <c r="I1644" s="99"/>
      <c r="K1644" s="84"/>
      <c r="L1644" s="84"/>
      <c r="M1644" s="84"/>
      <c r="N1644" s="84"/>
      <c r="O1644" s="84"/>
      <c r="P1644" s="84"/>
      <c r="Q1644" s="84"/>
      <c r="R1644" s="84"/>
    </row>
    <row r="1645" ht="15.75" customHeight="1">
      <c r="A1645" s="125"/>
      <c r="B1645" s="125"/>
      <c r="C1645" s="125"/>
      <c r="D1645" s="125"/>
      <c r="E1645" s="126"/>
      <c r="F1645" s="126"/>
      <c r="G1645" s="125"/>
      <c r="H1645" s="125"/>
      <c r="I1645" s="99"/>
      <c r="K1645" s="84"/>
      <c r="L1645" s="84"/>
      <c r="M1645" s="84"/>
      <c r="N1645" s="84"/>
      <c r="O1645" s="84"/>
      <c r="P1645" s="84"/>
      <c r="Q1645" s="84"/>
      <c r="R1645" s="84"/>
    </row>
    <row r="1646" ht="15.75" customHeight="1">
      <c r="A1646" s="125"/>
      <c r="B1646" s="125"/>
      <c r="C1646" s="125"/>
      <c r="D1646" s="125"/>
      <c r="E1646" s="126"/>
      <c r="F1646" s="126"/>
      <c r="G1646" s="125"/>
      <c r="H1646" s="125"/>
      <c r="I1646" s="99"/>
      <c r="K1646" s="84"/>
      <c r="L1646" s="84"/>
      <c r="M1646" s="84"/>
      <c r="N1646" s="84"/>
      <c r="O1646" s="84"/>
      <c r="P1646" s="84"/>
      <c r="Q1646" s="84"/>
      <c r="R1646" s="84"/>
    </row>
    <row r="1647" ht="15.75" customHeight="1">
      <c r="A1647" s="125"/>
      <c r="B1647" s="125"/>
      <c r="C1647" s="125"/>
      <c r="D1647" s="125"/>
      <c r="E1647" s="126"/>
      <c r="F1647" s="126"/>
      <c r="G1647" s="125"/>
      <c r="H1647" s="125"/>
      <c r="I1647" s="99"/>
      <c r="K1647" s="84"/>
      <c r="L1647" s="84"/>
      <c r="M1647" s="84"/>
      <c r="N1647" s="84"/>
      <c r="O1647" s="84"/>
      <c r="P1647" s="84"/>
      <c r="Q1647" s="84"/>
      <c r="R1647" s="84"/>
    </row>
    <row r="1648" ht="15.75" customHeight="1">
      <c r="A1648" s="125"/>
      <c r="B1648" s="125"/>
      <c r="C1648" s="125"/>
      <c r="D1648" s="125"/>
      <c r="E1648" s="126"/>
      <c r="F1648" s="126"/>
      <c r="G1648" s="125"/>
      <c r="H1648" s="125"/>
      <c r="I1648" s="99"/>
      <c r="K1648" s="84"/>
      <c r="L1648" s="84"/>
      <c r="M1648" s="84"/>
      <c r="N1648" s="84"/>
      <c r="O1648" s="84"/>
      <c r="P1648" s="84"/>
      <c r="Q1648" s="84"/>
      <c r="R1648" s="84"/>
    </row>
    <row r="1649" ht="15.75" customHeight="1">
      <c r="A1649" s="125"/>
      <c r="B1649" s="125"/>
      <c r="C1649" s="125"/>
      <c r="D1649" s="125"/>
      <c r="E1649" s="126"/>
      <c r="F1649" s="126"/>
      <c r="G1649" s="125"/>
      <c r="H1649" s="125"/>
      <c r="I1649" s="99"/>
      <c r="K1649" s="84"/>
      <c r="L1649" s="84"/>
      <c r="M1649" s="84"/>
      <c r="N1649" s="84"/>
      <c r="O1649" s="84"/>
      <c r="P1649" s="84"/>
      <c r="Q1649" s="84"/>
      <c r="R1649" s="84"/>
    </row>
    <row r="1650" ht="15.75" customHeight="1">
      <c r="A1650" s="125"/>
      <c r="B1650" s="125"/>
      <c r="C1650" s="125"/>
      <c r="D1650" s="125"/>
      <c r="E1650" s="126"/>
      <c r="F1650" s="126"/>
      <c r="G1650" s="125"/>
      <c r="H1650" s="125"/>
      <c r="I1650" s="99"/>
      <c r="K1650" s="84"/>
      <c r="L1650" s="84"/>
      <c r="M1650" s="84"/>
      <c r="N1650" s="84"/>
      <c r="O1650" s="84"/>
      <c r="P1650" s="84"/>
      <c r="Q1650" s="84"/>
      <c r="R1650" s="84"/>
    </row>
    <row r="1651" ht="15.75" customHeight="1">
      <c r="A1651" s="125"/>
      <c r="B1651" s="125"/>
      <c r="C1651" s="125"/>
      <c r="D1651" s="125"/>
      <c r="E1651" s="126"/>
      <c r="F1651" s="126"/>
      <c r="G1651" s="125"/>
      <c r="H1651" s="125"/>
      <c r="I1651" s="99"/>
      <c r="K1651" s="84"/>
      <c r="L1651" s="84"/>
      <c r="M1651" s="84"/>
      <c r="N1651" s="84"/>
      <c r="O1651" s="84"/>
      <c r="P1651" s="84"/>
      <c r="Q1651" s="84"/>
      <c r="R1651" s="84"/>
    </row>
    <row r="1652" ht="15.75" customHeight="1">
      <c r="A1652" s="125"/>
      <c r="B1652" s="125"/>
      <c r="C1652" s="125"/>
      <c r="D1652" s="125"/>
      <c r="E1652" s="126"/>
      <c r="F1652" s="126"/>
      <c r="G1652" s="125"/>
      <c r="H1652" s="125"/>
      <c r="I1652" s="99"/>
      <c r="K1652" s="84"/>
      <c r="L1652" s="84"/>
      <c r="M1652" s="84"/>
      <c r="N1652" s="84"/>
      <c r="O1652" s="84"/>
      <c r="P1652" s="84"/>
      <c r="Q1652" s="84"/>
      <c r="R1652" s="84"/>
    </row>
    <row r="1653" ht="15.75" customHeight="1">
      <c r="A1653" s="125"/>
      <c r="B1653" s="125"/>
      <c r="C1653" s="125"/>
      <c r="D1653" s="125"/>
      <c r="E1653" s="126"/>
      <c r="F1653" s="126"/>
      <c r="G1653" s="125"/>
      <c r="H1653" s="125"/>
      <c r="I1653" s="99"/>
      <c r="K1653" s="84"/>
      <c r="L1653" s="84"/>
      <c r="M1653" s="84"/>
      <c r="N1653" s="84"/>
      <c r="O1653" s="84"/>
      <c r="P1653" s="84"/>
      <c r="Q1653" s="84"/>
      <c r="R1653" s="84"/>
    </row>
    <row r="1654" ht="15.75" customHeight="1">
      <c r="A1654" s="125"/>
      <c r="B1654" s="125"/>
      <c r="C1654" s="125"/>
      <c r="D1654" s="125"/>
      <c r="E1654" s="126"/>
      <c r="F1654" s="126"/>
      <c r="G1654" s="125"/>
      <c r="H1654" s="125"/>
      <c r="I1654" s="99"/>
      <c r="K1654" s="84"/>
      <c r="L1654" s="84"/>
      <c r="M1654" s="84"/>
      <c r="N1654" s="84"/>
      <c r="O1654" s="84"/>
      <c r="P1654" s="84"/>
      <c r="Q1654" s="84"/>
      <c r="R1654" s="84"/>
    </row>
    <row r="1655" ht="15.75" customHeight="1">
      <c r="A1655" s="125"/>
      <c r="B1655" s="125"/>
      <c r="C1655" s="125"/>
      <c r="D1655" s="125"/>
      <c r="E1655" s="126"/>
      <c r="F1655" s="126"/>
      <c r="G1655" s="125"/>
      <c r="H1655" s="125"/>
      <c r="I1655" s="99"/>
      <c r="K1655" s="84"/>
      <c r="L1655" s="84"/>
      <c r="M1655" s="84"/>
      <c r="N1655" s="84"/>
      <c r="O1655" s="84"/>
      <c r="P1655" s="84"/>
      <c r="Q1655" s="84"/>
      <c r="R1655" s="84"/>
    </row>
    <row r="1656" ht="15.75" customHeight="1">
      <c r="A1656" s="125"/>
      <c r="B1656" s="125"/>
      <c r="C1656" s="125"/>
      <c r="D1656" s="125"/>
      <c r="E1656" s="126"/>
      <c r="F1656" s="126"/>
      <c r="G1656" s="125"/>
      <c r="H1656" s="125"/>
      <c r="I1656" s="99"/>
      <c r="K1656" s="84"/>
      <c r="L1656" s="84"/>
      <c r="M1656" s="84"/>
      <c r="N1656" s="84"/>
      <c r="O1656" s="84"/>
      <c r="P1656" s="84"/>
      <c r="Q1656" s="84"/>
      <c r="R1656" s="84"/>
    </row>
    <row r="1657" ht="15.75" customHeight="1">
      <c r="A1657" s="125"/>
      <c r="B1657" s="125"/>
      <c r="C1657" s="125"/>
      <c r="D1657" s="125"/>
      <c r="E1657" s="126"/>
      <c r="F1657" s="126"/>
      <c r="G1657" s="125"/>
      <c r="H1657" s="125"/>
      <c r="I1657" s="99"/>
      <c r="K1657" s="84"/>
      <c r="L1657" s="84"/>
      <c r="M1657" s="84"/>
      <c r="N1657" s="84"/>
      <c r="O1657" s="84"/>
      <c r="P1657" s="84"/>
      <c r="Q1657" s="84"/>
      <c r="R1657" s="84"/>
    </row>
    <row r="1658" ht="15.75" customHeight="1">
      <c r="A1658" s="125"/>
      <c r="B1658" s="125"/>
      <c r="C1658" s="125"/>
      <c r="D1658" s="125"/>
      <c r="E1658" s="126"/>
      <c r="F1658" s="126"/>
      <c r="G1658" s="125"/>
      <c r="H1658" s="125"/>
      <c r="I1658" s="99"/>
      <c r="K1658" s="84"/>
      <c r="L1658" s="84"/>
      <c r="M1658" s="84"/>
      <c r="N1658" s="84"/>
      <c r="O1658" s="84"/>
      <c r="P1658" s="84"/>
      <c r="Q1658" s="84"/>
      <c r="R1658" s="84"/>
    </row>
    <row r="1659" ht="15.75" customHeight="1">
      <c r="A1659" s="125"/>
      <c r="B1659" s="125"/>
      <c r="C1659" s="125"/>
      <c r="D1659" s="125"/>
      <c r="E1659" s="126"/>
      <c r="F1659" s="126"/>
      <c r="G1659" s="125"/>
      <c r="H1659" s="125"/>
      <c r="I1659" s="99"/>
      <c r="K1659" s="84"/>
      <c r="L1659" s="84"/>
      <c r="M1659" s="84"/>
      <c r="N1659" s="84"/>
      <c r="O1659" s="84"/>
      <c r="P1659" s="84"/>
      <c r="Q1659" s="84"/>
      <c r="R1659" s="84"/>
    </row>
    <row r="1660" ht="15.75" customHeight="1">
      <c r="A1660" s="125"/>
      <c r="B1660" s="125"/>
      <c r="C1660" s="125"/>
      <c r="D1660" s="125"/>
      <c r="E1660" s="126"/>
      <c r="F1660" s="126"/>
      <c r="G1660" s="125"/>
      <c r="H1660" s="125"/>
      <c r="I1660" s="99"/>
      <c r="K1660" s="84"/>
      <c r="L1660" s="84"/>
      <c r="M1660" s="84"/>
      <c r="N1660" s="84"/>
      <c r="O1660" s="84"/>
      <c r="P1660" s="84"/>
      <c r="Q1660" s="84"/>
      <c r="R1660" s="84"/>
    </row>
    <row r="1661" ht="15.75" customHeight="1">
      <c r="A1661" s="125"/>
      <c r="B1661" s="125"/>
      <c r="C1661" s="125"/>
      <c r="D1661" s="125"/>
      <c r="E1661" s="126"/>
      <c r="F1661" s="126"/>
      <c r="G1661" s="125"/>
      <c r="H1661" s="125"/>
      <c r="I1661" s="99"/>
      <c r="K1661" s="84"/>
      <c r="L1661" s="84"/>
      <c r="M1661" s="84"/>
      <c r="N1661" s="84"/>
      <c r="O1661" s="84"/>
      <c r="P1661" s="84"/>
      <c r="Q1661" s="84"/>
      <c r="R1661" s="84"/>
    </row>
    <row r="1662" ht="15.75" customHeight="1">
      <c r="A1662" s="125"/>
      <c r="B1662" s="125"/>
      <c r="C1662" s="125"/>
      <c r="D1662" s="125"/>
      <c r="E1662" s="126"/>
      <c r="F1662" s="126"/>
      <c r="G1662" s="125"/>
      <c r="H1662" s="125"/>
      <c r="I1662" s="99"/>
      <c r="K1662" s="84"/>
      <c r="L1662" s="84"/>
      <c r="M1662" s="84"/>
      <c r="N1662" s="84"/>
      <c r="O1662" s="84"/>
      <c r="P1662" s="84"/>
      <c r="Q1662" s="84"/>
      <c r="R1662" s="84"/>
    </row>
    <row r="1663" ht="15.75" customHeight="1">
      <c r="A1663" s="125"/>
      <c r="B1663" s="125"/>
      <c r="C1663" s="125"/>
      <c r="D1663" s="125"/>
      <c r="E1663" s="126"/>
      <c r="F1663" s="126"/>
      <c r="G1663" s="125"/>
      <c r="H1663" s="125"/>
      <c r="I1663" s="99"/>
      <c r="K1663" s="84"/>
      <c r="L1663" s="84"/>
      <c r="M1663" s="84"/>
      <c r="N1663" s="84"/>
      <c r="O1663" s="84"/>
      <c r="P1663" s="84"/>
      <c r="Q1663" s="84"/>
      <c r="R1663" s="84"/>
    </row>
    <row r="1664" ht="15.75" customHeight="1">
      <c r="A1664" s="125"/>
      <c r="B1664" s="125"/>
      <c r="C1664" s="125"/>
      <c r="D1664" s="125"/>
      <c r="E1664" s="126"/>
      <c r="F1664" s="126"/>
      <c r="G1664" s="125"/>
      <c r="H1664" s="125"/>
      <c r="I1664" s="99"/>
      <c r="K1664" s="84"/>
      <c r="L1664" s="84"/>
      <c r="M1664" s="84"/>
      <c r="N1664" s="84"/>
      <c r="O1664" s="84"/>
      <c r="P1664" s="84"/>
      <c r="Q1664" s="84"/>
      <c r="R1664" s="84"/>
    </row>
    <row r="1665" ht="15.75" customHeight="1">
      <c r="A1665" s="125"/>
      <c r="B1665" s="125"/>
      <c r="C1665" s="125"/>
      <c r="D1665" s="125"/>
      <c r="E1665" s="126"/>
      <c r="F1665" s="126"/>
      <c r="G1665" s="125"/>
      <c r="H1665" s="125"/>
      <c r="I1665" s="99"/>
      <c r="K1665" s="84"/>
      <c r="L1665" s="84"/>
      <c r="M1665" s="84"/>
      <c r="N1665" s="84"/>
      <c r="O1665" s="84"/>
      <c r="P1665" s="84"/>
      <c r="Q1665" s="84"/>
      <c r="R1665" s="84"/>
    </row>
    <row r="1666" ht="15.75" customHeight="1">
      <c r="A1666" s="125"/>
      <c r="B1666" s="125"/>
      <c r="C1666" s="125"/>
      <c r="D1666" s="125"/>
      <c r="E1666" s="126"/>
      <c r="F1666" s="126"/>
      <c r="G1666" s="125"/>
      <c r="H1666" s="125"/>
      <c r="I1666" s="99"/>
      <c r="K1666" s="84"/>
      <c r="L1666" s="84"/>
      <c r="M1666" s="84"/>
      <c r="N1666" s="84"/>
      <c r="O1666" s="84"/>
      <c r="P1666" s="84"/>
      <c r="Q1666" s="84"/>
      <c r="R1666" s="84"/>
    </row>
    <row r="1667" ht="15.75" customHeight="1">
      <c r="A1667" s="125"/>
      <c r="B1667" s="125"/>
      <c r="C1667" s="125"/>
      <c r="D1667" s="125"/>
      <c r="E1667" s="126"/>
      <c r="F1667" s="126"/>
      <c r="G1667" s="125"/>
      <c r="H1667" s="125"/>
      <c r="I1667" s="99"/>
      <c r="K1667" s="84"/>
      <c r="L1667" s="84"/>
      <c r="M1667" s="84"/>
      <c r="N1667" s="84"/>
      <c r="O1667" s="84"/>
      <c r="P1667" s="84"/>
      <c r="Q1667" s="84"/>
      <c r="R1667" s="84"/>
    </row>
    <row r="1668" ht="15.75" customHeight="1">
      <c r="A1668" s="125"/>
      <c r="B1668" s="125"/>
      <c r="C1668" s="125"/>
      <c r="D1668" s="125"/>
      <c r="E1668" s="126"/>
      <c r="F1668" s="126"/>
      <c r="G1668" s="125"/>
      <c r="H1668" s="125"/>
      <c r="I1668" s="99"/>
      <c r="K1668" s="84"/>
      <c r="L1668" s="84"/>
      <c r="M1668" s="84"/>
      <c r="N1668" s="84"/>
      <c r="O1668" s="84"/>
      <c r="P1668" s="84"/>
      <c r="Q1668" s="84"/>
      <c r="R1668" s="84"/>
    </row>
    <row r="1669" ht="15.75" customHeight="1">
      <c r="A1669" s="125"/>
      <c r="B1669" s="125"/>
      <c r="C1669" s="125"/>
      <c r="D1669" s="125"/>
      <c r="E1669" s="126"/>
      <c r="F1669" s="126"/>
      <c r="G1669" s="125"/>
      <c r="H1669" s="125"/>
      <c r="I1669" s="99"/>
      <c r="K1669" s="84"/>
      <c r="L1669" s="84"/>
      <c r="M1669" s="84"/>
      <c r="N1669" s="84"/>
      <c r="O1669" s="84"/>
      <c r="P1669" s="84"/>
      <c r="Q1669" s="84"/>
      <c r="R1669" s="84"/>
    </row>
    <row r="1670" ht="15.75" customHeight="1">
      <c r="A1670" s="125"/>
      <c r="B1670" s="125"/>
      <c r="C1670" s="125"/>
      <c r="D1670" s="125"/>
      <c r="E1670" s="126"/>
      <c r="F1670" s="126"/>
      <c r="G1670" s="125"/>
      <c r="H1670" s="125"/>
      <c r="I1670" s="99"/>
      <c r="K1670" s="84"/>
      <c r="L1670" s="84"/>
      <c r="M1670" s="84"/>
      <c r="N1670" s="84"/>
      <c r="O1670" s="84"/>
      <c r="P1670" s="84"/>
      <c r="Q1670" s="84"/>
      <c r="R1670" s="84"/>
    </row>
    <row r="1671" ht="15.75" customHeight="1">
      <c r="A1671" s="125"/>
      <c r="B1671" s="125"/>
      <c r="C1671" s="125"/>
      <c r="D1671" s="125"/>
      <c r="E1671" s="126"/>
      <c r="F1671" s="126"/>
      <c r="G1671" s="125"/>
      <c r="H1671" s="125"/>
      <c r="I1671" s="99"/>
      <c r="K1671" s="84"/>
      <c r="L1671" s="84"/>
      <c r="M1671" s="84"/>
      <c r="N1671" s="84"/>
      <c r="O1671" s="84"/>
      <c r="P1671" s="84"/>
      <c r="Q1671" s="84"/>
      <c r="R1671" s="84"/>
    </row>
    <row r="1672" ht="15.75" customHeight="1">
      <c r="A1672" s="125"/>
      <c r="B1672" s="125"/>
      <c r="C1672" s="125"/>
      <c r="D1672" s="125"/>
      <c r="E1672" s="126"/>
      <c r="F1672" s="126"/>
      <c r="G1672" s="125"/>
      <c r="H1672" s="125"/>
      <c r="I1672" s="99"/>
      <c r="K1672" s="84"/>
      <c r="L1672" s="84"/>
      <c r="M1672" s="84"/>
      <c r="N1672" s="84"/>
      <c r="O1672" s="84"/>
      <c r="P1672" s="84"/>
      <c r="Q1672" s="84"/>
      <c r="R1672" s="84"/>
    </row>
    <row r="1673" ht="15.75" customHeight="1">
      <c r="A1673" s="125"/>
      <c r="B1673" s="125"/>
      <c r="C1673" s="125"/>
      <c r="D1673" s="125"/>
      <c r="E1673" s="126"/>
      <c r="F1673" s="126"/>
      <c r="G1673" s="125"/>
      <c r="H1673" s="125"/>
      <c r="I1673" s="99"/>
      <c r="K1673" s="84"/>
      <c r="L1673" s="84"/>
      <c r="M1673" s="84"/>
      <c r="N1673" s="84"/>
      <c r="O1673" s="84"/>
      <c r="P1673" s="84"/>
      <c r="Q1673" s="84"/>
      <c r="R1673" s="84"/>
    </row>
    <row r="1674" ht="15.75" customHeight="1">
      <c r="A1674" s="125"/>
      <c r="B1674" s="125"/>
      <c r="C1674" s="125"/>
      <c r="D1674" s="125"/>
      <c r="E1674" s="126"/>
      <c r="F1674" s="126"/>
      <c r="G1674" s="125"/>
      <c r="H1674" s="125"/>
      <c r="I1674" s="99"/>
      <c r="K1674" s="84"/>
      <c r="L1674" s="84"/>
      <c r="M1674" s="84"/>
      <c r="N1674" s="84"/>
      <c r="O1674" s="84"/>
      <c r="P1674" s="84"/>
      <c r="Q1674" s="84"/>
      <c r="R1674" s="84"/>
    </row>
    <row r="1675" ht="15.75" customHeight="1">
      <c r="A1675" s="125"/>
      <c r="B1675" s="125"/>
      <c r="C1675" s="125"/>
      <c r="D1675" s="125"/>
      <c r="E1675" s="126"/>
      <c r="F1675" s="126"/>
      <c r="G1675" s="125"/>
      <c r="H1675" s="125"/>
      <c r="I1675" s="99"/>
      <c r="K1675" s="84"/>
      <c r="L1675" s="84"/>
      <c r="M1675" s="84"/>
      <c r="N1675" s="84"/>
      <c r="O1675" s="84"/>
      <c r="P1675" s="84"/>
      <c r="Q1675" s="84"/>
      <c r="R1675" s="84"/>
    </row>
    <row r="1676" ht="15.75" customHeight="1">
      <c r="A1676" s="125"/>
      <c r="B1676" s="125"/>
      <c r="C1676" s="125"/>
      <c r="D1676" s="125"/>
      <c r="E1676" s="126"/>
      <c r="F1676" s="126"/>
      <c r="G1676" s="125"/>
      <c r="H1676" s="125"/>
      <c r="I1676" s="99"/>
      <c r="K1676" s="84"/>
      <c r="L1676" s="84"/>
      <c r="M1676" s="84"/>
      <c r="N1676" s="84"/>
      <c r="O1676" s="84"/>
      <c r="P1676" s="84"/>
      <c r="Q1676" s="84"/>
      <c r="R1676" s="84"/>
    </row>
    <row r="1677" ht="15.75" customHeight="1">
      <c r="A1677" s="125"/>
      <c r="B1677" s="125"/>
      <c r="C1677" s="125"/>
      <c r="D1677" s="125"/>
      <c r="E1677" s="126"/>
      <c r="F1677" s="126"/>
      <c r="G1677" s="125"/>
      <c r="H1677" s="125"/>
      <c r="I1677" s="99"/>
      <c r="K1677" s="84"/>
      <c r="L1677" s="84"/>
      <c r="M1677" s="84"/>
      <c r="N1677" s="84"/>
      <c r="O1677" s="84"/>
      <c r="P1677" s="84"/>
      <c r="Q1677" s="84"/>
      <c r="R1677" s="84"/>
    </row>
    <row r="1678" ht="15.75" customHeight="1">
      <c r="A1678" s="125"/>
      <c r="B1678" s="125"/>
      <c r="C1678" s="125"/>
      <c r="D1678" s="125"/>
      <c r="E1678" s="126"/>
      <c r="F1678" s="126"/>
      <c r="G1678" s="125"/>
      <c r="H1678" s="125"/>
      <c r="I1678" s="99"/>
      <c r="K1678" s="84"/>
      <c r="L1678" s="84"/>
      <c r="M1678" s="84"/>
      <c r="N1678" s="84"/>
      <c r="O1678" s="84"/>
      <c r="P1678" s="84"/>
      <c r="Q1678" s="84"/>
      <c r="R1678" s="84"/>
    </row>
    <row r="1679" ht="15.75" customHeight="1">
      <c r="A1679" s="125"/>
      <c r="B1679" s="125"/>
      <c r="C1679" s="125"/>
      <c r="D1679" s="125"/>
      <c r="E1679" s="126"/>
      <c r="F1679" s="126"/>
      <c r="G1679" s="125"/>
      <c r="H1679" s="125"/>
      <c r="I1679" s="99"/>
      <c r="K1679" s="84"/>
      <c r="L1679" s="84"/>
      <c r="M1679" s="84"/>
      <c r="N1679" s="84"/>
      <c r="O1679" s="84"/>
      <c r="P1679" s="84"/>
      <c r="Q1679" s="84"/>
      <c r="R1679" s="84"/>
    </row>
    <row r="1680" ht="15.75" customHeight="1">
      <c r="A1680" s="125"/>
      <c r="B1680" s="125"/>
      <c r="C1680" s="125"/>
      <c r="D1680" s="125"/>
      <c r="E1680" s="126"/>
      <c r="F1680" s="126"/>
      <c r="G1680" s="125"/>
      <c r="H1680" s="125"/>
      <c r="I1680" s="99"/>
      <c r="K1680" s="84"/>
      <c r="L1680" s="84"/>
      <c r="M1680" s="84"/>
      <c r="N1680" s="84"/>
      <c r="O1680" s="84"/>
      <c r="P1680" s="84"/>
      <c r="Q1680" s="84"/>
      <c r="R1680" s="84"/>
    </row>
    <row r="1681" ht="15.75" customHeight="1">
      <c r="A1681" s="125"/>
      <c r="B1681" s="125"/>
      <c r="C1681" s="125"/>
      <c r="D1681" s="125"/>
      <c r="E1681" s="126"/>
      <c r="F1681" s="126"/>
      <c r="G1681" s="125"/>
      <c r="H1681" s="125"/>
      <c r="I1681" s="99"/>
      <c r="K1681" s="84"/>
      <c r="L1681" s="84"/>
      <c r="M1681" s="84"/>
      <c r="N1681" s="84"/>
      <c r="O1681" s="84"/>
      <c r="P1681" s="84"/>
      <c r="Q1681" s="84"/>
      <c r="R1681" s="84"/>
    </row>
    <row r="1682" ht="15.75" customHeight="1">
      <c r="A1682" s="125"/>
      <c r="B1682" s="125"/>
      <c r="C1682" s="125"/>
      <c r="D1682" s="125"/>
      <c r="E1682" s="126"/>
      <c r="F1682" s="126"/>
      <c r="G1682" s="125"/>
      <c r="H1682" s="125"/>
      <c r="I1682" s="99"/>
      <c r="K1682" s="84"/>
      <c r="L1682" s="84"/>
      <c r="M1682" s="84"/>
      <c r="N1682" s="84"/>
      <c r="O1682" s="84"/>
      <c r="P1682" s="84"/>
      <c r="Q1682" s="84"/>
      <c r="R1682" s="84"/>
    </row>
    <row r="1683" ht="15.75" customHeight="1">
      <c r="A1683" s="125"/>
      <c r="B1683" s="125"/>
      <c r="C1683" s="125"/>
      <c r="D1683" s="125"/>
      <c r="E1683" s="126"/>
      <c r="F1683" s="126"/>
      <c r="G1683" s="125"/>
      <c r="H1683" s="125"/>
      <c r="I1683" s="99"/>
      <c r="K1683" s="84"/>
      <c r="L1683" s="84"/>
      <c r="M1683" s="84"/>
      <c r="N1683" s="84"/>
      <c r="O1683" s="84"/>
      <c r="P1683" s="84"/>
      <c r="Q1683" s="84"/>
      <c r="R1683" s="84"/>
    </row>
    <row r="1684" ht="15.75" customHeight="1">
      <c r="A1684" s="125"/>
      <c r="B1684" s="125"/>
      <c r="C1684" s="125"/>
      <c r="D1684" s="125"/>
      <c r="E1684" s="126"/>
      <c r="F1684" s="126"/>
      <c r="G1684" s="125"/>
      <c r="H1684" s="125"/>
      <c r="I1684" s="99"/>
      <c r="K1684" s="84"/>
      <c r="L1684" s="84"/>
      <c r="M1684" s="84"/>
      <c r="N1684" s="84"/>
      <c r="O1684" s="84"/>
      <c r="P1684" s="84"/>
      <c r="Q1684" s="84"/>
      <c r="R1684" s="84"/>
    </row>
    <row r="1685" ht="15.75" customHeight="1">
      <c r="A1685" s="125"/>
      <c r="B1685" s="125"/>
      <c r="C1685" s="125"/>
      <c r="D1685" s="125"/>
      <c r="E1685" s="126"/>
      <c r="F1685" s="126"/>
      <c r="G1685" s="125"/>
      <c r="H1685" s="125"/>
      <c r="I1685" s="99"/>
      <c r="K1685" s="84"/>
      <c r="L1685" s="84"/>
      <c r="M1685" s="84"/>
      <c r="N1685" s="84"/>
      <c r="O1685" s="84"/>
      <c r="P1685" s="84"/>
      <c r="Q1685" s="84"/>
      <c r="R1685" s="84"/>
    </row>
    <row r="1686" ht="15.75" customHeight="1">
      <c r="A1686" s="125"/>
      <c r="B1686" s="125"/>
      <c r="C1686" s="125"/>
      <c r="D1686" s="125"/>
      <c r="E1686" s="126"/>
      <c r="F1686" s="126"/>
      <c r="G1686" s="125"/>
      <c r="H1686" s="125"/>
      <c r="I1686" s="99"/>
      <c r="K1686" s="84"/>
      <c r="L1686" s="84"/>
      <c r="M1686" s="84"/>
      <c r="N1686" s="84"/>
      <c r="O1686" s="84"/>
      <c r="P1686" s="84"/>
      <c r="Q1686" s="84"/>
      <c r="R1686" s="84"/>
    </row>
    <row r="1687" ht="15.75" customHeight="1">
      <c r="A1687" s="125"/>
      <c r="B1687" s="125"/>
      <c r="C1687" s="125"/>
      <c r="D1687" s="125"/>
      <c r="E1687" s="126"/>
      <c r="F1687" s="126"/>
      <c r="G1687" s="125"/>
      <c r="H1687" s="125"/>
      <c r="I1687" s="99"/>
      <c r="K1687" s="84"/>
      <c r="L1687" s="84"/>
      <c r="M1687" s="84"/>
      <c r="N1687" s="84"/>
      <c r="O1687" s="84"/>
      <c r="P1687" s="84"/>
      <c r="Q1687" s="84"/>
      <c r="R1687" s="84"/>
    </row>
    <row r="1688" ht="15.75" customHeight="1">
      <c r="A1688" s="125"/>
      <c r="B1688" s="125"/>
      <c r="C1688" s="125"/>
      <c r="D1688" s="125"/>
      <c r="E1688" s="126"/>
      <c r="F1688" s="126"/>
      <c r="G1688" s="125"/>
      <c r="H1688" s="125"/>
      <c r="I1688" s="99"/>
      <c r="K1688" s="84"/>
      <c r="L1688" s="84"/>
      <c r="M1688" s="84"/>
      <c r="N1688" s="84"/>
      <c r="O1688" s="84"/>
      <c r="P1688" s="84"/>
      <c r="Q1688" s="84"/>
      <c r="R1688" s="84"/>
    </row>
    <row r="1689" ht="15.75" customHeight="1">
      <c r="A1689" s="125"/>
      <c r="B1689" s="125"/>
      <c r="C1689" s="125"/>
      <c r="D1689" s="125"/>
      <c r="E1689" s="126"/>
      <c r="F1689" s="126"/>
      <c r="G1689" s="125"/>
      <c r="H1689" s="125"/>
      <c r="I1689" s="99"/>
      <c r="K1689" s="84"/>
      <c r="L1689" s="84"/>
      <c r="M1689" s="84"/>
      <c r="N1689" s="84"/>
      <c r="O1689" s="84"/>
      <c r="P1689" s="84"/>
      <c r="Q1689" s="84"/>
      <c r="R1689" s="84"/>
    </row>
    <row r="1690" ht="15.75" customHeight="1">
      <c r="A1690" s="125"/>
      <c r="B1690" s="125"/>
      <c r="C1690" s="125"/>
      <c r="D1690" s="125"/>
      <c r="E1690" s="126"/>
      <c r="F1690" s="126"/>
      <c r="G1690" s="125"/>
      <c r="H1690" s="125"/>
      <c r="I1690" s="99"/>
      <c r="K1690" s="84"/>
      <c r="L1690" s="84"/>
      <c r="M1690" s="84"/>
      <c r="N1690" s="84"/>
      <c r="O1690" s="84"/>
      <c r="P1690" s="84"/>
      <c r="Q1690" s="84"/>
      <c r="R1690" s="84"/>
    </row>
    <row r="1691" ht="15.75" customHeight="1">
      <c r="A1691" s="125"/>
      <c r="B1691" s="125"/>
      <c r="C1691" s="125"/>
      <c r="D1691" s="125"/>
      <c r="E1691" s="126"/>
      <c r="F1691" s="126"/>
      <c r="G1691" s="125"/>
      <c r="H1691" s="125"/>
      <c r="I1691" s="99"/>
      <c r="K1691" s="84"/>
      <c r="L1691" s="84"/>
      <c r="M1691" s="84"/>
      <c r="N1691" s="84"/>
      <c r="O1691" s="84"/>
      <c r="P1691" s="84"/>
      <c r="Q1691" s="84"/>
      <c r="R1691" s="84"/>
    </row>
    <row r="1692" ht="15.75" customHeight="1">
      <c r="A1692" s="125"/>
      <c r="B1692" s="125"/>
      <c r="C1692" s="125"/>
      <c r="D1692" s="125"/>
      <c r="E1692" s="126"/>
      <c r="F1692" s="126"/>
      <c r="G1692" s="125"/>
      <c r="H1692" s="125"/>
      <c r="I1692" s="99"/>
      <c r="K1692" s="84"/>
      <c r="L1692" s="84"/>
      <c r="M1692" s="84"/>
      <c r="N1692" s="84"/>
      <c r="O1692" s="84"/>
      <c r="P1692" s="84"/>
      <c r="Q1692" s="84"/>
      <c r="R1692" s="84"/>
    </row>
    <row r="1693" ht="15.75" customHeight="1">
      <c r="A1693" s="125"/>
      <c r="B1693" s="125"/>
      <c r="C1693" s="125"/>
      <c r="D1693" s="125"/>
      <c r="E1693" s="126"/>
      <c r="F1693" s="126"/>
      <c r="G1693" s="125"/>
      <c r="H1693" s="125"/>
      <c r="I1693" s="99"/>
      <c r="K1693" s="84"/>
      <c r="L1693" s="84"/>
      <c r="M1693" s="84"/>
      <c r="N1693" s="84"/>
      <c r="O1693" s="84"/>
      <c r="P1693" s="84"/>
      <c r="Q1693" s="84"/>
      <c r="R1693" s="84"/>
    </row>
    <row r="1694" ht="15.75" customHeight="1">
      <c r="A1694" s="125"/>
      <c r="B1694" s="125"/>
      <c r="C1694" s="125"/>
      <c r="D1694" s="125"/>
      <c r="E1694" s="126"/>
      <c r="F1694" s="126"/>
      <c r="G1694" s="125"/>
      <c r="H1694" s="125"/>
      <c r="I1694" s="99"/>
      <c r="K1694" s="84"/>
      <c r="L1694" s="84"/>
      <c r="M1694" s="84"/>
      <c r="N1694" s="84"/>
      <c r="O1694" s="84"/>
      <c r="P1694" s="84"/>
      <c r="Q1694" s="84"/>
      <c r="R1694" s="84"/>
    </row>
    <row r="1695" ht="15.75" customHeight="1">
      <c r="A1695" s="125"/>
      <c r="B1695" s="125"/>
      <c r="C1695" s="125"/>
      <c r="D1695" s="125"/>
      <c r="E1695" s="126"/>
      <c r="F1695" s="126"/>
      <c r="G1695" s="125"/>
      <c r="H1695" s="125"/>
      <c r="I1695" s="99"/>
      <c r="K1695" s="84"/>
      <c r="L1695" s="84"/>
      <c r="M1695" s="84"/>
      <c r="N1695" s="84"/>
      <c r="O1695" s="84"/>
      <c r="P1695" s="84"/>
      <c r="Q1695" s="84"/>
      <c r="R1695" s="84"/>
    </row>
    <row r="1696" ht="15.75" customHeight="1">
      <c r="A1696" s="125"/>
      <c r="B1696" s="125"/>
      <c r="C1696" s="125"/>
      <c r="D1696" s="125"/>
      <c r="E1696" s="126"/>
      <c r="F1696" s="126"/>
      <c r="G1696" s="125"/>
      <c r="H1696" s="125"/>
      <c r="I1696" s="99"/>
      <c r="K1696" s="84"/>
      <c r="L1696" s="84"/>
      <c r="M1696" s="84"/>
      <c r="N1696" s="84"/>
      <c r="O1696" s="84"/>
      <c r="P1696" s="84"/>
      <c r="Q1696" s="84"/>
      <c r="R1696" s="84"/>
    </row>
    <row r="1697" ht="15.75" customHeight="1">
      <c r="A1697" s="125"/>
      <c r="B1697" s="125"/>
      <c r="C1697" s="125"/>
      <c r="D1697" s="125"/>
      <c r="E1697" s="126"/>
      <c r="F1697" s="126"/>
      <c r="G1697" s="125"/>
      <c r="H1697" s="125"/>
      <c r="I1697" s="99"/>
      <c r="K1697" s="84"/>
      <c r="L1697" s="84"/>
      <c r="M1697" s="84"/>
      <c r="N1697" s="84"/>
      <c r="O1697" s="84"/>
      <c r="P1697" s="84"/>
      <c r="Q1697" s="84"/>
      <c r="R1697" s="84"/>
    </row>
    <row r="1698" ht="15.75" customHeight="1">
      <c r="A1698" s="125"/>
      <c r="B1698" s="125"/>
      <c r="C1698" s="125"/>
      <c r="D1698" s="125"/>
      <c r="E1698" s="126"/>
      <c r="F1698" s="126"/>
      <c r="G1698" s="125"/>
      <c r="H1698" s="125"/>
      <c r="I1698" s="99"/>
      <c r="K1698" s="84"/>
      <c r="L1698" s="84"/>
      <c r="M1698" s="84"/>
      <c r="N1698" s="84"/>
      <c r="O1698" s="84"/>
      <c r="P1698" s="84"/>
      <c r="Q1698" s="84"/>
      <c r="R1698" s="84"/>
    </row>
    <row r="1699" ht="15.75" customHeight="1">
      <c r="A1699" s="125"/>
      <c r="B1699" s="125"/>
      <c r="C1699" s="125"/>
      <c r="D1699" s="125"/>
      <c r="E1699" s="126"/>
      <c r="F1699" s="126"/>
      <c r="G1699" s="125"/>
      <c r="H1699" s="125"/>
      <c r="I1699" s="99"/>
      <c r="K1699" s="84"/>
      <c r="L1699" s="84"/>
      <c r="M1699" s="84"/>
      <c r="N1699" s="84"/>
      <c r="O1699" s="84"/>
      <c r="P1699" s="84"/>
      <c r="Q1699" s="84"/>
      <c r="R1699" s="84"/>
    </row>
    <row r="1700" ht="15.75" customHeight="1">
      <c r="A1700" s="125"/>
      <c r="B1700" s="125"/>
      <c r="C1700" s="125"/>
      <c r="D1700" s="125"/>
      <c r="E1700" s="126"/>
      <c r="F1700" s="126"/>
      <c r="G1700" s="125"/>
      <c r="H1700" s="125"/>
      <c r="I1700" s="99"/>
      <c r="K1700" s="84"/>
      <c r="L1700" s="84"/>
      <c r="M1700" s="84"/>
      <c r="N1700" s="84"/>
      <c r="O1700" s="84"/>
      <c r="P1700" s="84"/>
      <c r="Q1700" s="84"/>
      <c r="R1700" s="84"/>
    </row>
    <row r="1701" ht="15.75" customHeight="1">
      <c r="A1701" s="125"/>
      <c r="B1701" s="125"/>
      <c r="C1701" s="125"/>
      <c r="D1701" s="125"/>
      <c r="E1701" s="126"/>
      <c r="F1701" s="126"/>
      <c r="G1701" s="125"/>
      <c r="H1701" s="125"/>
      <c r="I1701" s="99"/>
      <c r="K1701" s="84"/>
      <c r="L1701" s="84"/>
      <c r="M1701" s="84"/>
      <c r="N1701" s="84"/>
      <c r="O1701" s="84"/>
      <c r="P1701" s="84"/>
      <c r="Q1701" s="84"/>
      <c r="R1701" s="84"/>
    </row>
    <row r="1702" ht="15.75" customHeight="1">
      <c r="A1702" s="125"/>
      <c r="B1702" s="125"/>
      <c r="C1702" s="125"/>
      <c r="D1702" s="125"/>
      <c r="E1702" s="126"/>
      <c r="F1702" s="126"/>
      <c r="G1702" s="125"/>
      <c r="H1702" s="125"/>
      <c r="I1702" s="99"/>
      <c r="K1702" s="84"/>
      <c r="L1702" s="84"/>
      <c r="M1702" s="84"/>
      <c r="N1702" s="84"/>
      <c r="O1702" s="84"/>
      <c r="P1702" s="84"/>
      <c r="Q1702" s="84"/>
      <c r="R1702" s="84"/>
    </row>
    <row r="1703" ht="15.75" customHeight="1">
      <c r="A1703" s="125"/>
      <c r="B1703" s="125"/>
      <c r="C1703" s="125"/>
      <c r="D1703" s="125"/>
      <c r="E1703" s="126"/>
      <c r="F1703" s="126"/>
      <c r="G1703" s="125"/>
      <c r="H1703" s="125"/>
      <c r="I1703" s="99"/>
      <c r="K1703" s="84"/>
      <c r="L1703" s="84"/>
      <c r="M1703" s="84"/>
      <c r="N1703" s="84"/>
      <c r="O1703" s="84"/>
      <c r="P1703" s="84"/>
      <c r="Q1703" s="84"/>
      <c r="R1703" s="84"/>
    </row>
    <row r="1704" ht="15.75" customHeight="1">
      <c r="A1704" s="125"/>
      <c r="B1704" s="125"/>
      <c r="C1704" s="125"/>
      <c r="D1704" s="125"/>
      <c r="E1704" s="126"/>
      <c r="F1704" s="126"/>
      <c r="G1704" s="125"/>
      <c r="H1704" s="125"/>
      <c r="I1704" s="99"/>
      <c r="K1704" s="84"/>
      <c r="L1704" s="84"/>
      <c r="M1704" s="84"/>
      <c r="N1704" s="84"/>
      <c r="O1704" s="84"/>
      <c r="P1704" s="84"/>
      <c r="Q1704" s="84"/>
      <c r="R1704" s="84"/>
    </row>
    <row r="1705" ht="15.75" customHeight="1">
      <c r="A1705" s="125"/>
      <c r="B1705" s="125"/>
      <c r="C1705" s="125"/>
      <c r="D1705" s="125"/>
      <c r="E1705" s="126"/>
      <c r="F1705" s="126"/>
      <c r="G1705" s="125"/>
      <c r="H1705" s="125"/>
      <c r="I1705" s="99"/>
      <c r="K1705" s="84"/>
      <c r="L1705" s="84"/>
      <c r="M1705" s="84"/>
      <c r="N1705" s="84"/>
      <c r="O1705" s="84"/>
      <c r="P1705" s="84"/>
      <c r="Q1705" s="84"/>
      <c r="R1705" s="84"/>
    </row>
    <row r="1706" ht="15.75" customHeight="1">
      <c r="A1706" s="125"/>
      <c r="B1706" s="125"/>
      <c r="C1706" s="125"/>
      <c r="D1706" s="125"/>
      <c r="E1706" s="126"/>
      <c r="F1706" s="126"/>
      <c r="G1706" s="125"/>
      <c r="H1706" s="125"/>
      <c r="I1706" s="99"/>
      <c r="K1706" s="84"/>
      <c r="L1706" s="84"/>
      <c r="M1706" s="84"/>
      <c r="N1706" s="84"/>
      <c r="O1706" s="84"/>
      <c r="P1706" s="84"/>
      <c r="Q1706" s="84"/>
      <c r="R1706" s="84"/>
    </row>
    <row r="1707" ht="15.75" customHeight="1">
      <c r="A1707" s="125"/>
      <c r="B1707" s="125"/>
      <c r="C1707" s="125"/>
      <c r="D1707" s="125"/>
      <c r="E1707" s="126"/>
      <c r="F1707" s="126"/>
      <c r="G1707" s="125"/>
      <c r="H1707" s="125"/>
      <c r="I1707" s="99"/>
      <c r="K1707" s="84"/>
      <c r="L1707" s="84"/>
      <c r="M1707" s="84"/>
      <c r="N1707" s="84"/>
      <c r="O1707" s="84"/>
      <c r="P1707" s="84"/>
      <c r="Q1707" s="84"/>
      <c r="R1707" s="84"/>
    </row>
    <row r="1708" ht="15.75" customHeight="1">
      <c r="A1708" s="125"/>
      <c r="B1708" s="125"/>
      <c r="C1708" s="125"/>
      <c r="D1708" s="125"/>
      <c r="E1708" s="126"/>
      <c r="F1708" s="126"/>
      <c r="G1708" s="125"/>
      <c r="H1708" s="125"/>
      <c r="I1708" s="99"/>
      <c r="K1708" s="84"/>
      <c r="L1708" s="84"/>
      <c r="M1708" s="84"/>
      <c r="N1708" s="84"/>
      <c r="O1708" s="84"/>
      <c r="P1708" s="84"/>
      <c r="Q1708" s="84"/>
      <c r="R1708" s="84"/>
    </row>
    <row r="1709" ht="15.75" customHeight="1">
      <c r="A1709" s="125"/>
      <c r="B1709" s="125"/>
      <c r="C1709" s="125"/>
      <c r="D1709" s="125"/>
      <c r="E1709" s="126"/>
      <c r="F1709" s="126"/>
      <c r="G1709" s="125"/>
      <c r="H1709" s="125"/>
      <c r="I1709" s="99"/>
      <c r="K1709" s="84"/>
      <c r="L1709" s="84"/>
      <c r="M1709" s="84"/>
      <c r="N1709" s="84"/>
      <c r="O1709" s="84"/>
      <c r="P1709" s="84"/>
      <c r="Q1709" s="84"/>
      <c r="R1709" s="84"/>
    </row>
    <row r="1710" ht="15.75" customHeight="1">
      <c r="A1710" s="125"/>
      <c r="B1710" s="125"/>
      <c r="C1710" s="125"/>
      <c r="D1710" s="125"/>
      <c r="E1710" s="126"/>
      <c r="F1710" s="126"/>
      <c r="G1710" s="125"/>
      <c r="H1710" s="125"/>
      <c r="I1710" s="99"/>
      <c r="K1710" s="84"/>
      <c r="L1710" s="84"/>
      <c r="M1710" s="84"/>
      <c r="N1710" s="84"/>
      <c r="O1710" s="84"/>
      <c r="P1710" s="84"/>
      <c r="Q1710" s="84"/>
      <c r="R1710" s="84"/>
    </row>
    <row r="1711" ht="15.75" customHeight="1">
      <c r="A1711" s="125"/>
      <c r="B1711" s="125"/>
      <c r="C1711" s="125"/>
      <c r="D1711" s="125"/>
      <c r="E1711" s="126"/>
      <c r="F1711" s="126"/>
      <c r="G1711" s="125"/>
      <c r="H1711" s="125"/>
      <c r="I1711" s="99"/>
      <c r="K1711" s="84"/>
      <c r="L1711" s="84"/>
      <c r="M1711" s="84"/>
      <c r="N1711" s="84"/>
      <c r="O1711" s="84"/>
      <c r="P1711" s="84"/>
      <c r="Q1711" s="84"/>
      <c r="R1711" s="84"/>
    </row>
    <row r="1712" ht="15.75" customHeight="1">
      <c r="A1712" s="125"/>
      <c r="B1712" s="125"/>
      <c r="C1712" s="125"/>
      <c r="D1712" s="125"/>
      <c r="E1712" s="126"/>
      <c r="F1712" s="126"/>
      <c r="G1712" s="125"/>
      <c r="H1712" s="125"/>
      <c r="I1712" s="99"/>
      <c r="K1712" s="84"/>
      <c r="L1712" s="84"/>
      <c r="M1712" s="84"/>
      <c r="N1712" s="84"/>
      <c r="O1712" s="84"/>
      <c r="P1712" s="84"/>
      <c r="Q1712" s="84"/>
      <c r="R1712" s="84"/>
    </row>
    <row r="1713" ht="15.75" customHeight="1">
      <c r="A1713" s="125"/>
      <c r="B1713" s="125"/>
      <c r="C1713" s="125"/>
      <c r="D1713" s="125"/>
      <c r="E1713" s="126"/>
      <c r="F1713" s="126"/>
      <c r="G1713" s="125"/>
      <c r="H1713" s="125"/>
      <c r="I1713" s="99"/>
      <c r="K1713" s="84"/>
      <c r="L1713" s="84"/>
      <c r="M1713" s="84"/>
      <c r="N1713" s="84"/>
      <c r="O1713" s="84"/>
      <c r="P1713" s="84"/>
      <c r="Q1713" s="84"/>
      <c r="R1713" s="84"/>
    </row>
    <row r="1714" ht="15.75" customHeight="1">
      <c r="A1714" s="125"/>
      <c r="B1714" s="125"/>
      <c r="C1714" s="125"/>
      <c r="D1714" s="125"/>
      <c r="E1714" s="126"/>
      <c r="F1714" s="126"/>
      <c r="G1714" s="125"/>
      <c r="H1714" s="125"/>
      <c r="I1714" s="99"/>
      <c r="K1714" s="84"/>
      <c r="L1714" s="84"/>
      <c r="M1714" s="84"/>
      <c r="N1714" s="84"/>
      <c r="O1714" s="84"/>
      <c r="P1714" s="84"/>
      <c r="Q1714" s="84"/>
      <c r="R1714" s="84"/>
    </row>
    <row r="1715" ht="15.75" customHeight="1">
      <c r="A1715" s="125"/>
      <c r="B1715" s="125"/>
      <c r="C1715" s="125"/>
      <c r="D1715" s="125"/>
      <c r="E1715" s="126"/>
      <c r="F1715" s="126"/>
      <c r="G1715" s="125"/>
      <c r="H1715" s="125"/>
      <c r="I1715" s="99"/>
      <c r="K1715" s="84"/>
      <c r="L1715" s="84"/>
      <c r="M1715" s="84"/>
      <c r="N1715" s="84"/>
      <c r="O1715" s="84"/>
      <c r="P1715" s="84"/>
      <c r="Q1715" s="84"/>
      <c r="R1715" s="84"/>
    </row>
    <row r="1716" ht="15.75" customHeight="1">
      <c r="A1716" s="125"/>
      <c r="B1716" s="125"/>
      <c r="C1716" s="125"/>
      <c r="D1716" s="125"/>
      <c r="E1716" s="126"/>
      <c r="F1716" s="126"/>
      <c r="G1716" s="125"/>
      <c r="H1716" s="125"/>
      <c r="I1716" s="99"/>
      <c r="K1716" s="84"/>
      <c r="L1716" s="84"/>
      <c r="M1716" s="84"/>
      <c r="N1716" s="84"/>
      <c r="O1716" s="84"/>
      <c r="P1716" s="84"/>
      <c r="Q1716" s="84"/>
      <c r="R1716" s="84"/>
    </row>
    <row r="1717" ht="15.75" customHeight="1">
      <c r="A1717" s="125"/>
      <c r="B1717" s="125"/>
      <c r="C1717" s="125"/>
      <c r="D1717" s="125"/>
      <c r="E1717" s="126"/>
      <c r="F1717" s="126"/>
      <c r="G1717" s="125"/>
      <c r="H1717" s="125"/>
      <c r="I1717" s="99"/>
      <c r="K1717" s="84"/>
      <c r="L1717" s="84"/>
      <c r="M1717" s="84"/>
      <c r="N1717" s="84"/>
      <c r="O1717" s="84"/>
      <c r="P1717" s="84"/>
      <c r="Q1717" s="84"/>
      <c r="R1717" s="84"/>
    </row>
    <row r="1718" ht="15.75" customHeight="1">
      <c r="A1718" s="125"/>
      <c r="B1718" s="125"/>
      <c r="C1718" s="125"/>
      <c r="D1718" s="125"/>
      <c r="E1718" s="126"/>
      <c r="F1718" s="126"/>
      <c r="G1718" s="125"/>
      <c r="H1718" s="125"/>
      <c r="I1718" s="99"/>
      <c r="K1718" s="84"/>
      <c r="L1718" s="84"/>
      <c r="M1718" s="84"/>
      <c r="N1718" s="84"/>
      <c r="O1718" s="84"/>
      <c r="P1718" s="84"/>
      <c r="Q1718" s="84"/>
      <c r="R1718" s="84"/>
    </row>
    <row r="1719" ht="15.75" customHeight="1">
      <c r="A1719" s="125"/>
      <c r="B1719" s="125"/>
      <c r="C1719" s="125"/>
      <c r="D1719" s="125"/>
      <c r="E1719" s="126"/>
      <c r="F1719" s="126"/>
      <c r="G1719" s="125"/>
      <c r="H1719" s="125"/>
      <c r="I1719" s="99"/>
      <c r="K1719" s="84"/>
      <c r="L1719" s="84"/>
      <c r="M1719" s="84"/>
      <c r="N1719" s="84"/>
      <c r="O1719" s="84"/>
      <c r="P1719" s="84"/>
      <c r="Q1719" s="84"/>
      <c r="R1719" s="84"/>
    </row>
    <row r="1720" ht="15.75" customHeight="1">
      <c r="A1720" s="125"/>
      <c r="B1720" s="125"/>
      <c r="C1720" s="125"/>
      <c r="D1720" s="125"/>
      <c r="E1720" s="126"/>
      <c r="F1720" s="126"/>
      <c r="G1720" s="125"/>
      <c r="H1720" s="125"/>
      <c r="I1720" s="99"/>
      <c r="K1720" s="84"/>
      <c r="L1720" s="84"/>
      <c r="M1720" s="84"/>
      <c r="N1720" s="84"/>
      <c r="O1720" s="84"/>
      <c r="P1720" s="84"/>
      <c r="Q1720" s="84"/>
      <c r="R1720" s="84"/>
    </row>
    <row r="1721" ht="15.75" customHeight="1">
      <c r="A1721" s="125"/>
      <c r="B1721" s="125"/>
      <c r="C1721" s="125"/>
      <c r="D1721" s="125"/>
      <c r="E1721" s="126"/>
      <c r="F1721" s="126"/>
      <c r="G1721" s="125"/>
      <c r="H1721" s="125"/>
      <c r="I1721" s="99"/>
      <c r="K1721" s="84"/>
      <c r="L1721" s="84"/>
      <c r="M1721" s="84"/>
      <c r="N1721" s="84"/>
      <c r="O1721" s="84"/>
      <c r="P1721" s="84"/>
      <c r="Q1721" s="84"/>
      <c r="R1721" s="84"/>
    </row>
    <row r="1722" ht="15.75" customHeight="1">
      <c r="A1722" s="125"/>
      <c r="B1722" s="125"/>
      <c r="C1722" s="125"/>
      <c r="D1722" s="125"/>
      <c r="E1722" s="126"/>
      <c r="F1722" s="126"/>
      <c r="G1722" s="125"/>
      <c r="H1722" s="125"/>
      <c r="I1722" s="99"/>
      <c r="K1722" s="84"/>
      <c r="L1722" s="84"/>
      <c r="M1722" s="84"/>
      <c r="N1722" s="84"/>
      <c r="O1722" s="84"/>
      <c r="P1722" s="84"/>
      <c r="Q1722" s="84"/>
      <c r="R1722" s="84"/>
    </row>
    <row r="1723" ht="15.75" customHeight="1">
      <c r="A1723" s="125"/>
      <c r="B1723" s="125"/>
      <c r="C1723" s="125"/>
      <c r="D1723" s="125"/>
      <c r="E1723" s="126"/>
      <c r="F1723" s="126"/>
      <c r="G1723" s="125"/>
      <c r="H1723" s="125"/>
      <c r="I1723" s="99"/>
      <c r="K1723" s="84"/>
      <c r="L1723" s="84"/>
      <c r="M1723" s="84"/>
      <c r="N1723" s="84"/>
      <c r="O1723" s="84"/>
      <c r="P1723" s="84"/>
      <c r="Q1723" s="84"/>
      <c r="R1723" s="84"/>
    </row>
    <row r="1724" ht="15.75" customHeight="1">
      <c r="A1724" s="125"/>
      <c r="B1724" s="125"/>
      <c r="C1724" s="125"/>
      <c r="D1724" s="125"/>
      <c r="E1724" s="126"/>
      <c r="F1724" s="126"/>
      <c r="G1724" s="125"/>
      <c r="H1724" s="125"/>
      <c r="I1724" s="99"/>
      <c r="K1724" s="84"/>
      <c r="L1724" s="84"/>
      <c r="M1724" s="84"/>
      <c r="N1724" s="84"/>
      <c r="O1724" s="84"/>
      <c r="P1724" s="84"/>
      <c r="Q1724" s="84"/>
      <c r="R1724" s="84"/>
    </row>
    <row r="1725" ht="15.75" customHeight="1">
      <c r="A1725" s="125"/>
      <c r="B1725" s="125"/>
      <c r="C1725" s="125"/>
      <c r="D1725" s="125"/>
      <c r="E1725" s="126"/>
      <c r="F1725" s="126"/>
      <c r="G1725" s="125"/>
      <c r="H1725" s="125"/>
      <c r="I1725" s="99"/>
      <c r="K1725" s="84"/>
      <c r="L1725" s="84"/>
      <c r="M1725" s="84"/>
      <c r="N1725" s="84"/>
      <c r="O1725" s="84"/>
      <c r="P1725" s="84"/>
      <c r="Q1725" s="84"/>
      <c r="R1725" s="84"/>
    </row>
    <row r="1726" ht="15.75" customHeight="1">
      <c r="A1726" s="125"/>
      <c r="B1726" s="125"/>
      <c r="C1726" s="125"/>
      <c r="D1726" s="125"/>
      <c r="E1726" s="126"/>
      <c r="F1726" s="126"/>
      <c r="G1726" s="125"/>
      <c r="H1726" s="125"/>
      <c r="I1726" s="99"/>
      <c r="K1726" s="84"/>
      <c r="L1726" s="84"/>
      <c r="M1726" s="84"/>
      <c r="N1726" s="84"/>
      <c r="O1726" s="84"/>
      <c r="P1726" s="84"/>
      <c r="Q1726" s="84"/>
      <c r="R1726" s="84"/>
    </row>
    <row r="1727" ht="15.75" customHeight="1">
      <c r="A1727" s="125"/>
      <c r="B1727" s="125"/>
      <c r="C1727" s="125"/>
      <c r="D1727" s="125"/>
      <c r="E1727" s="126"/>
      <c r="F1727" s="126"/>
      <c r="G1727" s="125"/>
      <c r="H1727" s="125"/>
      <c r="I1727" s="99"/>
      <c r="K1727" s="84"/>
      <c r="L1727" s="84"/>
      <c r="M1727" s="84"/>
      <c r="N1727" s="84"/>
      <c r="O1727" s="84"/>
      <c r="P1727" s="84"/>
      <c r="Q1727" s="84"/>
      <c r="R1727" s="84"/>
    </row>
    <row r="1728" ht="15.75" customHeight="1">
      <c r="A1728" s="125"/>
      <c r="B1728" s="125"/>
      <c r="C1728" s="125"/>
      <c r="D1728" s="125"/>
      <c r="E1728" s="126"/>
      <c r="F1728" s="126"/>
      <c r="G1728" s="125"/>
      <c r="H1728" s="125"/>
      <c r="I1728" s="99"/>
      <c r="K1728" s="84"/>
      <c r="L1728" s="84"/>
      <c r="M1728" s="84"/>
      <c r="N1728" s="84"/>
      <c r="O1728" s="84"/>
      <c r="P1728" s="84"/>
      <c r="Q1728" s="84"/>
      <c r="R1728" s="84"/>
    </row>
    <row r="1729" ht="15.75" customHeight="1">
      <c r="A1729" s="125"/>
      <c r="B1729" s="125"/>
      <c r="C1729" s="125"/>
      <c r="D1729" s="125"/>
      <c r="E1729" s="126"/>
      <c r="F1729" s="126"/>
      <c r="G1729" s="125"/>
      <c r="H1729" s="125"/>
      <c r="I1729" s="99"/>
      <c r="K1729" s="84"/>
      <c r="L1729" s="84"/>
      <c r="M1729" s="84"/>
      <c r="N1729" s="84"/>
      <c r="O1729" s="84"/>
      <c r="P1729" s="84"/>
      <c r="Q1729" s="84"/>
      <c r="R1729" s="84"/>
    </row>
    <row r="1730" ht="15.75" customHeight="1">
      <c r="A1730" s="125"/>
      <c r="B1730" s="125"/>
      <c r="C1730" s="125"/>
      <c r="D1730" s="125"/>
      <c r="E1730" s="126"/>
      <c r="F1730" s="126"/>
      <c r="G1730" s="125"/>
      <c r="H1730" s="125"/>
      <c r="I1730" s="99"/>
      <c r="K1730" s="84"/>
      <c r="L1730" s="84"/>
      <c r="M1730" s="84"/>
      <c r="N1730" s="84"/>
      <c r="O1730" s="84"/>
      <c r="P1730" s="84"/>
      <c r="Q1730" s="84"/>
      <c r="R1730" s="84"/>
    </row>
    <row r="1731" ht="15.75" customHeight="1">
      <c r="A1731" s="125"/>
      <c r="B1731" s="125"/>
      <c r="C1731" s="125"/>
      <c r="D1731" s="125"/>
      <c r="E1731" s="126"/>
      <c r="F1731" s="126"/>
      <c r="G1731" s="125"/>
      <c r="H1731" s="125"/>
      <c r="I1731" s="99"/>
      <c r="K1731" s="84"/>
      <c r="L1731" s="84"/>
      <c r="M1731" s="84"/>
      <c r="N1731" s="84"/>
      <c r="O1731" s="84"/>
      <c r="P1731" s="84"/>
      <c r="Q1731" s="84"/>
      <c r="R1731" s="84"/>
    </row>
    <row r="1732" ht="15.75" customHeight="1">
      <c r="A1732" s="125"/>
      <c r="B1732" s="125"/>
      <c r="C1732" s="125"/>
      <c r="D1732" s="125"/>
      <c r="E1732" s="126"/>
      <c r="F1732" s="126"/>
      <c r="G1732" s="125"/>
      <c r="H1732" s="125"/>
      <c r="I1732" s="99"/>
      <c r="K1732" s="84"/>
      <c r="L1732" s="84"/>
      <c r="M1732" s="84"/>
      <c r="N1732" s="84"/>
      <c r="O1732" s="84"/>
      <c r="P1732" s="84"/>
      <c r="Q1732" s="84"/>
      <c r="R1732" s="84"/>
    </row>
    <row r="1733" ht="15.75" customHeight="1">
      <c r="A1733" s="125"/>
      <c r="B1733" s="125"/>
      <c r="C1733" s="125"/>
      <c r="D1733" s="125"/>
      <c r="E1733" s="126"/>
      <c r="F1733" s="126"/>
      <c r="G1733" s="125"/>
      <c r="H1733" s="125"/>
      <c r="I1733" s="99"/>
      <c r="K1733" s="84"/>
      <c r="L1733" s="84"/>
      <c r="M1733" s="84"/>
      <c r="N1733" s="84"/>
      <c r="O1733" s="84"/>
      <c r="P1733" s="84"/>
      <c r="Q1733" s="84"/>
      <c r="R1733" s="84"/>
    </row>
    <row r="1734" ht="15.75" customHeight="1">
      <c r="A1734" s="125"/>
      <c r="B1734" s="125"/>
      <c r="C1734" s="125"/>
      <c r="D1734" s="125"/>
      <c r="E1734" s="126"/>
      <c r="F1734" s="126"/>
      <c r="G1734" s="125"/>
      <c r="H1734" s="125"/>
      <c r="I1734" s="99"/>
      <c r="K1734" s="84"/>
      <c r="L1734" s="84"/>
      <c r="M1734" s="84"/>
      <c r="N1734" s="84"/>
      <c r="O1734" s="84"/>
      <c r="P1734" s="84"/>
      <c r="Q1734" s="84"/>
      <c r="R1734" s="84"/>
    </row>
    <row r="1735" ht="15.75" customHeight="1">
      <c r="A1735" s="125"/>
      <c r="B1735" s="125"/>
      <c r="C1735" s="125"/>
      <c r="D1735" s="125"/>
      <c r="E1735" s="126"/>
      <c r="F1735" s="126"/>
      <c r="G1735" s="125"/>
      <c r="H1735" s="125"/>
      <c r="I1735" s="99"/>
      <c r="K1735" s="84"/>
      <c r="L1735" s="84"/>
      <c r="M1735" s="84"/>
      <c r="N1735" s="84"/>
      <c r="O1735" s="84"/>
      <c r="P1735" s="84"/>
      <c r="Q1735" s="84"/>
      <c r="R1735" s="84"/>
    </row>
    <row r="1736" ht="15.75" customHeight="1">
      <c r="A1736" s="125"/>
      <c r="B1736" s="125"/>
      <c r="C1736" s="125"/>
      <c r="D1736" s="125"/>
      <c r="E1736" s="126"/>
      <c r="F1736" s="126"/>
      <c r="G1736" s="125"/>
      <c r="H1736" s="125"/>
      <c r="I1736" s="99"/>
      <c r="K1736" s="84"/>
      <c r="L1736" s="84"/>
      <c r="M1736" s="84"/>
      <c r="N1736" s="84"/>
      <c r="O1736" s="84"/>
      <c r="P1736" s="84"/>
      <c r="Q1736" s="84"/>
      <c r="R1736" s="84"/>
    </row>
    <row r="1737" ht="15.75" customHeight="1">
      <c r="A1737" s="125"/>
      <c r="B1737" s="125"/>
      <c r="C1737" s="125"/>
      <c r="D1737" s="125"/>
      <c r="E1737" s="126"/>
      <c r="F1737" s="126"/>
      <c r="G1737" s="125"/>
      <c r="H1737" s="125"/>
      <c r="I1737" s="99"/>
      <c r="K1737" s="84"/>
      <c r="L1737" s="84"/>
      <c r="M1737" s="84"/>
      <c r="N1737" s="84"/>
      <c r="O1737" s="84"/>
      <c r="P1737" s="84"/>
      <c r="Q1737" s="84"/>
      <c r="R1737" s="84"/>
    </row>
    <row r="1738" ht="15.75" customHeight="1">
      <c r="A1738" s="125"/>
      <c r="B1738" s="125"/>
      <c r="C1738" s="125"/>
      <c r="D1738" s="125"/>
      <c r="E1738" s="126"/>
      <c r="F1738" s="126"/>
      <c r="G1738" s="125"/>
      <c r="H1738" s="125"/>
      <c r="I1738" s="99"/>
      <c r="K1738" s="84"/>
      <c r="L1738" s="84"/>
      <c r="M1738" s="84"/>
      <c r="N1738" s="84"/>
      <c r="O1738" s="84"/>
      <c r="P1738" s="84"/>
      <c r="Q1738" s="84"/>
      <c r="R1738" s="84"/>
    </row>
    <row r="1739" ht="15.75" customHeight="1">
      <c r="A1739" s="125"/>
      <c r="B1739" s="125"/>
      <c r="C1739" s="125"/>
      <c r="D1739" s="125"/>
      <c r="E1739" s="126"/>
      <c r="F1739" s="126"/>
      <c r="G1739" s="125"/>
      <c r="H1739" s="125"/>
      <c r="I1739" s="99"/>
      <c r="K1739" s="84"/>
      <c r="L1739" s="84"/>
      <c r="M1739" s="84"/>
      <c r="N1739" s="84"/>
      <c r="O1739" s="84"/>
      <c r="P1739" s="84"/>
      <c r="Q1739" s="84"/>
      <c r="R1739" s="84"/>
    </row>
    <row r="1740" ht="15.75" customHeight="1">
      <c r="A1740" s="125"/>
      <c r="B1740" s="125"/>
      <c r="C1740" s="125"/>
      <c r="D1740" s="125"/>
      <c r="E1740" s="126"/>
      <c r="F1740" s="126"/>
      <c r="G1740" s="125"/>
      <c r="H1740" s="125"/>
      <c r="I1740" s="99"/>
      <c r="K1740" s="84"/>
      <c r="L1740" s="84"/>
      <c r="M1740" s="84"/>
      <c r="N1740" s="84"/>
      <c r="O1740" s="84"/>
      <c r="P1740" s="84"/>
      <c r="Q1740" s="84"/>
      <c r="R1740" s="84"/>
    </row>
    <row r="1741" ht="15.75" customHeight="1">
      <c r="A1741" s="125"/>
      <c r="B1741" s="125"/>
      <c r="C1741" s="125"/>
      <c r="D1741" s="125"/>
      <c r="E1741" s="126"/>
      <c r="F1741" s="126"/>
      <c r="G1741" s="125"/>
      <c r="H1741" s="125"/>
      <c r="I1741" s="99"/>
      <c r="K1741" s="84"/>
      <c r="L1741" s="84"/>
      <c r="M1741" s="84"/>
      <c r="N1741" s="84"/>
      <c r="O1741" s="84"/>
      <c r="P1741" s="84"/>
      <c r="Q1741" s="84"/>
      <c r="R1741" s="84"/>
    </row>
    <row r="1742" ht="15.75" customHeight="1">
      <c r="A1742" s="125"/>
      <c r="B1742" s="125"/>
      <c r="C1742" s="125"/>
      <c r="D1742" s="125"/>
      <c r="E1742" s="126"/>
      <c r="F1742" s="126"/>
      <c r="G1742" s="125"/>
      <c r="H1742" s="125"/>
      <c r="I1742" s="99"/>
      <c r="K1742" s="84"/>
      <c r="L1742" s="84"/>
      <c r="M1742" s="84"/>
      <c r="N1742" s="84"/>
      <c r="O1742" s="84"/>
      <c r="P1742" s="84"/>
      <c r="Q1742" s="84"/>
      <c r="R1742" s="84"/>
    </row>
    <row r="1743" ht="15.75" customHeight="1">
      <c r="A1743" s="125"/>
      <c r="B1743" s="125"/>
      <c r="C1743" s="125"/>
      <c r="D1743" s="125"/>
      <c r="E1743" s="126"/>
      <c r="F1743" s="126"/>
      <c r="G1743" s="125"/>
      <c r="H1743" s="125"/>
      <c r="I1743" s="99"/>
      <c r="K1743" s="84"/>
      <c r="L1743" s="84"/>
      <c r="M1743" s="84"/>
      <c r="N1743" s="84"/>
      <c r="O1743" s="84"/>
      <c r="P1743" s="84"/>
      <c r="Q1743" s="84"/>
      <c r="R1743" s="84"/>
    </row>
    <row r="1744" ht="15.75" customHeight="1">
      <c r="A1744" s="125"/>
      <c r="B1744" s="125"/>
      <c r="C1744" s="125"/>
      <c r="D1744" s="125"/>
      <c r="E1744" s="126"/>
      <c r="F1744" s="126"/>
      <c r="G1744" s="125"/>
      <c r="H1744" s="125"/>
      <c r="I1744" s="99"/>
      <c r="K1744" s="84"/>
      <c r="L1744" s="84"/>
      <c r="M1744" s="84"/>
      <c r="N1744" s="84"/>
      <c r="O1744" s="84"/>
      <c r="P1744" s="84"/>
      <c r="Q1744" s="84"/>
      <c r="R1744" s="84"/>
    </row>
    <row r="1745" ht="15.75" customHeight="1">
      <c r="A1745" s="125"/>
      <c r="B1745" s="125"/>
      <c r="C1745" s="125"/>
      <c r="D1745" s="125"/>
      <c r="E1745" s="126"/>
      <c r="F1745" s="126"/>
      <c r="G1745" s="125"/>
      <c r="H1745" s="125"/>
      <c r="I1745" s="99"/>
      <c r="K1745" s="84"/>
      <c r="L1745" s="84"/>
      <c r="M1745" s="84"/>
      <c r="N1745" s="84"/>
      <c r="O1745" s="84"/>
      <c r="P1745" s="84"/>
      <c r="Q1745" s="84"/>
      <c r="R1745" s="84"/>
    </row>
    <row r="1746" ht="15.75" customHeight="1">
      <c r="A1746" s="125"/>
      <c r="B1746" s="125"/>
      <c r="C1746" s="125"/>
      <c r="D1746" s="125"/>
      <c r="E1746" s="126"/>
      <c r="F1746" s="126"/>
      <c r="G1746" s="125"/>
      <c r="H1746" s="125"/>
      <c r="I1746" s="99"/>
      <c r="K1746" s="84"/>
      <c r="L1746" s="84"/>
      <c r="M1746" s="84"/>
      <c r="N1746" s="84"/>
      <c r="O1746" s="84"/>
      <c r="P1746" s="84"/>
      <c r="Q1746" s="84"/>
      <c r="R1746" s="84"/>
    </row>
    <row r="1747" ht="15.75" customHeight="1">
      <c r="A1747" s="125"/>
      <c r="B1747" s="125"/>
      <c r="C1747" s="125"/>
      <c r="D1747" s="125"/>
      <c r="E1747" s="126"/>
      <c r="F1747" s="126"/>
      <c r="G1747" s="125"/>
      <c r="H1747" s="125"/>
      <c r="I1747" s="99"/>
      <c r="K1747" s="84"/>
      <c r="L1747" s="84"/>
      <c r="M1747" s="84"/>
      <c r="N1747" s="84"/>
      <c r="O1747" s="84"/>
      <c r="P1747" s="84"/>
      <c r="Q1747" s="84"/>
      <c r="R1747" s="84"/>
    </row>
    <row r="1748" ht="15.75" customHeight="1">
      <c r="A1748" s="125"/>
      <c r="B1748" s="125"/>
      <c r="C1748" s="125"/>
      <c r="D1748" s="125"/>
      <c r="E1748" s="126"/>
      <c r="F1748" s="126"/>
      <c r="G1748" s="125"/>
      <c r="H1748" s="125"/>
      <c r="I1748" s="99"/>
      <c r="K1748" s="84"/>
      <c r="L1748" s="84"/>
      <c r="M1748" s="84"/>
      <c r="N1748" s="84"/>
      <c r="O1748" s="84"/>
      <c r="P1748" s="84"/>
      <c r="Q1748" s="84"/>
      <c r="R1748" s="84"/>
    </row>
    <row r="1749" ht="15.75" customHeight="1">
      <c r="A1749" s="125"/>
      <c r="B1749" s="125"/>
      <c r="C1749" s="125"/>
      <c r="D1749" s="125"/>
      <c r="E1749" s="126"/>
      <c r="F1749" s="126"/>
      <c r="G1749" s="125"/>
      <c r="H1749" s="125"/>
      <c r="I1749" s="99"/>
      <c r="K1749" s="84"/>
      <c r="L1749" s="84"/>
      <c r="M1749" s="84"/>
      <c r="N1749" s="84"/>
      <c r="O1749" s="84"/>
      <c r="P1749" s="84"/>
      <c r="Q1749" s="84"/>
      <c r="R1749" s="84"/>
    </row>
    <row r="1750" ht="15.75" customHeight="1">
      <c r="A1750" s="125"/>
      <c r="B1750" s="125"/>
      <c r="C1750" s="125"/>
      <c r="D1750" s="125"/>
      <c r="E1750" s="126"/>
      <c r="F1750" s="126"/>
      <c r="G1750" s="125"/>
      <c r="H1750" s="125"/>
      <c r="I1750" s="99"/>
      <c r="K1750" s="84"/>
      <c r="L1750" s="84"/>
      <c r="M1750" s="84"/>
      <c r="N1750" s="84"/>
      <c r="O1750" s="84"/>
      <c r="P1750" s="84"/>
      <c r="Q1750" s="84"/>
      <c r="R1750" s="84"/>
    </row>
    <row r="1751" ht="15.75" customHeight="1">
      <c r="A1751" s="125"/>
      <c r="B1751" s="125"/>
      <c r="C1751" s="125"/>
      <c r="D1751" s="125"/>
      <c r="E1751" s="126"/>
      <c r="F1751" s="126"/>
      <c r="G1751" s="125"/>
      <c r="H1751" s="125"/>
      <c r="I1751" s="99"/>
      <c r="K1751" s="84"/>
      <c r="L1751" s="84"/>
      <c r="M1751" s="84"/>
      <c r="N1751" s="84"/>
      <c r="O1751" s="84"/>
      <c r="P1751" s="84"/>
      <c r="Q1751" s="84"/>
      <c r="R1751" s="84"/>
    </row>
    <row r="1752" ht="15.75" customHeight="1">
      <c r="A1752" s="125"/>
      <c r="B1752" s="125"/>
      <c r="C1752" s="125"/>
      <c r="D1752" s="125"/>
      <c r="E1752" s="126"/>
      <c r="F1752" s="126"/>
      <c r="G1752" s="125"/>
      <c r="H1752" s="125"/>
      <c r="I1752" s="99"/>
      <c r="K1752" s="84"/>
      <c r="L1752" s="84"/>
      <c r="M1752" s="84"/>
      <c r="N1752" s="84"/>
      <c r="O1752" s="84"/>
      <c r="P1752" s="84"/>
      <c r="Q1752" s="84"/>
      <c r="R1752" s="84"/>
    </row>
    <row r="1753" ht="15.75" customHeight="1">
      <c r="A1753" s="125"/>
      <c r="B1753" s="125"/>
      <c r="C1753" s="125"/>
      <c r="D1753" s="125"/>
      <c r="E1753" s="126"/>
      <c r="F1753" s="126"/>
      <c r="G1753" s="125"/>
      <c r="H1753" s="125"/>
      <c r="I1753" s="99"/>
      <c r="K1753" s="84"/>
      <c r="L1753" s="84"/>
      <c r="M1753" s="84"/>
      <c r="N1753" s="84"/>
      <c r="O1753" s="84"/>
      <c r="P1753" s="84"/>
      <c r="Q1753" s="84"/>
      <c r="R1753" s="84"/>
    </row>
    <row r="1754" ht="15.75" customHeight="1">
      <c r="A1754" s="125"/>
      <c r="B1754" s="125"/>
      <c r="C1754" s="125"/>
      <c r="D1754" s="125"/>
      <c r="E1754" s="126"/>
      <c r="F1754" s="126"/>
      <c r="G1754" s="125"/>
      <c r="H1754" s="125"/>
      <c r="I1754" s="99"/>
      <c r="K1754" s="84"/>
      <c r="L1754" s="84"/>
      <c r="M1754" s="84"/>
      <c r="N1754" s="84"/>
      <c r="O1754" s="84"/>
      <c r="P1754" s="84"/>
      <c r="Q1754" s="84"/>
      <c r="R1754" s="84"/>
    </row>
    <row r="1755" ht="15.75" customHeight="1">
      <c r="A1755" s="125"/>
      <c r="B1755" s="125"/>
      <c r="C1755" s="125"/>
      <c r="D1755" s="125"/>
      <c r="E1755" s="126"/>
      <c r="F1755" s="126"/>
      <c r="G1755" s="125"/>
      <c r="H1755" s="125"/>
      <c r="I1755" s="99"/>
      <c r="K1755" s="84"/>
      <c r="L1755" s="84"/>
      <c r="M1755" s="84"/>
      <c r="N1755" s="84"/>
      <c r="O1755" s="84"/>
      <c r="P1755" s="84"/>
      <c r="Q1755" s="84"/>
      <c r="R1755" s="84"/>
    </row>
    <row r="1756" ht="15.75" customHeight="1">
      <c r="A1756" s="125"/>
      <c r="B1756" s="125"/>
      <c r="C1756" s="125"/>
      <c r="D1756" s="125"/>
      <c r="E1756" s="126"/>
      <c r="F1756" s="126"/>
      <c r="G1756" s="125"/>
      <c r="H1756" s="125"/>
      <c r="I1756" s="99"/>
      <c r="K1756" s="84"/>
      <c r="L1756" s="84"/>
      <c r="M1756" s="84"/>
      <c r="N1756" s="84"/>
      <c r="O1756" s="84"/>
      <c r="P1756" s="84"/>
      <c r="Q1756" s="84"/>
      <c r="R1756" s="84"/>
    </row>
    <row r="1757" ht="15.75" customHeight="1">
      <c r="A1757" s="125"/>
      <c r="B1757" s="125"/>
      <c r="C1757" s="125"/>
      <c r="D1757" s="125"/>
      <c r="E1757" s="126"/>
      <c r="F1757" s="126"/>
      <c r="G1757" s="125"/>
      <c r="H1757" s="125"/>
      <c r="I1757" s="99"/>
      <c r="K1757" s="84"/>
      <c r="L1757" s="84"/>
      <c r="M1757" s="84"/>
      <c r="N1757" s="84"/>
      <c r="O1757" s="84"/>
      <c r="P1757" s="84"/>
      <c r="Q1757" s="84"/>
      <c r="R1757" s="84"/>
    </row>
    <row r="1758" ht="15.75" customHeight="1">
      <c r="A1758" s="125"/>
      <c r="B1758" s="125"/>
      <c r="C1758" s="125"/>
      <c r="D1758" s="125"/>
      <c r="E1758" s="126"/>
      <c r="F1758" s="126"/>
      <c r="G1758" s="125"/>
      <c r="H1758" s="125"/>
      <c r="I1758" s="99"/>
      <c r="K1758" s="84"/>
      <c r="L1758" s="84"/>
      <c r="M1758" s="84"/>
      <c r="N1758" s="84"/>
      <c r="O1758" s="84"/>
      <c r="P1758" s="84"/>
      <c r="Q1758" s="84"/>
      <c r="R1758" s="84"/>
    </row>
    <row r="1759" ht="15.75" customHeight="1">
      <c r="A1759" s="125"/>
      <c r="B1759" s="125"/>
      <c r="C1759" s="125"/>
      <c r="D1759" s="125"/>
      <c r="E1759" s="126"/>
      <c r="F1759" s="126"/>
      <c r="G1759" s="125"/>
      <c r="H1759" s="125"/>
      <c r="I1759" s="99"/>
      <c r="K1759" s="84"/>
      <c r="L1759" s="84"/>
      <c r="M1759" s="84"/>
      <c r="N1759" s="84"/>
      <c r="O1759" s="84"/>
      <c r="P1759" s="84"/>
      <c r="Q1759" s="84"/>
      <c r="R1759" s="84"/>
    </row>
    <row r="1760" ht="15.75" customHeight="1">
      <c r="A1760" s="125"/>
      <c r="B1760" s="125"/>
      <c r="C1760" s="125"/>
      <c r="D1760" s="125"/>
      <c r="E1760" s="126"/>
      <c r="F1760" s="126"/>
      <c r="G1760" s="125"/>
      <c r="H1760" s="125"/>
      <c r="I1760" s="99"/>
      <c r="K1760" s="84"/>
      <c r="L1760" s="84"/>
      <c r="M1760" s="84"/>
      <c r="N1760" s="84"/>
      <c r="O1760" s="84"/>
      <c r="P1760" s="84"/>
      <c r="Q1760" s="84"/>
      <c r="R1760" s="84"/>
    </row>
    <row r="1761" ht="15.75" customHeight="1">
      <c r="A1761" s="125"/>
      <c r="B1761" s="125"/>
      <c r="C1761" s="125"/>
      <c r="D1761" s="125"/>
      <c r="E1761" s="126"/>
      <c r="F1761" s="126"/>
      <c r="G1761" s="125"/>
      <c r="H1761" s="125"/>
      <c r="I1761" s="99"/>
      <c r="K1761" s="84"/>
      <c r="L1761" s="84"/>
      <c r="M1761" s="84"/>
      <c r="N1761" s="84"/>
      <c r="O1761" s="84"/>
      <c r="P1761" s="84"/>
      <c r="Q1761" s="84"/>
      <c r="R1761" s="84"/>
    </row>
    <row r="1762" ht="15.75" customHeight="1">
      <c r="A1762" s="125"/>
      <c r="B1762" s="125"/>
      <c r="C1762" s="125"/>
      <c r="D1762" s="125"/>
      <c r="E1762" s="126"/>
      <c r="F1762" s="126"/>
      <c r="G1762" s="125"/>
      <c r="H1762" s="125"/>
      <c r="I1762" s="99"/>
      <c r="K1762" s="84"/>
      <c r="L1762" s="84"/>
      <c r="M1762" s="84"/>
      <c r="N1762" s="84"/>
      <c r="O1762" s="84"/>
      <c r="P1762" s="84"/>
      <c r="Q1762" s="84"/>
      <c r="R1762" s="84"/>
    </row>
    <row r="1763" ht="15.75" customHeight="1">
      <c r="A1763" s="125"/>
      <c r="B1763" s="125"/>
      <c r="C1763" s="125"/>
      <c r="D1763" s="125"/>
      <c r="E1763" s="126"/>
      <c r="F1763" s="126"/>
      <c r="G1763" s="125"/>
      <c r="H1763" s="125"/>
      <c r="I1763" s="99"/>
      <c r="K1763" s="84"/>
      <c r="L1763" s="84"/>
      <c r="M1763" s="84"/>
      <c r="N1763" s="84"/>
      <c r="O1763" s="84"/>
      <c r="P1763" s="84"/>
      <c r="Q1763" s="84"/>
      <c r="R1763" s="84"/>
    </row>
    <row r="1764" ht="15.75" customHeight="1">
      <c r="A1764" s="125"/>
      <c r="B1764" s="125"/>
      <c r="C1764" s="125"/>
      <c r="D1764" s="125"/>
      <c r="E1764" s="126"/>
      <c r="F1764" s="126"/>
      <c r="G1764" s="125"/>
      <c r="H1764" s="125"/>
      <c r="I1764" s="99"/>
      <c r="K1764" s="84"/>
      <c r="L1764" s="84"/>
      <c r="M1764" s="84"/>
      <c r="N1764" s="84"/>
      <c r="O1764" s="84"/>
      <c r="P1764" s="84"/>
      <c r="Q1764" s="84"/>
      <c r="R1764" s="84"/>
    </row>
    <row r="1765" ht="15.75" customHeight="1">
      <c r="A1765" s="125"/>
      <c r="B1765" s="125"/>
      <c r="C1765" s="125"/>
      <c r="D1765" s="125"/>
      <c r="E1765" s="126"/>
      <c r="F1765" s="126"/>
      <c r="G1765" s="125"/>
      <c r="H1765" s="125"/>
      <c r="I1765" s="99"/>
      <c r="K1765" s="84"/>
      <c r="L1765" s="84"/>
      <c r="M1765" s="84"/>
      <c r="N1765" s="84"/>
      <c r="O1765" s="84"/>
      <c r="P1765" s="84"/>
      <c r="Q1765" s="84"/>
      <c r="R1765" s="84"/>
    </row>
    <row r="1766" ht="15.75" customHeight="1">
      <c r="A1766" s="125"/>
      <c r="B1766" s="125"/>
      <c r="C1766" s="125"/>
      <c r="D1766" s="125"/>
      <c r="E1766" s="126"/>
      <c r="F1766" s="126"/>
      <c r="G1766" s="125"/>
      <c r="H1766" s="125"/>
      <c r="I1766" s="99"/>
      <c r="K1766" s="84"/>
      <c r="L1766" s="84"/>
      <c r="M1766" s="84"/>
      <c r="N1766" s="84"/>
      <c r="O1766" s="84"/>
      <c r="P1766" s="84"/>
      <c r="Q1766" s="84"/>
      <c r="R1766" s="84"/>
    </row>
    <row r="1767" ht="15.75" customHeight="1">
      <c r="A1767" s="125"/>
      <c r="B1767" s="125"/>
      <c r="C1767" s="125"/>
      <c r="D1767" s="125"/>
      <c r="E1767" s="126"/>
      <c r="F1767" s="126"/>
      <c r="G1767" s="125"/>
      <c r="H1767" s="125"/>
      <c r="I1767" s="99"/>
      <c r="K1767" s="84"/>
      <c r="L1767" s="84"/>
      <c r="M1767" s="84"/>
      <c r="N1767" s="84"/>
      <c r="O1767" s="84"/>
      <c r="P1767" s="84"/>
      <c r="Q1767" s="84"/>
      <c r="R1767" s="84"/>
    </row>
    <row r="1768" ht="15.75" customHeight="1">
      <c r="A1768" s="125"/>
      <c r="B1768" s="125"/>
      <c r="C1768" s="125"/>
      <c r="D1768" s="125"/>
      <c r="E1768" s="126"/>
      <c r="F1768" s="126"/>
      <c r="G1768" s="125"/>
      <c r="H1768" s="125"/>
      <c r="I1768" s="99"/>
      <c r="K1768" s="84"/>
      <c r="L1768" s="84"/>
      <c r="M1768" s="84"/>
      <c r="N1768" s="84"/>
      <c r="O1768" s="84"/>
      <c r="P1768" s="84"/>
      <c r="Q1768" s="84"/>
      <c r="R1768" s="84"/>
    </row>
    <row r="1769" ht="15.75" customHeight="1">
      <c r="A1769" s="125"/>
      <c r="B1769" s="125"/>
      <c r="C1769" s="125"/>
      <c r="D1769" s="125"/>
      <c r="E1769" s="126"/>
      <c r="F1769" s="126"/>
      <c r="G1769" s="125"/>
      <c r="H1769" s="125"/>
      <c r="I1769" s="99"/>
      <c r="K1769" s="84"/>
      <c r="L1769" s="84"/>
      <c r="M1769" s="84"/>
      <c r="N1769" s="84"/>
      <c r="O1769" s="84"/>
      <c r="P1769" s="84"/>
      <c r="Q1769" s="84"/>
      <c r="R1769" s="84"/>
    </row>
    <row r="1770" ht="15.75" customHeight="1">
      <c r="A1770" s="125"/>
      <c r="B1770" s="125"/>
      <c r="C1770" s="125"/>
      <c r="D1770" s="125"/>
      <c r="E1770" s="126"/>
      <c r="F1770" s="126"/>
      <c r="G1770" s="125"/>
      <c r="H1770" s="125"/>
      <c r="I1770" s="99"/>
      <c r="K1770" s="84"/>
      <c r="L1770" s="84"/>
      <c r="M1770" s="84"/>
      <c r="N1770" s="84"/>
      <c r="O1770" s="84"/>
      <c r="P1770" s="84"/>
      <c r="Q1770" s="84"/>
      <c r="R1770" s="84"/>
    </row>
    <row r="1771" ht="15.75" customHeight="1">
      <c r="A1771" s="125"/>
      <c r="B1771" s="125"/>
      <c r="C1771" s="125"/>
      <c r="D1771" s="125"/>
      <c r="E1771" s="126"/>
      <c r="F1771" s="126"/>
      <c r="G1771" s="125"/>
      <c r="H1771" s="125"/>
      <c r="I1771" s="99"/>
      <c r="K1771" s="84"/>
      <c r="L1771" s="84"/>
      <c r="M1771" s="84"/>
      <c r="N1771" s="84"/>
      <c r="O1771" s="84"/>
      <c r="P1771" s="84"/>
      <c r="Q1771" s="84"/>
      <c r="R1771" s="84"/>
    </row>
    <row r="1772" ht="15.75" customHeight="1">
      <c r="A1772" s="125"/>
      <c r="B1772" s="125"/>
      <c r="C1772" s="125"/>
      <c r="D1772" s="125"/>
      <c r="E1772" s="126"/>
      <c r="F1772" s="126"/>
      <c r="G1772" s="125"/>
      <c r="H1772" s="125"/>
      <c r="I1772" s="99"/>
      <c r="K1772" s="84"/>
      <c r="L1772" s="84"/>
      <c r="M1772" s="84"/>
      <c r="N1772" s="84"/>
      <c r="O1772" s="84"/>
      <c r="P1772" s="84"/>
      <c r="Q1772" s="84"/>
      <c r="R1772" s="84"/>
    </row>
    <row r="1773" ht="15.75" customHeight="1">
      <c r="A1773" s="125"/>
      <c r="B1773" s="125"/>
      <c r="C1773" s="125"/>
      <c r="D1773" s="125"/>
      <c r="E1773" s="126"/>
      <c r="F1773" s="126"/>
      <c r="G1773" s="125"/>
      <c r="H1773" s="125"/>
      <c r="I1773" s="99"/>
      <c r="K1773" s="84"/>
      <c r="L1773" s="84"/>
      <c r="M1773" s="84"/>
      <c r="N1773" s="84"/>
      <c r="O1773" s="84"/>
      <c r="P1773" s="84"/>
      <c r="Q1773" s="84"/>
      <c r="R1773" s="84"/>
    </row>
    <row r="1774" ht="15.75" customHeight="1">
      <c r="A1774" s="125"/>
      <c r="B1774" s="125"/>
      <c r="C1774" s="125"/>
      <c r="D1774" s="125"/>
      <c r="E1774" s="126"/>
      <c r="F1774" s="126"/>
      <c r="G1774" s="125"/>
      <c r="H1774" s="125"/>
      <c r="I1774" s="99"/>
      <c r="K1774" s="84"/>
      <c r="L1774" s="84"/>
      <c r="M1774" s="84"/>
      <c r="N1774" s="84"/>
      <c r="O1774" s="84"/>
      <c r="P1774" s="84"/>
      <c r="Q1774" s="84"/>
      <c r="R1774" s="84"/>
    </row>
    <row r="1775" ht="15.75" customHeight="1">
      <c r="A1775" s="125"/>
      <c r="B1775" s="125"/>
      <c r="C1775" s="125"/>
      <c r="D1775" s="125"/>
      <c r="E1775" s="126"/>
      <c r="F1775" s="126"/>
      <c r="G1775" s="125"/>
      <c r="H1775" s="125"/>
      <c r="I1775" s="99"/>
      <c r="K1775" s="84"/>
      <c r="L1775" s="84"/>
      <c r="M1775" s="84"/>
      <c r="N1775" s="84"/>
      <c r="O1775" s="84"/>
      <c r="P1775" s="84"/>
      <c r="Q1775" s="84"/>
      <c r="R1775" s="84"/>
    </row>
    <row r="1776" ht="15.75" customHeight="1">
      <c r="A1776" s="125"/>
      <c r="B1776" s="125"/>
      <c r="C1776" s="125"/>
      <c r="D1776" s="125"/>
      <c r="E1776" s="126"/>
      <c r="F1776" s="126"/>
      <c r="G1776" s="125"/>
      <c r="H1776" s="125"/>
      <c r="I1776" s="99"/>
      <c r="K1776" s="84"/>
      <c r="L1776" s="84"/>
      <c r="M1776" s="84"/>
      <c r="N1776" s="84"/>
      <c r="O1776" s="84"/>
      <c r="P1776" s="84"/>
      <c r="Q1776" s="84"/>
      <c r="R1776" s="84"/>
    </row>
    <row r="1777" ht="15.75" customHeight="1">
      <c r="A1777" s="125"/>
      <c r="B1777" s="125"/>
      <c r="C1777" s="125"/>
      <c r="D1777" s="125"/>
      <c r="E1777" s="126"/>
      <c r="F1777" s="126"/>
      <c r="G1777" s="125"/>
      <c r="H1777" s="125"/>
      <c r="I1777" s="99"/>
      <c r="K1777" s="84"/>
      <c r="L1777" s="84"/>
      <c r="M1777" s="84"/>
      <c r="N1777" s="84"/>
      <c r="O1777" s="84"/>
      <c r="P1777" s="84"/>
      <c r="Q1777" s="84"/>
      <c r="R1777" s="84"/>
    </row>
    <row r="1778" ht="15.75" customHeight="1">
      <c r="A1778" s="125"/>
      <c r="B1778" s="125"/>
      <c r="C1778" s="125"/>
      <c r="D1778" s="125"/>
      <c r="E1778" s="126"/>
      <c r="F1778" s="126"/>
      <c r="G1778" s="125"/>
      <c r="H1778" s="125"/>
      <c r="I1778" s="99"/>
      <c r="K1778" s="84"/>
      <c r="L1778" s="84"/>
      <c r="M1778" s="84"/>
      <c r="N1778" s="84"/>
      <c r="O1778" s="84"/>
      <c r="P1778" s="84"/>
      <c r="Q1778" s="84"/>
      <c r="R1778" s="84"/>
    </row>
    <row r="1779" ht="15.75" customHeight="1">
      <c r="A1779" s="125"/>
      <c r="B1779" s="125"/>
      <c r="C1779" s="125"/>
      <c r="D1779" s="125"/>
      <c r="E1779" s="126"/>
      <c r="F1779" s="126"/>
      <c r="G1779" s="125"/>
      <c r="H1779" s="125"/>
      <c r="I1779" s="99"/>
      <c r="K1779" s="84"/>
      <c r="L1779" s="84"/>
      <c r="M1779" s="84"/>
      <c r="N1779" s="84"/>
      <c r="O1779" s="84"/>
      <c r="P1779" s="84"/>
      <c r="Q1779" s="84"/>
      <c r="R1779" s="84"/>
    </row>
    <row r="1780" ht="15.75" customHeight="1">
      <c r="A1780" s="125"/>
      <c r="B1780" s="125"/>
      <c r="C1780" s="125"/>
      <c r="D1780" s="125"/>
      <c r="E1780" s="126"/>
      <c r="F1780" s="126"/>
      <c r="G1780" s="125"/>
      <c r="H1780" s="125"/>
      <c r="I1780" s="99"/>
      <c r="K1780" s="84"/>
      <c r="L1780" s="84"/>
      <c r="M1780" s="84"/>
      <c r="N1780" s="84"/>
      <c r="O1780" s="84"/>
      <c r="P1780" s="84"/>
      <c r="Q1780" s="84"/>
      <c r="R1780" s="84"/>
    </row>
    <row r="1781" ht="15.75" customHeight="1">
      <c r="A1781" s="125"/>
      <c r="B1781" s="125"/>
      <c r="C1781" s="125"/>
      <c r="D1781" s="125"/>
      <c r="E1781" s="126"/>
      <c r="F1781" s="126"/>
      <c r="G1781" s="125"/>
      <c r="H1781" s="125"/>
      <c r="I1781" s="99"/>
      <c r="K1781" s="84"/>
      <c r="L1781" s="84"/>
      <c r="M1781" s="84"/>
      <c r="N1781" s="84"/>
      <c r="O1781" s="84"/>
      <c r="P1781" s="84"/>
      <c r="Q1781" s="84"/>
      <c r="R1781" s="84"/>
    </row>
    <row r="1782" ht="15.75" customHeight="1">
      <c r="A1782" s="125"/>
      <c r="B1782" s="125"/>
      <c r="C1782" s="125"/>
      <c r="D1782" s="125"/>
      <c r="E1782" s="126"/>
      <c r="F1782" s="126"/>
      <c r="G1782" s="125"/>
      <c r="H1782" s="125"/>
      <c r="I1782" s="99"/>
      <c r="K1782" s="84"/>
      <c r="L1782" s="84"/>
      <c r="M1782" s="84"/>
      <c r="N1782" s="84"/>
      <c r="O1782" s="84"/>
      <c r="P1782" s="84"/>
      <c r="Q1782" s="84"/>
      <c r="R1782" s="84"/>
    </row>
    <row r="1783" ht="15.75" customHeight="1">
      <c r="A1783" s="125"/>
      <c r="B1783" s="125"/>
      <c r="C1783" s="125"/>
      <c r="D1783" s="125"/>
      <c r="E1783" s="126"/>
      <c r="F1783" s="126"/>
      <c r="G1783" s="125"/>
      <c r="H1783" s="125"/>
      <c r="I1783" s="99"/>
      <c r="K1783" s="84"/>
      <c r="L1783" s="84"/>
      <c r="M1783" s="84"/>
      <c r="N1783" s="84"/>
      <c r="O1783" s="84"/>
      <c r="P1783" s="84"/>
      <c r="Q1783" s="84"/>
      <c r="R1783" s="84"/>
    </row>
    <row r="1784" ht="15.75" customHeight="1">
      <c r="A1784" s="125"/>
      <c r="B1784" s="125"/>
      <c r="C1784" s="125"/>
      <c r="D1784" s="125"/>
      <c r="E1784" s="126"/>
      <c r="F1784" s="126"/>
      <c r="G1784" s="125"/>
      <c r="H1784" s="125"/>
      <c r="I1784" s="99"/>
      <c r="K1784" s="84"/>
      <c r="L1784" s="84"/>
      <c r="M1784" s="84"/>
      <c r="N1784" s="84"/>
      <c r="O1784" s="84"/>
      <c r="P1784" s="84"/>
      <c r="Q1784" s="84"/>
      <c r="R1784" s="84"/>
    </row>
    <row r="1785" ht="15.75" customHeight="1">
      <c r="A1785" s="125"/>
      <c r="B1785" s="125"/>
      <c r="C1785" s="125"/>
      <c r="D1785" s="125"/>
      <c r="E1785" s="126"/>
      <c r="F1785" s="126"/>
      <c r="G1785" s="125"/>
      <c r="H1785" s="125"/>
      <c r="I1785" s="99"/>
      <c r="K1785" s="84"/>
      <c r="L1785" s="84"/>
      <c r="M1785" s="84"/>
      <c r="N1785" s="84"/>
      <c r="O1785" s="84"/>
      <c r="P1785" s="84"/>
      <c r="Q1785" s="84"/>
      <c r="R1785" s="84"/>
    </row>
    <row r="1786" ht="15.75" customHeight="1">
      <c r="A1786" s="125"/>
      <c r="B1786" s="125"/>
      <c r="C1786" s="125"/>
      <c r="D1786" s="125"/>
      <c r="E1786" s="126"/>
      <c r="F1786" s="126"/>
      <c r="G1786" s="125"/>
      <c r="H1786" s="125"/>
      <c r="I1786" s="99"/>
      <c r="K1786" s="84"/>
      <c r="L1786" s="84"/>
      <c r="M1786" s="84"/>
      <c r="N1786" s="84"/>
      <c r="O1786" s="84"/>
      <c r="P1786" s="84"/>
      <c r="Q1786" s="84"/>
      <c r="R1786" s="84"/>
    </row>
    <row r="1787" ht="15.75" customHeight="1">
      <c r="A1787" s="125"/>
      <c r="B1787" s="125"/>
      <c r="C1787" s="125"/>
      <c r="D1787" s="125"/>
      <c r="E1787" s="126"/>
      <c r="F1787" s="126"/>
      <c r="G1787" s="125"/>
      <c r="H1787" s="125"/>
      <c r="I1787" s="99"/>
      <c r="K1787" s="84"/>
      <c r="L1787" s="84"/>
      <c r="M1787" s="84"/>
      <c r="N1787" s="84"/>
      <c r="O1787" s="84"/>
      <c r="P1787" s="84"/>
      <c r="Q1787" s="84"/>
      <c r="R1787" s="84"/>
    </row>
    <row r="1788" ht="15.75" customHeight="1">
      <c r="A1788" s="125"/>
      <c r="B1788" s="125"/>
      <c r="C1788" s="125"/>
      <c r="D1788" s="125"/>
      <c r="E1788" s="126"/>
      <c r="F1788" s="126"/>
      <c r="G1788" s="125"/>
      <c r="H1788" s="125"/>
      <c r="I1788" s="99"/>
      <c r="K1788" s="84"/>
      <c r="L1788" s="84"/>
      <c r="M1788" s="84"/>
      <c r="N1788" s="84"/>
      <c r="O1788" s="84"/>
      <c r="P1788" s="84"/>
      <c r="Q1788" s="84"/>
      <c r="R1788" s="84"/>
    </row>
    <row r="1789" ht="15.75" customHeight="1">
      <c r="A1789" s="125"/>
      <c r="B1789" s="125"/>
      <c r="C1789" s="125"/>
      <c r="D1789" s="125"/>
      <c r="E1789" s="126"/>
      <c r="F1789" s="126"/>
      <c r="G1789" s="125"/>
      <c r="H1789" s="125"/>
      <c r="I1789" s="99"/>
      <c r="K1789" s="84"/>
      <c r="L1789" s="84"/>
      <c r="M1789" s="84"/>
      <c r="N1789" s="84"/>
      <c r="O1789" s="84"/>
      <c r="P1789" s="84"/>
      <c r="Q1789" s="84"/>
      <c r="R1789" s="84"/>
    </row>
    <row r="1790" ht="15.75" customHeight="1">
      <c r="A1790" s="125"/>
      <c r="B1790" s="125"/>
      <c r="C1790" s="125"/>
      <c r="D1790" s="125"/>
      <c r="E1790" s="126"/>
      <c r="F1790" s="126"/>
      <c r="G1790" s="125"/>
      <c r="H1790" s="125"/>
      <c r="I1790" s="99"/>
      <c r="K1790" s="84"/>
      <c r="L1790" s="84"/>
      <c r="M1790" s="84"/>
      <c r="N1790" s="84"/>
      <c r="O1790" s="84"/>
      <c r="P1790" s="84"/>
      <c r="Q1790" s="84"/>
      <c r="R1790" s="84"/>
    </row>
    <row r="1791" ht="15.75" customHeight="1">
      <c r="A1791" s="125"/>
      <c r="B1791" s="125"/>
      <c r="C1791" s="125"/>
      <c r="D1791" s="125"/>
      <c r="E1791" s="126"/>
      <c r="F1791" s="126"/>
      <c r="G1791" s="125"/>
      <c r="H1791" s="125"/>
      <c r="I1791" s="99"/>
      <c r="K1791" s="84"/>
      <c r="L1791" s="84"/>
      <c r="M1791" s="84"/>
      <c r="N1791" s="84"/>
      <c r="O1791" s="84"/>
      <c r="P1791" s="84"/>
      <c r="Q1791" s="84"/>
      <c r="R1791" s="84"/>
    </row>
    <row r="1792" ht="15.75" customHeight="1">
      <c r="A1792" s="125"/>
      <c r="B1792" s="125"/>
      <c r="C1792" s="125"/>
      <c r="D1792" s="125"/>
      <c r="E1792" s="126"/>
      <c r="F1792" s="126"/>
      <c r="G1792" s="125"/>
      <c r="H1792" s="125"/>
      <c r="I1792" s="99"/>
      <c r="K1792" s="84"/>
      <c r="L1792" s="84"/>
      <c r="M1792" s="84"/>
      <c r="N1792" s="84"/>
      <c r="O1792" s="84"/>
      <c r="P1792" s="84"/>
      <c r="Q1792" s="84"/>
      <c r="R1792" s="84"/>
    </row>
    <row r="1793" ht="15.75" customHeight="1">
      <c r="A1793" s="125"/>
      <c r="B1793" s="125"/>
      <c r="C1793" s="125"/>
      <c r="D1793" s="125"/>
      <c r="E1793" s="126"/>
      <c r="F1793" s="126"/>
      <c r="G1793" s="125"/>
      <c r="H1793" s="125"/>
      <c r="I1793" s="99"/>
      <c r="K1793" s="84"/>
      <c r="L1793" s="84"/>
      <c r="M1793" s="84"/>
      <c r="N1793" s="84"/>
      <c r="O1793" s="84"/>
      <c r="P1793" s="84"/>
      <c r="Q1793" s="84"/>
      <c r="R1793" s="84"/>
    </row>
    <row r="1794" ht="15.75" customHeight="1">
      <c r="A1794" s="125"/>
      <c r="B1794" s="125"/>
      <c r="C1794" s="125"/>
      <c r="D1794" s="125"/>
      <c r="E1794" s="126"/>
      <c r="F1794" s="126"/>
      <c r="G1794" s="125"/>
      <c r="H1794" s="125"/>
      <c r="I1794" s="99"/>
      <c r="K1794" s="84"/>
      <c r="L1794" s="84"/>
      <c r="M1794" s="84"/>
      <c r="N1794" s="84"/>
      <c r="O1794" s="84"/>
      <c r="P1794" s="84"/>
      <c r="Q1794" s="84"/>
      <c r="R1794" s="84"/>
    </row>
    <row r="1795" ht="15.75" customHeight="1">
      <c r="A1795" s="125"/>
      <c r="B1795" s="125"/>
      <c r="C1795" s="125"/>
      <c r="D1795" s="125"/>
      <c r="E1795" s="126"/>
      <c r="F1795" s="126"/>
      <c r="G1795" s="125"/>
      <c r="H1795" s="125"/>
      <c r="I1795" s="99"/>
      <c r="K1795" s="84"/>
      <c r="L1795" s="84"/>
      <c r="M1795" s="84"/>
      <c r="N1795" s="84"/>
      <c r="O1795" s="84"/>
      <c r="P1795" s="84"/>
      <c r="Q1795" s="84"/>
      <c r="R1795" s="84"/>
    </row>
    <row r="1796" ht="15.75" customHeight="1">
      <c r="A1796" s="125"/>
      <c r="B1796" s="125"/>
      <c r="C1796" s="125"/>
      <c r="D1796" s="125"/>
      <c r="E1796" s="126"/>
      <c r="F1796" s="126"/>
      <c r="G1796" s="125"/>
      <c r="H1796" s="125"/>
      <c r="I1796" s="99"/>
      <c r="K1796" s="84"/>
      <c r="L1796" s="84"/>
      <c r="M1796" s="84"/>
      <c r="N1796" s="84"/>
      <c r="O1796" s="84"/>
      <c r="P1796" s="84"/>
      <c r="Q1796" s="84"/>
      <c r="R1796" s="84"/>
    </row>
    <row r="1797" ht="15.75" customHeight="1">
      <c r="A1797" s="125"/>
      <c r="B1797" s="125"/>
      <c r="C1797" s="125"/>
      <c r="D1797" s="125"/>
      <c r="E1797" s="126"/>
      <c r="F1797" s="126"/>
      <c r="G1797" s="125"/>
      <c r="H1797" s="125"/>
      <c r="I1797" s="99"/>
      <c r="K1797" s="84"/>
      <c r="L1797" s="84"/>
      <c r="M1797" s="84"/>
      <c r="N1797" s="84"/>
      <c r="O1797" s="84"/>
      <c r="P1797" s="84"/>
      <c r="Q1797" s="84"/>
      <c r="R1797" s="84"/>
    </row>
    <row r="1798" ht="15.75" customHeight="1">
      <c r="A1798" s="125"/>
      <c r="B1798" s="125"/>
      <c r="C1798" s="125"/>
      <c r="D1798" s="125"/>
      <c r="E1798" s="126"/>
      <c r="F1798" s="126"/>
      <c r="G1798" s="125"/>
      <c r="H1798" s="125"/>
      <c r="I1798" s="99"/>
      <c r="K1798" s="84"/>
      <c r="L1798" s="84"/>
      <c r="M1798" s="84"/>
      <c r="N1798" s="84"/>
      <c r="O1798" s="84"/>
      <c r="P1798" s="84"/>
      <c r="Q1798" s="84"/>
      <c r="R1798" s="84"/>
    </row>
    <row r="1799" ht="15.75" customHeight="1">
      <c r="A1799" s="125"/>
      <c r="B1799" s="125"/>
      <c r="C1799" s="125"/>
      <c r="D1799" s="125"/>
      <c r="E1799" s="126"/>
      <c r="F1799" s="126"/>
      <c r="G1799" s="125"/>
      <c r="H1799" s="125"/>
      <c r="I1799" s="99"/>
      <c r="K1799" s="84"/>
      <c r="L1799" s="84"/>
      <c r="M1799" s="84"/>
      <c r="N1799" s="84"/>
      <c r="O1799" s="84"/>
      <c r="P1799" s="84"/>
      <c r="Q1799" s="84"/>
      <c r="R1799" s="84"/>
    </row>
    <row r="1800" ht="15.75" customHeight="1">
      <c r="A1800" s="125"/>
      <c r="B1800" s="125"/>
      <c r="C1800" s="125"/>
      <c r="D1800" s="125"/>
      <c r="E1800" s="126"/>
      <c r="F1800" s="126"/>
      <c r="G1800" s="125"/>
      <c r="H1800" s="125"/>
      <c r="I1800" s="99"/>
      <c r="K1800" s="84"/>
      <c r="L1800" s="84"/>
      <c r="M1800" s="84"/>
      <c r="N1800" s="84"/>
      <c r="O1800" s="84"/>
      <c r="P1800" s="84"/>
      <c r="Q1800" s="84"/>
      <c r="R1800" s="84"/>
    </row>
    <row r="1801" ht="15.75" customHeight="1">
      <c r="A1801" s="125"/>
      <c r="B1801" s="125"/>
      <c r="C1801" s="125"/>
      <c r="D1801" s="125"/>
      <c r="E1801" s="126"/>
      <c r="F1801" s="126"/>
      <c r="G1801" s="125"/>
      <c r="H1801" s="125"/>
      <c r="I1801" s="99"/>
      <c r="K1801" s="84"/>
      <c r="L1801" s="84"/>
      <c r="M1801" s="84"/>
      <c r="N1801" s="84"/>
      <c r="O1801" s="84"/>
      <c r="P1801" s="84"/>
      <c r="Q1801" s="84"/>
      <c r="R1801" s="84"/>
    </row>
    <row r="1802" ht="15.75" customHeight="1">
      <c r="A1802" s="125"/>
      <c r="B1802" s="125"/>
      <c r="C1802" s="125"/>
      <c r="D1802" s="125"/>
      <c r="E1802" s="126"/>
      <c r="F1802" s="126"/>
      <c r="G1802" s="125"/>
      <c r="H1802" s="125"/>
      <c r="I1802" s="99"/>
      <c r="K1802" s="84"/>
      <c r="L1802" s="84"/>
      <c r="M1802" s="84"/>
      <c r="N1802" s="84"/>
      <c r="O1802" s="84"/>
      <c r="P1802" s="84"/>
      <c r="Q1802" s="84"/>
      <c r="R1802" s="84"/>
    </row>
    <row r="1803" ht="15.75" customHeight="1">
      <c r="A1803" s="125"/>
      <c r="B1803" s="125"/>
      <c r="C1803" s="125"/>
      <c r="D1803" s="125"/>
      <c r="E1803" s="126"/>
      <c r="F1803" s="126"/>
      <c r="G1803" s="125"/>
      <c r="H1803" s="125"/>
      <c r="I1803" s="99"/>
      <c r="K1803" s="84"/>
      <c r="L1803" s="84"/>
      <c r="M1803" s="84"/>
      <c r="N1803" s="84"/>
      <c r="O1803" s="84"/>
      <c r="P1803" s="84"/>
      <c r="Q1803" s="84"/>
      <c r="R1803" s="84"/>
    </row>
    <row r="1804" ht="15.75" customHeight="1">
      <c r="A1804" s="125"/>
      <c r="B1804" s="125"/>
      <c r="C1804" s="125"/>
      <c r="D1804" s="125"/>
      <c r="E1804" s="126"/>
      <c r="F1804" s="126"/>
      <c r="G1804" s="125"/>
      <c r="H1804" s="125"/>
      <c r="I1804" s="99"/>
      <c r="K1804" s="84"/>
      <c r="L1804" s="84"/>
      <c r="M1804" s="84"/>
      <c r="N1804" s="84"/>
      <c r="O1804" s="84"/>
      <c r="P1804" s="84"/>
      <c r="Q1804" s="84"/>
      <c r="R1804" s="84"/>
    </row>
    <row r="1805" ht="15.75" customHeight="1">
      <c r="A1805" s="125"/>
      <c r="B1805" s="125"/>
      <c r="C1805" s="125"/>
      <c r="D1805" s="125"/>
      <c r="E1805" s="126"/>
      <c r="F1805" s="126"/>
      <c r="G1805" s="125"/>
      <c r="H1805" s="125"/>
      <c r="I1805" s="99"/>
      <c r="K1805" s="84"/>
      <c r="L1805" s="84"/>
      <c r="M1805" s="84"/>
      <c r="N1805" s="84"/>
      <c r="O1805" s="84"/>
      <c r="P1805" s="84"/>
      <c r="Q1805" s="84"/>
      <c r="R1805" s="84"/>
    </row>
    <row r="1806" ht="15.75" customHeight="1">
      <c r="A1806" s="125"/>
      <c r="B1806" s="125"/>
      <c r="C1806" s="125"/>
      <c r="D1806" s="125"/>
      <c r="E1806" s="126"/>
      <c r="F1806" s="126"/>
      <c r="G1806" s="125"/>
      <c r="H1806" s="125"/>
      <c r="I1806" s="99"/>
      <c r="K1806" s="84"/>
      <c r="L1806" s="84"/>
      <c r="M1806" s="84"/>
      <c r="N1806" s="84"/>
      <c r="O1806" s="84"/>
      <c r="P1806" s="84"/>
      <c r="Q1806" s="84"/>
      <c r="R1806" s="84"/>
    </row>
    <row r="1807" ht="15.75" customHeight="1">
      <c r="A1807" s="125"/>
      <c r="B1807" s="125"/>
      <c r="C1807" s="125"/>
      <c r="D1807" s="125"/>
      <c r="E1807" s="126"/>
      <c r="F1807" s="126"/>
      <c r="G1807" s="125"/>
      <c r="H1807" s="125"/>
      <c r="I1807" s="99"/>
      <c r="K1807" s="84"/>
      <c r="L1807" s="84"/>
      <c r="M1807" s="84"/>
      <c r="N1807" s="84"/>
      <c r="O1807" s="84"/>
      <c r="P1807" s="84"/>
      <c r="Q1807" s="84"/>
      <c r="R1807" s="84"/>
    </row>
    <row r="1808" ht="15.75" customHeight="1">
      <c r="A1808" s="125"/>
      <c r="B1808" s="125"/>
      <c r="C1808" s="125"/>
      <c r="D1808" s="125"/>
      <c r="E1808" s="126"/>
      <c r="F1808" s="126"/>
      <c r="G1808" s="125"/>
      <c r="H1808" s="125"/>
      <c r="I1808" s="99"/>
      <c r="K1808" s="84"/>
      <c r="L1808" s="84"/>
      <c r="M1808" s="84"/>
      <c r="N1808" s="84"/>
      <c r="O1808" s="84"/>
      <c r="P1808" s="84"/>
      <c r="Q1808" s="84"/>
      <c r="R1808" s="84"/>
    </row>
    <row r="1809" ht="15.75" customHeight="1">
      <c r="A1809" s="125"/>
      <c r="B1809" s="125"/>
      <c r="C1809" s="125"/>
      <c r="D1809" s="125"/>
      <c r="E1809" s="126"/>
      <c r="F1809" s="126"/>
      <c r="G1809" s="125"/>
      <c r="H1809" s="125"/>
      <c r="I1809" s="99"/>
      <c r="K1809" s="84"/>
      <c r="L1809" s="84"/>
      <c r="M1809" s="84"/>
      <c r="N1809" s="84"/>
      <c r="O1809" s="84"/>
      <c r="P1809" s="84"/>
      <c r="Q1809" s="84"/>
      <c r="R1809" s="84"/>
    </row>
    <row r="1810" ht="15.75" customHeight="1">
      <c r="A1810" s="125"/>
      <c r="B1810" s="125"/>
      <c r="C1810" s="125"/>
      <c r="D1810" s="125"/>
      <c r="E1810" s="126"/>
      <c r="F1810" s="126"/>
      <c r="G1810" s="125"/>
      <c r="H1810" s="125"/>
      <c r="I1810" s="99"/>
      <c r="K1810" s="84"/>
      <c r="L1810" s="84"/>
      <c r="M1810" s="84"/>
      <c r="N1810" s="84"/>
      <c r="O1810" s="84"/>
      <c r="P1810" s="84"/>
      <c r="Q1810" s="84"/>
      <c r="R1810" s="84"/>
    </row>
    <row r="1811" ht="15.75" customHeight="1">
      <c r="A1811" s="125"/>
      <c r="B1811" s="125"/>
      <c r="C1811" s="125"/>
      <c r="D1811" s="125"/>
      <c r="E1811" s="126"/>
      <c r="F1811" s="126"/>
      <c r="G1811" s="125"/>
      <c r="H1811" s="125"/>
      <c r="I1811" s="99"/>
      <c r="K1811" s="84"/>
      <c r="L1811" s="84"/>
      <c r="M1811" s="84"/>
      <c r="N1811" s="84"/>
      <c r="O1811" s="84"/>
      <c r="P1811" s="84"/>
      <c r="Q1811" s="84"/>
      <c r="R1811" s="84"/>
    </row>
    <row r="1812" ht="15.75" customHeight="1">
      <c r="A1812" s="125"/>
      <c r="B1812" s="125"/>
      <c r="C1812" s="125"/>
      <c r="D1812" s="125"/>
      <c r="E1812" s="126"/>
      <c r="F1812" s="126"/>
      <c r="G1812" s="125"/>
      <c r="H1812" s="125"/>
      <c r="I1812" s="99"/>
      <c r="K1812" s="84"/>
      <c r="L1812" s="84"/>
      <c r="M1812" s="84"/>
      <c r="N1812" s="84"/>
      <c r="O1812" s="84"/>
      <c r="P1812" s="84"/>
      <c r="Q1812" s="84"/>
      <c r="R1812" s="84"/>
    </row>
    <row r="1813" ht="15.75" customHeight="1">
      <c r="A1813" s="125"/>
      <c r="B1813" s="125"/>
      <c r="C1813" s="125"/>
      <c r="D1813" s="125"/>
      <c r="E1813" s="126"/>
      <c r="F1813" s="126"/>
      <c r="G1813" s="125"/>
      <c r="H1813" s="125"/>
      <c r="I1813" s="99"/>
      <c r="K1813" s="84"/>
      <c r="L1813" s="84"/>
      <c r="M1813" s="84"/>
      <c r="N1813" s="84"/>
      <c r="O1813" s="84"/>
      <c r="P1813" s="84"/>
      <c r="Q1813" s="84"/>
      <c r="R1813" s="84"/>
    </row>
    <row r="1814" ht="15.75" customHeight="1">
      <c r="A1814" s="125"/>
      <c r="B1814" s="125"/>
      <c r="C1814" s="125"/>
      <c r="D1814" s="125"/>
      <c r="E1814" s="126"/>
      <c r="F1814" s="126"/>
      <c r="G1814" s="125"/>
      <c r="H1814" s="125"/>
      <c r="I1814" s="99"/>
      <c r="K1814" s="84"/>
      <c r="L1814" s="84"/>
      <c r="M1814" s="84"/>
      <c r="N1814" s="84"/>
      <c r="O1814" s="84"/>
      <c r="P1814" s="84"/>
      <c r="Q1814" s="84"/>
      <c r="R1814" s="84"/>
    </row>
    <row r="1815" ht="15.75" customHeight="1">
      <c r="A1815" s="125"/>
      <c r="B1815" s="125"/>
      <c r="C1815" s="125"/>
      <c r="D1815" s="125"/>
      <c r="E1815" s="126"/>
      <c r="F1815" s="126"/>
      <c r="G1815" s="125"/>
      <c r="H1815" s="125"/>
      <c r="I1815" s="99"/>
      <c r="K1815" s="84"/>
      <c r="L1815" s="84"/>
      <c r="M1815" s="84"/>
      <c r="N1815" s="84"/>
      <c r="O1815" s="84"/>
      <c r="P1815" s="84"/>
      <c r="Q1815" s="84"/>
      <c r="R1815" s="84"/>
    </row>
    <row r="1816" ht="15.75" customHeight="1">
      <c r="A1816" s="125"/>
      <c r="B1816" s="125"/>
      <c r="C1816" s="125"/>
      <c r="D1816" s="125"/>
      <c r="E1816" s="126"/>
      <c r="F1816" s="126"/>
      <c r="G1816" s="125"/>
      <c r="H1816" s="125"/>
      <c r="I1816" s="99"/>
      <c r="K1816" s="84"/>
      <c r="L1816" s="84"/>
      <c r="M1816" s="84"/>
      <c r="N1816" s="84"/>
      <c r="O1816" s="84"/>
      <c r="P1816" s="84"/>
      <c r="Q1816" s="84"/>
      <c r="R1816" s="84"/>
    </row>
    <row r="1817" ht="15.75" customHeight="1">
      <c r="A1817" s="125"/>
      <c r="B1817" s="125"/>
      <c r="C1817" s="125"/>
      <c r="D1817" s="125"/>
      <c r="E1817" s="126"/>
      <c r="F1817" s="126"/>
      <c r="G1817" s="125"/>
      <c r="H1817" s="125"/>
      <c r="I1817" s="99"/>
      <c r="K1817" s="84"/>
      <c r="L1817" s="84"/>
      <c r="M1817" s="84"/>
      <c r="N1817" s="84"/>
      <c r="O1817" s="84"/>
      <c r="P1817" s="84"/>
      <c r="Q1817" s="84"/>
      <c r="R1817" s="84"/>
    </row>
    <row r="1818" ht="15.75" customHeight="1">
      <c r="A1818" s="125"/>
      <c r="B1818" s="125"/>
      <c r="C1818" s="125"/>
      <c r="D1818" s="125"/>
      <c r="E1818" s="126"/>
      <c r="F1818" s="126"/>
      <c r="G1818" s="125"/>
      <c r="H1818" s="125"/>
      <c r="I1818" s="99"/>
      <c r="K1818" s="84"/>
      <c r="L1818" s="84"/>
      <c r="M1818" s="84"/>
      <c r="N1818" s="84"/>
      <c r="O1818" s="84"/>
      <c r="P1818" s="84"/>
      <c r="Q1818" s="84"/>
      <c r="R1818" s="84"/>
    </row>
    <row r="1819" ht="15.75" customHeight="1">
      <c r="A1819" s="125"/>
      <c r="B1819" s="125"/>
      <c r="C1819" s="125"/>
      <c r="D1819" s="125"/>
      <c r="E1819" s="126"/>
      <c r="F1819" s="126"/>
      <c r="G1819" s="125"/>
      <c r="H1819" s="125"/>
      <c r="I1819" s="99"/>
      <c r="K1819" s="84"/>
      <c r="L1819" s="84"/>
      <c r="M1819" s="84"/>
      <c r="N1819" s="84"/>
      <c r="O1819" s="84"/>
      <c r="P1819" s="84"/>
      <c r="Q1819" s="84"/>
      <c r="R1819" s="84"/>
    </row>
    <row r="1820" ht="15.75" customHeight="1">
      <c r="A1820" s="125"/>
      <c r="B1820" s="125"/>
      <c r="C1820" s="125"/>
      <c r="D1820" s="125"/>
      <c r="E1820" s="126"/>
      <c r="F1820" s="126"/>
      <c r="G1820" s="125"/>
      <c r="H1820" s="125"/>
      <c r="I1820" s="99"/>
      <c r="K1820" s="84"/>
      <c r="L1820" s="84"/>
      <c r="M1820" s="84"/>
      <c r="N1820" s="84"/>
      <c r="O1820" s="84"/>
      <c r="P1820" s="84"/>
      <c r="Q1820" s="84"/>
      <c r="R1820" s="84"/>
    </row>
    <row r="1821" ht="15.75" customHeight="1">
      <c r="A1821" s="125"/>
      <c r="B1821" s="125"/>
      <c r="C1821" s="125"/>
      <c r="D1821" s="125"/>
      <c r="E1821" s="126"/>
      <c r="F1821" s="126"/>
      <c r="G1821" s="125"/>
      <c r="H1821" s="125"/>
      <c r="I1821" s="99"/>
      <c r="K1821" s="84"/>
      <c r="L1821" s="84"/>
      <c r="M1821" s="84"/>
      <c r="N1821" s="84"/>
      <c r="O1821" s="84"/>
      <c r="P1821" s="84"/>
      <c r="Q1821" s="84"/>
      <c r="R1821" s="84"/>
    </row>
    <row r="1822" ht="15.75" customHeight="1">
      <c r="A1822" s="125"/>
      <c r="B1822" s="125"/>
      <c r="C1822" s="125"/>
      <c r="D1822" s="125"/>
      <c r="E1822" s="126"/>
      <c r="F1822" s="126"/>
      <c r="G1822" s="125"/>
      <c r="H1822" s="125"/>
      <c r="I1822" s="99"/>
      <c r="K1822" s="84"/>
      <c r="L1822" s="84"/>
      <c r="M1822" s="84"/>
      <c r="N1822" s="84"/>
      <c r="O1822" s="84"/>
      <c r="P1822" s="84"/>
      <c r="Q1822" s="84"/>
      <c r="R1822" s="84"/>
    </row>
    <row r="1823" ht="15.75" customHeight="1">
      <c r="A1823" s="125"/>
      <c r="B1823" s="125"/>
      <c r="C1823" s="125"/>
      <c r="D1823" s="125"/>
      <c r="E1823" s="126"/>
      <c r="F1823" s="126"/>
      <c r="G1823" s="125"/>
      <c r="H1823" s="125"/>
      <c r="I1823" s="99"/>
      <c r="K1823" s="84"/>
      <c r="L1823" s="84"/>
      <c r="M1823" s="84"/>
      <c r="N1823" s="84"/>
      <c r="O1823" s="84"/>
      <c r="P1823" s="84"/>
      <c r="Q1823" s="84"/>
      <c r="R1823" s="84"/>
    </row>
    <row r="1824" ht="15.75" customHeight="1">
      <c r="A1824" s="125"/>
      <c r="B1824" s="125"/>
      <c r="C1824" s="125"/>
      <c r="D1824" s="125"/>
      <c r="E1824" s="126"/>
      <c r="F1824" s="126"/>
      <c r="G1824" s="125"/>
      <c r="H1824" s="125"/>
      <c r="I1824" s="99"/>
      <c r="K1824" s="84"/>
      <c r="L1824" s="84"/>
      <c r="M1824" s="84"/>
      <c r="N1824" s="84"/>
      <c r="O1824" s="84"/>
      <c r="P1824" s="84"/>
      <c r="Q1824" s="84"/>
      <c r="R1824" s="84"/>
    </row>
    <row r="1825" ht="15.75" customHeight="1">
      <c r="A1825" s="125"/>
      <c r="B1825" s="125"/>
      <c r="C1825" s="125"/>
      <c r="D1825" s="125"/>
      <c r="E1825" s="126"/>
      <c r="F1825" s="126"/>
      <c r="G1825" s="125"/>
      <c r="H1825" s="125"/>
      <c r="I1825" s="99"/>
      <c r="K1825" s="84"/>
      <c r="L1825" s="84"/>
      <c r="M1825" s="84"/>
      <c r="N1825" s="84"/>
      <c r="O1825" s="84"/>
      <c r="P1825" s="84"/>
      <c r="Q1825" s="84"/>
      <c r="R1825" s="84"/>
    </row>
    <row r="1826" ht="15.75" customHeight="1">
      <c r="A1826" s="125"/>
      <c r="B1826" s="125"/>
      <c r="C1826" s="125"/>
      <c r="D1826" s="125"/>
      <c r="E1826" s="126"/>
      <c r="F1826" s="126"/>
      <c r="G1826" s="125"/>
      <c r="H1826" s="125"/>
      <c r="I1826" s="99"/>
      <c r="K1826" s="84"/>
      <c r="L1826" s="84"/>
      <c r="M1826" s="84"/>
      <c r="N1826" s="84"/>
      <c r="O1826" s="84"/>
      <c r="P1826" s="84"/>
      <c r="Q1826" s="84"/>
      <c r="R1826" s="84"/>
    </row>
    <row r="1827" ht="15.75" customHeight="1">
      <c r="A1827" s="125"/>
      <c r="B1827" s="125"/>
      <c r="C1827" s="125"/>
      <c r="D1827" s="125"/>
      <c r="E1827" s="126"/>
      <c r="F1827" s="126"/>
      <c r="G1827" s="125"/>
      <c r="H1827" s="125"/>
      <c r="I1827" s="99"/>
      <c r="K1827" s="84"/>
      <c r="L1827" s="84"/>
      <c r="M1827" s="84"/>
      <c r="N1827" s="84"/>
      <c r="O1827" s="84"/>
      <c r="P1827" s="84"/>
      <c r="Q1827" s="84"/>
      <c r="R1827" s="84"/>
    </row>
    <row r="1828" ht="15.75" customHeight="1">
      <c r="A1828" s="125"/>
      <c r="B1828" s="125"/>
      <c r="C1828" s="125"/>
      <c r="D1828" s="125"/>
      <c r="E1828" s="126"/>
      <c r="F1828" s="126"/>
      <c r="G1828" s="125"/>
      <c r="H1828" s="125"/>
      <c r="I1828" s="99"/>
      <c r="K1828" s="84"/>
      <c r="L1828" s="84"/>
      <c r="M1828" s="84"/>
      <c r="N1828" s="84"/>
      <c r="O1828" s="84"/>
      <c r="P1828" s="84"/>
      <c r="Q1828" s="84"/>
      <c r="R1828" s="84"/>
    </row>
    <row r="1829" ht="15.75" customHeight="1">
      <c r="A1829" s="125"/>
      <c r="B1829" s="125"/>
      <c r="C1829" s="125"/>
      <c r="D1829" s="125"/>
      <c r="E1829" s="126"/>
      <c r="F1829" s="126"/>
      <c r="G1829" s="125"/>
      <c r="H1829" s="125"/>
      <c r="I1829" s="99"/>
      <c r="K1829" s="84"/>
      <c r="L1829" s="84"/>
      <c r="M1829" s="84"/>
      <c r="N1829" s="84"/>
      <c r="O1829" s="84"/>
      <c r="P1829" s="84"/>
      <c r="Q1829" s="84"/>
      <c r="R1829" s="84"/>
    </row>
    <row r="1830" ht="15.75" customHeight="1">
      <c r="A1830" s="125"/>
      <c r="B1830" s="125"/>
      <c r="C1830" s="125"/>
      <c r="D1830" s="125"/>
      <c r="E1830" s="126"/>
      <c r="F1830" s="126"/>
      <c r="G1830" s="125"/>
      <c r="H1830" s="125"/>
      <c r="I1830" s="99"/>
      <c r="K1830" s="84"/>
      <c r="L1830" s="84"/>
      <c r="M1830" s="84"/>
      <c r="N1830" s="84"/>
      <c r="O1830" s="84"/>
      <c r="P1830" s="84"/>
      <c r="Q1830" s="84"/>
      <c r="R1830" s="84"/>
    </row>
    <row r="1831" ht="15.75" customHeight="1">
      <c r="A1831" s="125"/>
      <c r="B1831" s="125"/>
      <c r="C1831" s="125"/>
      <c r="D1831" s="125"/>
      <c r="E1831" s="126"/>
      <c r="F1831" s="126"/>
      <c r="G1831" s="125"/>
      <c r="H1831" s="125"/>
      <c r="I1831" s="99"/>
      <c r="K1831" s="84"/>
      <c r="L1831" s="84"/>
      <c r="M1831" s="84"/>
      <c r="N1831" s="84"/>
      <c r="O1831" s="84"/>
      <c r="P1831" s="84"/>
      <c r="Q1831" s="84"/>
      <c r="R1831" s="84"/>
    </row>
    <row r="1832" ht="15.75" customHeight="1">
      <c r="A1832" s="125"/>
      <c r="B1832" s="125"/>
      <c r="C1832" s="125"/>
      <c r="D1832" s="125"/>
      <c r="E1832" s="126"/>
      <c r="F1832" s="126"/>
      <c r="G1832" s="125"/>
      <c r="H1832" s="125"/>
      <c r="I1832" s="99"/>
      <c r="K1832" s="84"/>
      <c r="L1832" s="84"/>
      <c r="M1832" s="84"/>
      <c r="N1832" s="84"/>
      <c r="O1832" s="84"/>
      <c r="P1832" s="84"/>
      <c r="Q1832" s="84"/>
      <c r="R1832" s="84"/>
    </row>
    <row r="1833" ht="15.75" customHeight="1">
      <c r="A1833" s="125"/>
      <c r="B1833" s="125"/>
      <c r="C1833" s="125"/>
      <c r="D1833" s="125"/>
      <c r="E1833" s="126"/>
      <c r="F1833" s="126"/>
      <c r="G1833" s="125"/>
      <c r="H1833" s="125"/>
      <c r="I1833" s="99"/>
      <c r="K1833" s="84"/>
      <c r="L1833" s="84"/>
      <c r="M1833" s="84"/>
      <c r="N1833" s="84"/>
      <c r="O1833" s="84"/>
      <c r="P1833" s="84"/>
      <c r="Q1833" s="84"/>
      <c r="R1833" s="84"/>
    </row>
    <row r="1834" ht="15.75" customHeight="1">
      <c r="A1834" s="125"/>
      <c r="B1834" s="125"/>
      <c r="C1834" s="125"/>
      <c r="D1834" s="125"/>
      <c r="E1834" s="126"/>
      <c r="F1834" s="126"/>
      <c r="G1834" s="125"/>
      <c r="H1834" s="125"/>
      <c r="I1834" s="99"/>
      <c r="K1834" s="84"/>
      <c r="L1834" s="84"/>
      <c r="M1834" s="84"/>
      <c r="N1834" s="84"/>
      <c r="O1834" s="84"/>
      <c r="P1834" s="84"/>
      <c r="Q1834" s="84"/>
      <c r="R1834" s="84"/>
    </row>
    <row r="1835" ht="15.75" customHeight="1">
      <c r="A1835" s="125"/>
      <c r="B1835" s="125"/>
      <c r="C1835" s="125"/>
      <c r="D1835" s="125"/>
      <c r="E1835" s="126"/>
      <c r="F1835" s="126"/>
      <c r="G1835" s="125"/>
      <c r="H1835" s="125"/>
      <c r="I1835" s="99"/>
      <c r="K1835" s="84"/>
      <c r="L1835" s="84"/>
      <c r="M1835" s="84"/>
      <c r="N1835" s="84"/>
      <c r="O1835" s="84"/>
      <c r="P1835" s="84"/>
      <c r="Q1835" s="84"/>
      <c r="R1835" s="84"/>
    </row>
    <row r="1836" ht="15.75" customHeight="1">
      <c r="A1836" s="125"/>
      <c r="B1836" s="125"/>
      <c r="C1836" s="125"/>
      <c r="D1836" s="125"/>
      <c r="E1836" s="126"/>
      <c r="F1836" s="126"/>
      <c r="G1836" s="125"/>
      <c r="H1836" s="125"/>
      <c r="I1836" s="99"/>
      <c r="K1836" s="84"/>
      <c r="L1836" s="84"/>
      <c r="M1836" s="84"/>
      <c r="N1836" s="84"/>
      <c r="O1836" s="84"/>
      <c r="P1836" s="84"/>
      <c r="Q1836" s="84"/>
      <c r="R1836" s="84"/>
    </row>
    <row r="1837" ht="15.75" customHeight="1">
      <c r="A1837" s="125"/>
      <c r="B1837" s="125"/>
      <c r="C1837" s="125"/>
      <c r="D1837" s="125"/>
      <c r="E1837" s="126"/>
      <c r="F1837" s="126"/>
      <c r="G1837" s="125"/>
      <c r="H1837" s="125"/>
      <c r="I1837" s="99"/>
      <c r="K1837" s="84"/>
      <c r="L1837" s="84"/>
      <c r="M1837" s="84"/>
      <c r="N1837" s="84"/>
      <c r="O1837" s="84"/>
      <c r="P1837" s="84"/>
      <c r="Q1837" s="84"/>
      <c r="R1837" s="84"/>
    </row>
    <row r="1838" ht="15.75" customHeight="1">
      <c r="A1838" s="125"/>
      <c r="B1838" s="125"/>
      <c r="C1838" s="125"/>
      <c r="D1838" s="125"/>
      <c r="E1838" s="126"/>
      <c r="F1838" s="126"/>
      <c r="G1838" s="125"/>
      <c r="H1838" s="125"/>
      <c r="I1838" s="99"/>
      <c r="K1838" s="84"/>
      <c r="L1838" s="84"/>
      <c r="M1838" s="84"/>
      <c r="N1838" s="84"/>
      <c r="O1838" s="84"/>
      <c r="P1838" s="84"/>
      <c r="Q1838" s="84"/>
      <c r="R1838" s="84"/>
    </row>
    <row r="1839" ht="15.75" customHeight="1">
      <c r="A1839" s="125"/>
      <c r="B1839" s="125"/>
      <c r="C1839" s="125"/>
      <c r="D1839" s="125"/>
      <c r="E1839" s="126"/>
      <c r="F1839" s="126"/>
      <c r="G1839" s="125"/>
      <c r="H1839" s="125"/>
      <c r="I1839" s="99"/>
      <c r="K1839" s="84"/>
      <c r="L1839" s="84"/>
      <c r="M1839" s="84"/>
      <c r="N1839" s="84"/>
      <c r="O1839" s="84"/>
      <c r="P1839" s="84"/>
      <c r="Q1839" s="84"/>
      <c r="R1839" s="84"/>
    </row>
    <row r="1840" ht="15.75" customHeight="1">
      <c r="A1840" s="125"/>
      <c r="B1840" s="125"/>
      <c r="C1840" s="125"/>
      <c r="D1840" s="125"/>
      <c r="E1840" s="126"/>
      <c r="F1840" s="126"/>
      <c r="G1840" s="125"/>
      <c r="H1840" s="125"/>
      <c r="I1840" s="99"/>
      <c r="K1840" s="84"/>
      <c r="L1840" s="84"/>
      <c r="M1840" s="84"/>
      <c r="N1840" s="84"/>
      <c r="O1840" s="84"/>
      <c r="P1840" s="84"/>
      <c r="Q1840" s="84"/>
      <c r="R1840" s="84"/>
    </row>
    <row r="1841" ht="15.75" customHeight="1">
      <c r="A1841" s="125"/>
      <c r="B1841" s="125"/>
      <c r="C1841" s="125"/>
      <c r="D1841" s="125"/>
      <c r="E1841" s="126"/>
      <c r="F1841" s="126"/>
      <c r="G1841" s="125"/>
      <c r="H1841" s="125"/>
      <c r="I1841" s="99"/>
      <c r="K1841" s="84"/>
      <c r="L1841" s="84"/>
      <c r="M1841" s="84"/>
      <c r="N1841" s="84"/>
      <c r="O1841" s="84"/>
      <c r="P1841" s="84"/>
      <c r="Q1841" s="84"/>
      <c r="R1841" s="84"/>
    </row>
    <row r="1842" ht="15.75" customHeight="1">
      <c r="A1842" s="125"/>
      <c r="B1842" s="125"/>
      <c r="C1842" s="125"/>
      <c r="D1842" s="125"/>
      <c r="E1842" s="126"/>
      <c r="F1842" s="126"/>
      <c r="G1842" s="125"/>
      <c r="H1842" s="125"/>
      <c r="I1842" s="99"/>
      <c r="K1842" s="84"/>
      <c r="L1842" s="84"/>
      <c r="M1842" s="84"/>
      <c r="N1842" s="84"/>
      <c r="O1842" s="84"/>
      <c r="P1842" s="84"/>
      <c r="Q1842" s="84"/>
      <c r="R1842" s="84"/>
    </row>
    <row r="1843" ht="15.75" customHeight="1">
      <c r="A1843" s="125"/>
      <c r="B1843" s="125"/>
      <c r="C1843" s="125"/>
      <c r="D1843" s="125"/>
      <c r="E1843" s="126"/>
      <c r="F1843" s="126"/>
      <c r="G1843" s="125"/>
      <c r="H1843" s="125"/>
      <c r="I1843" s="99"/>
      <c r="K1843" s="84"/>
      <c r="L1843" s="84"/>
      <c r="M1843" s="84"/>
      <c r="N1843" s="84"/>
      <c r="O1843" s="84"/>
      <c r="P1843" s="84"/>
      <c r="Q1843" s="84"/>
      <c r="R1843" s="84"/>
    </row>
    <row r="1844" ht="15.75" customHeight="1">
      <c r="A1844" s="125"/>
      <c r="B1844" s="125"/>
      <c r="C1844" s="125"/>
      <c r="D1844" s="125"/>
      <c r="E1844" s="126"/>
      <c r="F1844" s="126"/>
      <c r="G1844" s="125"/>
      <c r="H1844" s="125"/>
      <c r="I1844" s="99"/>
      <c r="K1844" s="84"/>
      <c r="L1844" s="84"/>
      <c r="M1844" s="84"/>
      <c r="N1844" s="84"/>
      <c r="O1844" s="84"/>
      <c r="P1844" s="84"/>
      <c r="Q1844" s="84"/>
      <c r="R1844" s="84"/>
    </row>
    <row r="1845" ht="15.75" customHeight="1">
      <c r="A1845" s="125"/>
      <c r="B1845" s="125"/>
      <c r="C1845" s="125"/>
      <c r="D1845" s="125"/>
      <c r="E1845" s="126"/>
      <c r="F1845" s="126"/>
      <c r="G1845" s="125"/>
      <c r="H1845" s="125"/>
      <c r="I1845" s="99"/>
      <c r="K1845" s="84"/>
      <c r="L1845" s="84"/>
      <c r="M1845" s="84"/>
      <c r="N1845" s="84"/>
      <c r="O1845" s="84"/>
      <c r="P1845" s="84"/>
      <c r="Q1845" s="84"/>
      <c r="R1845" s="84"/>
    </row>
    <row r="1846" ht="15.75" customHeight="1">
      <c r="A1846" s="125"/>
      <c r="B1846" s="125"/>
      <c r="C1846" s="125"/>
      <c r="D1846" s="125"/>
      <c r="E1846" s="126"/>
      <c r="F1846" s="126"/>
      <c r="G1846" s="125"/>
      <c r="H1846" s="125"/>
      <c r="I1846" s="99"/>
      <c r="K1846" s="84"/>
      <c r="L1846" s="84"/>
      <c r="M1846" s="84"/>
      <c r="N1846" s="84"/>
      <c r="O1846" s="84"/>
      <c r="P1846" s="84"/>
      <c r="Q1846" s="84"/>
      <c r="R1846" s="84"/>
    </row>
    <row r="1847" ht="15.75" customHeight="1">
      <c r="A1847" s="125"/>
      <c r="B1847" s="125"/>
      <c r="C1847" s="125"/>
      <c r="D1847" s="125"/>
      <c r="E1847" s="126"/>
      <c r="F1847" s="126"/>
      <c r="G1847" s="125"/>
      <c r="H1847" s="125"/>
      <c r="I1847" s="99"/>
      <c r="K1847" s="84"/>
      <c r="L1847" s="84"/>
      <c r="M1847" s="84"/>
      <c r="N1847" s="84"/>
      <c r="O1847" s="84"/>
      <c r="P1847" s="84"/>
      <c r="Q1847" s="84"/>
      <c r="R1847" s="84"/>
    </row>
    <row r="1848" ht="15.75" customHeight="1">
      <c r="A1848" s="125"/>
      <c r="B1848" s="125"/>
      <c r="C1848" s="125"/>
      <c r="D1848" s="125"/>
      <c r="E1848" s="126"/>
      <c r="F1848" s="126"/>
      <c r="G1848" s="125"/>
      <c r="H1848" s="125"/>
      <c r="I1848" s="99"/>
      <c r="K1848" s="84"/>
      <c r="L1848" s="84"/>
      <c r="M1848" s="84"/>
      <c r="N1848" s="84"/>
      <c r="O1848" s="84"/>
      <c r="P1848" s="84"/>
      <c r="Q1848" s="84"/>
      <c r="R1848" s="84"/>
    </row>
    <row r="1849" ht="15.75" customHeight="1">
      <c r="A1849" s="125"/>
      <c r="B1849" s="125"/>
      <c r="C1849" s="125"/>
      <c r="D1849" s="125"/>
      <c r="E1849" s="126"/>
      <c r="F1849" s="126"/>
      <c r="G1849" s="125"/>
      <c r="H1849" s="125"/>
      <c r="I1849" s="99"/>
      <c r="K1849" s="84"/>
      <c r="L1849" s="84"/>
      <c r="M1849" s="84"/>
      <c r="N1849" s="84"/>
      <c r="O1849" s="84"/>
      <c r="P1849" s="84"/>
      <c r="Q1849" s="84"/>
      <c r="R1849" s="84"/>
    </row>
    <row r="1850" ht="15.75" customHeight="1">
      <c r="A1850" s="125"/>
      <c r="B1850" s="125"/>
      <c r="C1850" s="125"/>
      <c r="D1850" s="125"/>
      <c r="E1850" s="126"/>
      <c r="F1850" s="126"/>
      <c r="G1850" s="125"/>
      <c r="H1850" s="125"/>
      <c r="I1850" s="99"/>
      <c r="K1850" s="84"/>
      <c r="L1850" s="84"/>
      <c r="M1850" s="84"/>
      <c r="N1850" s="84"/>
      <c r="O1850" s="84"/>
      <c r="P1850" s="84"/>
      <c r="Q1850" s="84"/>
      <c r="R1850" s="84"/>
    </row>
    <row r="1851" ht="15.75" customHeight="1">
      <c r="A1851" s="125"/>
      <c r="B1851" s="125"/>
      <c r="C1851" s="125"/>
      <c r="D1851" s="125"/>
      <c r="E1851" s="126"/>
      <c r="F1851" s="126"/>
      <c r="G1851" s="125"/>
      <c r="H1851" s="125"/>
      <c r="I1851" s="99"/>
      <c r="K1851" s="84"/>
      <c r="L1851" s="84"/>
      <c r="M1851" s="84"/>
      <c r="N1851" s="84"/>
      <c r="O1851" s="84"/>
      <c r="P1851" s="84"/>
      <c r="Q1851" s="84"/>
      <c r="R1851" s="84"/>
    </row>
    <row r="1852" ht="15.75" customHeight="1">
      <c r="A1852" s="125"/>
      <c r="B1852" s="125"/>
      <c r="C1852" s="125"/>
      <c r="D1852" s="125"/>
      <c r="E1852" s="126"/>
      <c r="F1852" s="126"/>
      <c r="G1852" s="125"/>
      <c r="H1852" s="125"/>
      <c r="I1852" s="99"/>
      <c r="K1852" s="84"/>
      <c r="L1852" s="84"/>
      <c r="M1852" s="84"/>
      <c r="N1852" s="84"/>
      <c r="O1852" s="84"/>
      <c r="P1852" s="84"/>
      <c r="Q1852" s="84"/>
      <c r="R1852" s="84"/>
    </row>
    <row r="1853" ht="15.75" customHeight="1">
      <c r="A1853" s="125"/>
      <c r="B1853" s="125"/>
      <c r="C1853" s="125"/>
      <c r="D1853" s="125"/>
      <c r="E1853" s="126"/>
      <c r="F1853" s="126"/>
      <c r="G1853" s="125"/>
      <c r="H1853" s="125"/>
      <c r="I1853" s="99"/>
      <c r="K1853" s="84"/>
      <c r="L1853" s="84"/>
      <c r="M1853" s="84"/>
      <c r="N1853" s="84"/>
      <c r="O1853" s="84"/>
      <c r="P1853" s="84"/>
      <c r="Q1853" s="84"/>
      <c r="R1853" s="84"/>
    </row>
    <row r="1854" ht="15.75" customHeight="1">
      <c r="A1854" s="125"/>
      <c r="B1854" s="125"/>
      <c r="C1854" s="125"/>
      <c r="D1854" s="125"/>
      <c r="E1854" s="126"/>
      <c r="F1854" s="126"/>
      <c r="G1854" s="125"/>
      <c r="H1854" s="125"/>
      <c r="I1854" s="99"/>
      <c r="K1854" s="84"/>
      <c r="L1854" s="84"/>
      <c r="M1854" s="84"/>
      <c r="N1854" s="84"/>
      <c r="O1854" s="84"/>
      <c r="P1854" s="84"/>
      <c r="Q1854" s="84"/>
      <c r="R1854" s="84"/>
    </row>
    <row r="1855" ht="15.75" customHeight="1">
      <c r="A1855" s="125"/>
      <c r="B1855" s="125"/>
      <c r="C1855" s="125"/>
      <c r="D1855" s="125"/>
      <c r="E1855" s="126"/>
      <c r="F1855" s="126"/>
      <c r="G1855" s="125"/>
      <c r="H1855" s="125"/>
      <c r="I1855" s="99"/>
      <c r="K1855" s="84"/>
      <c r="L1855" s="84"/>
      <c r="M1855" s="84"/>
      <c r="N1855" s="84"/>
      <c r="O1855" s="84"/>
      <c r="P1855" s="84"/>
      <c r="Q1855" s="84"/>
      <c r="R1855" s="84"/>
    </row>
    <row r="1856" ht="15.75" customHeight="1">
      <c r="A1856" s="125"/>
      <c r="B1856" s="125"/>
      <c r="C1856" s="125"/>
      <c r="D1856" s="125"/>
      <c r="E1856" s="126"/>
      <c r="F1856" s="126"/>
      <c r="G1856" s="125"/>
      <c r="H1856" s="125"/>
      <c r="I1856" s="99"/>
      <c r="K1856" s="84"/>
      <c r="L1856" s="84"/>
      <c r="M1856" s="84"/>
      <c r="N1856" s="84"/>
      <c r="O1856" s="84"/>
      <c r="P1856" s="84"/>
      <c r="Q1856" s="84"/>
      <c r="R1856" s="84"/>
    </row>
    <row r="1857" ht="15.75" customHeight="1">
      <c r="A1857" s="125"/>
      <c r="B1857" s="125"/>
      <c r="C1857" s="125"/>
      <c r="D1857" s="125"/>
      <c r="E1857" s="126"/>
      <c r="F1857" s="126"/>
      <c r="G1857" s="125"/>
      <c r="H1857" s="125"/>
      <c r="I1857" s="99"/>
      <c r="K1857" s="84"/>
      <c r="L1857" s="84"/>
      <c r="M1857" s="84"/>
      <c r="N1857" s="84"/>
      <c r="O1857" s="84"/>
      <c r="P1857" s="84"/>
      <c r="Q1857" s="84"/>
      <c r="R1857" s="84"/>
    </row>
    <row r="1858" ht="15.75" customHeight="1">
      <c r="A1858" s="125"/>
      <c r="B1858" s="125"/>
      <c r="C1858" s="125"/>
      <c r="D1858" s="125"/>
      <c r="E1858" s="126"/>
      <c r="F1858" s="126"/>
      <c r="G1858" s="125"/>
      <c r="H1858" s="125"/>
      <c r="I1858" s="99"/>
      <c r="K1858" s="84"/>
      <c r="L1858" s="84"/>
      <c r="M1858" s="84"/>
      <c r="N1858" s="84"/>
      <c r="O1858" s="84"/>
      <c r="P1858" s="84"/>
      <c r="Q1858" s="84"/>
      <c r="R1858" s="84"/>
    </row>
    <row r="1859" ht="15.75" customHeight="1">
      <c r="A1859" s="125"/>
      <c r="B1859" s="125"/>
      <c r="C1859" s="125"/>
      <c r="D1859" s="125"/>
      <c r="E1859" s="126"/>
      <c r="F1859" s="126"/>
      <c r="G1859" s="125"/>
      <c r="H1859" s="125"/>
      <c r="I1859" s="99"/>
      <c r="K1859" s="84"/>
      <c r="L1859" s="84"/>
      <c r="M1859" s="84"/>
      <c r="N1859" s="84"/>
      <c r="O1859" s="84"/>
      <c r="P1859" s="84"/>
      <c r="Q1859" s="84"/>
      <c r="R1859" s="84"/>
    </row>
    <row r="1860" ht="15.75" customHeight="1">
      <c r="A1860" s="125"/>
      <c r="B1860" s="125"/>
      <c r="C1860" s="125"/>
      <c r="D1860" s="125"/>
      <c r="E1860" s="126"/>
      <c r="F1860" s="126"/>
      <c r="G1860" s="125"/>
      <c r="H1860" s="125"/>
      <c r="I1860" s="99"/>
      <c r="K1860" s="84"/>
      <c r="L1860" s="84"/>
      <c r="M1860" s="84"/>
      <c r="N1860" s="84"/>
      <c r="O1860" s="84"/>
      <c r="P1860" s="84"/>
      <c r="Q1860" s="84"/>
      <c r="R1860" s="84"/>
    </row>
    <row r="1861" ht="15.75" customHeight="1">
      <c r="A1861" s="125"/>
      <c r="B1861" s="125"/>
      <c r="C1861" s="125"/>
      <c r="D1861" s="125"/>
      <c r="E1861" s="126"/>
      <c r="F1861" s="126"/>
      <c r="G1861" s="125"/>
      <c r="H1861" s="125"/>
      <c r="I1861" s="99"/>
      <c r="K1861" s="84"/>
      <c r="L1861" s="84"/>
      <c r="M1861" s="84"/>
      <c r="N1861" s="84"/>
      <c r="O1861" s="84"/>
      <c r="P1861" s="84"/>
      <c r="Q1861" s="84"/>
      <c r="R1861" s="84"/>
    </row>
    <row r="1862" ht="15.75" customHeight="1">
      <c r="A1862" s="125"/>
      <c r="B1862" s="125"/>
      <c r="C1862" s="125"/>
      <c r="D1862" s="125"/>
      <c r="E1862" s="126"/>
      <c r="F1862" s="126"/>
      <c r="G1862" s="125"/>
      <c r="H1862" s="125"/>
      <c r="I1862" s="99"/>
      <c r="K1862" s="84"/>
      <c r="L1862" s="84"/>
      <c r="M1862" s="84"/>
      <c r="N1862" s="84"/>
      <c r="O1862" s="84"/>
      <c r="P1862" s="84"/>
      <c r="Q1862" s="84"/>
      <c r="R1862" s="84"/>
    </row>
    <row r="1863" ht="15.75" customHeight="1">
      <c r="A1863" s="125"/>
      <c r="B1863" s="125"/>
      <c r="C1863" s="125"/>
      <c r="D1863" s="125"/>
      <c r="E1863" s="126"/>
      <c r="F1863" s="126"/>
      <c r="G1863" s="125"/>
      <c r="H1863" s="125"/>
      <c r="I1863" s="99"/>
      <c r="K1863" s="84"/>
      <c r="L1863" s="84"/>
      <c r="M1863" s="84"/>
      <c r="N1863" s="84"/>
      <c r="O1863" s="84"/>
      <c r="P1863" s="84"/>
      <c r="Q1863" s="84"/>
      <c r="R1863" s="84"/>
    </row>
    <row r="1864" ht="15.75" customHeight="1">
      <c r="A1864" s="125"/>
      <c r="B1864" s="125"/>
      <c r="C1864" s="125"/>
      <c r="D1864" s="125"/>
      <c r="E1864" s="126"/>
      <c r="F1864" s="126"/>
      <c r="G1864" s="125"/>
      <c r="H1864" s="125"/>
      <c r="I1864" s="99"/>
      <c r="K1864" s="84"/>
      <c r="L1864" s="84"/>
      <c r="M1864" s="84"/>
      <c r="N1864" s="84"/>
      <c r="O1864" s="84"/>
      <c r="P1864" s="84"/>
      <c r="Q1864" s="84"/>
      <c r="R1864" s="84"/>
    </row>
    <row r="1865" ht="15.75" customHeight="1">
      <c r="A1865" s="125"/>
      <c r="B1865" s="125"/>
      <c r="C1865" s="125"/>
      <c r="D1865" s="125"/>
      <c r="E1865" s="126"/>
      <c r="F1865" s="126"/>
      <c r="G1865" s="125"/>
      <c r="H1865" s="125"/>
      <c r="I1865" s="99"/>
      <c r="K1865" s="84"/>
      <c r="L1865" s="84"/>
      <c r="M1865" s="84"/>
      <c r="N1865" s="84"/>
      <c r="O1865" s="84"/>
      <c r="P1865" s="84"/>
      <c r="Q1865" s="84"/>
      <c r="R1865" s="84"/>
    </row>
    <row r="1866" ht="15.75" customHeight="1">
      <c r="A1866" s="125"/>
      <c r="B1866" s="125"/>
      <c r="C1866" s="125"/>
      <c r="D1866" s="125"/>
      <c r="E1866" s="126"/>
      <c r="F1866" s="126"/>
      <c r="G1866" s="125"/>
      <c r="H1866" s="125"/>
      <c r="I1866" s="99"/>
      <c r="K1866" s="84"/>
      <c r="L1866" s="84"/>
      <c r="M1866" s="84"/>
      <c r="N1866" s="84"/>
      <c r="O1866" s="84"/>
      <c r="P1866" s="84"/>
      <c r="Q1866" s="84"/>
      <c r="R1866" s="84"/>
    </row>
    <row r="1867" ht="15.75" customHeight="1">
      <c r="A1867" s="125"/>
      <c r="B1867" s="125"/>
      <c r="C1867" s="125"/>
      <c r="D1867" s="125"/>
      <c r="E1867" s="126"/>
      <c r="F1867" s="126"/>
      <c r="G1867" s="125"/>
      <c r="H1867" s="125"/>
      <c r="I1867" s="99"/>
      <c r="K1867" s="84"/>
      <c r="L1867" s="84"/>
      <c r="M1867" s="84"/>
      <c r="N1867" s="84"/>
      <c r="O1867" s="84"/>
      <c r="P1867" s="84"/>
      <c r="Q1867" s="84"/>
      <c r="R1867" s="84"/>
    </row>
    <row r="1868" ht="15.75" customHeight="1">
      <c r="A1868" s="125"/>
      <c r="B1868" s="125"/>
      <c r="C1868" s="125"/>
      <c r="D1868" s="125"/>
      <c r="E1868" s="126"/>
      <c r="F1868" s="126"/>
      <c r="G1868" s="125"/>
      <c r="H1868" s="125"/>
      <c r="I1868" s="99"/>
      <c r="K1868" s="84"/>
      <c r="L1868" s="84"/>
      <c r="M1868" s="84"/>
      <c r="N1868" s="84"/>
      <c r="O1868" s="84"/>
      <c r="P1868" s="84"/>
      <c r="Q1868" s="84"/>
      <c r="R1868" s="84"/>
    </row>
    <row r="1869" ht="15.75" customHeight="1">
      <c r="A1869" s="125"/>
      <c r="B1869" s="125"/>
      <c r="C1869" s="125"/>
      <c r="D1869" s="125"/>
      <c r="E1869" s="126"/>
      <c r="F1869" s="126"/>
      <c r="G1869" s="125"/>
      <c r="H1869" s="125"/>
      <c r="I1869" s="99"/>
      <c r="K1869" s="84"/>
      <c r="L1869" s="84"/>
      <c r="M1869" s="84"/>
      <c r="N1869" s="84"/>
      <c r="O1869" s="84"/>
      <c r="P1869" s="84"/>
      <c r="Q1869" s="84"/>
      <c r="R1869" s="84"/>
    </row>
    <row r="1870" ht="15.75" customHeight="1">
      <c r="A1870" s="125"/>
      <c r="B1870" s="125"/>
      <c r="C1870" s="125"/>
      <c r="D1870" s="125"/>
      <c r="E1870" s="126"/>
      <c r="F1870" s="126"/>
      <c r="G1870" s="125"/>
      <c r="H1870" s="125"/>
      <c r="I1870" s="99"/>
      <c r="K1870" s="84"/>
      <c r="L1870" s="84"/>
      <c r="M1870" s="84"/>
      <c r="N1870" s="84"/>
      <c r="O1870" s="84"/>
      <c r="P1870" s="84"/>
      <c r="Q1870" s="84"/>
      <c r="R1870" s="84"/>
    </row>
    <row r="1871" ht="15.75" customHeight="1">
      <c r="A1871" s="125"/>
      <c r="B1871" s="125"/>
      <c r="C1871" s="125"/>
      <c r="D1871" s="125"/>
      <c r="E1871" s="126"/>
      <c r="F1871" s="126"/>
      <c r="G1871" s="125"/>
      <c r="H1871" s="125"/>
      <c r="I1871" s="99"/>
      <c r="K1871" s="84"/>
      <c r="L1871" s="84"/>
      <c r="M1871" s="84"/>
      <c r="N1871" s="84"/>
      <c r="O1871" s="84"/>
      <c r="P1871" s="84"/>
      <c r="Q1871" s="84"/>
      <c r="R1871" s="84"/>
    </row>
    <row r="1872" ht="15.75" customHeight="1">
      <c r="A1872" s="125"/>
      <c r="B1872" s="125"/>
      <c r="C1872" s="125"/>
      <c r="D1872" s="125"/>
      <c r="E1872" s="126"/>
      <c r="F1872" s="126"/>
      <c r="G1872" s="125"/>
      <c r="H1872" s="125"/>
      <c r="I1872" s="99"/>
      <c r="K1872" s="84"/>
      <c r="L1872" s="84"/>
      <c r="M1872" s="84"/>
      <c r="N1872" s="84"/>
      <c r="O1872" s="84"/>
      <c r="P1872" s="84"/>
      <c r="Q1872" s="84"/>
      <c r="R1872" s="84"/>
    </row>
    <row r="1873" ht="15.75" customHeight="1">
      <c r="A1873" s="125"/>
      <c r="B1873" s="125"/>
      <c r="C1873" s="125"/>
      <c r="D1873" s="125"/>
      <c r="E1873" s="126"/>
      <c r="F1873" s="126"/>
      <c r="G1873" s="125"/>
      <c r="H1873" s="125"/>
      <c r="I1873" s="99"/>
      <c r="K1873" s="84"/>
      <c r="L1873" s="84"/>
      <c r="M1873" s="84"/>
      <c r="N1873" s="84"/>
      <c r="O1873" s="84"/>
      <c r="P1873" s="84"/>
      <c r="Q1873" s="84"/>
      <c r="R1873" s="84"/>
    </row>
    <row r="1874" ht="15.75" customHeight="1">
      <c r="A1874" s="125"/>
      <c r="B1874" s="125"/>
      <c r="C1874" s="125"/>
      <c r="D1874" s="125"/>
      <c r="E1874" s="126"/>
      <c r="F1874" s="126"/>
      <c r="G1874" s="125"/>
      <c r="H1874" s="125"/>
      <c r="I1874" s="99"/>
      <c r="K1874" s="84"/>
      <c r="L1874" s="84"/>
      <c r="M1874" s="84"/>
      <c r="N1874" s="84"/>
      <c r="O1874" s="84"/>
      <c r="P1874" s="84"/>
      <c r="Q1874" s="84"/>
      <c r="R1874" s="84"/>
    </row>
    <row r="1875" ht="15.75" customHeight="1">
      <c r="A1875" s="125"/>
      <c r="B1875" s="125"/>
      <c r="C1875" s="125"/>
      <c r="D1875" s="125"/>
      <c r="E1875" s="126"/>
      <c r="F1875" s="126"/>
      <c r="G1875" s="125"/>
      <c r="H1875" s="125"/>
      <c r="I1875" s="99"/>
      <c r="K1875" s="84"/>
      <c r="L1875" s="84"/>
      <c r="M1875" s="84"/>
      <c r="N1875" s="84"/>
      <c r="O1875" s="84"/>
      <c r="P1875" s="84"/>
      <c r="Q1875" s="84"/>
      <c r="R1875" s="84"/>
    </row>
    <row r="1876" ht="15.75" customHeight="1">
      <c r="A1876" s="125"/>
      <c r="B1876" s="125"/>
      <c r="C1876" s="125"/>
      <c r="D1876" s="125"/>
      <c r="E1876" s="126"/>
      <c r="F1876" s="126"/>
      <c r="G1876" s="125"/>
      <c r="H1876" s="125"/>
      <c r="I1876" s="99"/>
      <c r="K1876" s="84"/>
      <c r="L1876" s="84"/>
      <c r="M1876" s="84"/>
      <c r="N1876" s="84"/>
      <c r="O1876" s="84"/>
      <c r="P1876" s="84"/>
      <c r="Q1876" s="84"/>
      <c r="R1876" s="84"/>
    </row>
    <row r="1877" ht="15.75" customHeight="1">
      <c r="A1877" s="125"/>
      <c r="B1877" s="125"/>
      <c r="C1877" s="125"/>
      <c r="D1877" s="125"/>
      <c r="E1877" s="126"/>
      <c r="F1877" s="126"/>
      <c r="G1877" s="125"/>
      <c r="H1877" s="125"/>
      <c r="I1877" s="99"/>
      <c r="K1877" s="84"/>
      <c r="L1877" s="84"/>
      <c r="M1877" s="84"/>
      <c r="N1877" s="84"/>
      <c r="O1877" s="84"/>
      <c r="P1877" s="84"/>
      <c r="Q1877" s="84"/>
      <c r="R1877" s="84"/>
    </row>
    <row r="1878" ht="15.75" customHeight="1">
      <c r="A1878" s="125"/>
      <c r="B1878" s="125"/>
      <c r="C1878" s="125"/>
      <c r="D1878" s="125"/>
      <c r="E1878" s="126"/>
      <c r="F1878" s="126"/>
      <c r="G1878" s="125"/>
      <c r="H1878" s="125"/>
      <c r="I1878" s="99"/>
      <c r="K1878" s="84"/>
      <c r="L1878" s="84"/>
      <c r="M1878" s="84"/>
      <c r="N1878" s="84"/>
      <c r="O1878" s="84"/>
      <c r="P1878" s="84"/>
      <c r="Q1878" s="84"/>
      <c r="R1878" s="84"/>
    </row>
    <row r="1879" ht="15.75" customHeight="1">
      <c r="A1879" s="125"/>
      <c r="B1879" s="125"/>
      <c r="C1879" s="125"/>
      <c r="D1879" s="125"/>
      <c r="E1879" s="126"/>
      <c r="F1879" s="126"/>
      <c r="G1879" s="125"/>
      <c r="H1879" s="125"/>
      <c r="I1879" s="99"/>
      <c r="K1879" s="84"/>
      <c r="L1879" s="84"/>
      <c r="M1879" s="84"/>
      <c r="N1879" s="84"/>
      <c r="O1879" s="84"/>
      <c r="P1879" s="84"/>
      <c r="Q1879" s="84"/>
      <c r="R1879" s="84"/>
    </row>
    <row r="1880" ht="15.75" customHeight="1">
      <c r="A1880" s="125"/>
      <c r="B1880" s="125"/>
      <c r="C1880" s="125"/>
      <c r="D1880" s="125"/>
      <c r="E1880" s="126"/>
      <c r="F1880" s="126"/>
      <c r="G1880" s="125"/>
      <c r="H1880" s="125"/>
      <c r="I1880" s="99"/>
      <c r="K1880" s="84"/>
      <c r="L1880" s="84"/>
      <c r="M1880" s="84"/>
      <c r="N1880" s="84"/>
      <c r="O1880" s="84"/>
      <c r="P1880" s="84"/>
      <c r="Q1880" s="84"/>
      <c r="R1880" s="84"/>
    </row>
    <row r="1881" ht="15.75" customHeight="1">
      <c r="A1881" s="125"/>
      <c r="B1881" s="125"/>
      <c r="C1881" s="125"/>
      <c r="D1881" s="125"/>
      <c r="E1881" s="126"/>
      <c r="F1881" s="126"/>
      <c r="G1881" s="125"/>
      <c r="H1881" s="125"/>
      <c r="I1881" s="99"/>
      <c r="K1881" s="84"/>
      <c r="L1881" s="84"/>
      <c r="M1881" s="84"/>
      <c r="N1881" s="84"/>
      <c r="O1881" s="84"/>
      <c r="P1881" s="84"/>
      <c r="Q1881" s="84"/>
      <c r="R1881" s="84"/>
    </row>
    <row r="1882" ht="15.75" customHeight="1">
      <c r="A1882" s="125"/>
      <c r="B1882" s="125"/>
      <c r="C1882" s="125"/>
      <c r="D1882" s="125"/>
      <c r="E1882" s="126"/>
      <c r="F1882" s="126"/>
      <c r="G1882" s="125"/>
      <c r="H1882" s="125"/>
      <c r="I1882" s="99"/>
      <c r="K1882" s="84"/>
      <c r="L1882" s="84"/>
      <c r="M1882" s="84"/>
      <c r="N1882" s="84"/>
      <c r="O1882" s="84"/>
      <c r="P1882" s="84"/>
      <c r="Q1882" s="84"/>
      <c r="R1882" s="84"/>
    </row>
    <row r="1883" ht="15.75" customHeight="1">
      <c r="A1883" s="125"/>
      <c r="B1883" s="125"/>
      <c r="C1883" s="125"/>
      <c r="D1883" s="125"/>
      <c r="E1883" s="126"/>
      <c r="F1883" s="126"/>
      <c r="G1883" s="125"/>
      <c r="H1883" s="125"/>
      <c r="I1883" s="99"/>
      <c r="K1883" s="84"/>
      <c r="L1883" s="84"/>
      <c r="M1883" s="84"/>
      <c r="N1883" s="84"/>
      <c r="O1883" s="84"/>
      <c r="P1883" s="84"/>
      <c r="Q1883" s="84"/>
      <c r="R1883" s="84"/>
    </row>
    <row r="1884" ht="15.75" customHeight="1">
      <c r="A1884" s="125"/>
      <c r="B1884" s="125"/>
      <c r="C1884" s="125"/>
      <c r="D1884" s="125"/>
      <c r="E1884" s="126"/>
      <c r="F1884" s="126"/>
      <c r="G1884" s="125"/>
      <c r="H1884" s="125"/>
      <c r="I1884" s="99"/>
      <c r="K1884" s="84"/>
      <c r="L1884" s="84"/>
      <c r="M1884" s="84"/>
      <c r="N1884" s="84"/>
      <c r="O1884" s="84"/>
      <c r="P1884" s="84"/>
      <c r="Q1884" s="84"/>
      <c r="R1884" s="84"/>
    </row>
    <row r="1885" ht="15.75" customHeight="1">
      <c r="A1885" s="125"/>
      <c r="B1885" s="125"/>
      <c r="C1885" s="125"/>
      <c r="D1885" s="125"/>
      <c r="E1885" s="126"/>
      <c r="F1885" s="126"/>
      <c r="G1885" s="125"/>
      <c r="H1885" s="125"/>
      <c r="I1885" s="99"/>
      <c r="K1885" s="84"/>
      <c r="L1885" s="84"/>
      <c r="M1885" s="84"/>
      <c r="N1885" s="84"/>
      <c r="O1885" s="84"/>
      <c r="P1885" s="84"/>
      <c r="Q1885" s="84"/>
      <c r="R1885" s="84"/>
    </row>
    <row r="1886" ht="15.75" customHeight="1">
      <c r="A1886" s="125"/>
      <c r="B1886" s="125"/>
      <c r="C1886" s="125"/>
      <c r="D1886" s="125"/>
      <c r="E1886" s="126"/>
      <c r="F1886" s="126"/>
      <c r="G1886" s="125"/>
      <c r="H1886" s="125"/>
      <c r="I1886" s="99"/>
      <c r="K1886" s="84"/>
      <c r="L1886" s="84"/>
      <c r="M1886" s="84"/>
      <c r="N1886" s="84"/>
      <c r="O1886" s="84"/>
      <c r="P1886" s="84"/>
      <c r="Q1886" s="84"/>
      <c r="R1886" s="84"/>
    </row>
    <row r="1887" ht="15.75" customHeight="1">
      <c r="A1887" s="125"/>
      <c r="B1887" s="125"/>
      <c r="C1887" s="125"/>
      <c r="D1887" s="125"/>
      <c r="E1887" s="126"/>
      <c r="F1887" s="126"/>
      <c r="G1887" s="125"/>
      <c r="H1887" s="125"/>
      <c r="I1887" s="99"/>
      <c r="K1887" s="84"/>
      <c r="L1887" s="84"/>
      <c r="M1887" s="84"/>
      <c r="N1887" s="84"/>
      <c r="O1887" s="84"/>
      <c r="P1887" s="84"/>
      <c r="Q1887" s="84"/>
      <c r="R1887" s="84"/>
    </row>
    <row r="1888" ht="15.75" customHeight="1">
      <c r="A1888" s="125"/>
      <c r="B1888" s="125"/>
      <c r="C1888" s="125"/>
      <c r="D1888" s="125"/>
      <c r="E1888" s="126"/>
      <c r="F1888" s="126"/>
      <c r="G1888" s="125"/>
      <c r="H1888" s="125"/>
      <c r="I1888" s="99"/>
      <c r="K1888" s="84"/>
      <c r="L1888" s="84"/>
      <c r="M1888" s="84"/>
      <c r="N1888" s="84"/>
      <c r="O1888" s="84"/>
      <c r="P1888" s="84"/>
      <c r="Q1888" s="84"/>
      <c r="R1888" s="84"/>
    </row>
    <row r="1889" ht="15.75" customHeight="1">
      <c r="A1889" s="125"/>
      <c r="B1889" s="125"/>
      <c r="C1889" s="125"/>
      <c r="D1889" s="125"/>
      <c r="E1889" s="126"/>
      <c r="F1889" s="126"/>
      <c r="G1889" s="125"/>
      <c r="H1889" s="125"/>
      <c r="I1889" s="99"/>
      <c r="K1889" s="84"/>
      <c r="L1889" s="84"/>
      <c r="M1889" s="84"/>
      <c r="N1889" s="84"/>
      <c r="O1889" s="84"/>
      <c r="P1889" s="84"/>
      <c r="Q1889" s="84"/>
      <c r="R1889" s="84"/>
    </row>
    <row r="1890" ht="15.75" customHeight="1">
      <c r="A1890" s="125"/>
      <c r="B1890" s="125"/>
      <c r="C1890" s="125"/>
      <c r="D1890" s="125"/>
      <c r="E1890" s="126"/>
      <c r="F1890" s="126"/>
      <c r="G1890" s="125"/>
      <c r="H1890" s="125"/>
      <c r="I1890" s="99"/>
      <c r="K1890" s="84"/>
      <c r="L1890" s="84"/>
      <c r="M1890" s="84"/>
      <c r="N1890" s="84"/>
      <c r="O1890" s="84"/>
      <c r="P1890" s="84"/>
      <c r="Q1890" s="84"/>
      <c r="R1890" s="84"/>
    </row>
    <row r="1891" ht="15.75" customHeight="1">
      <c r="A1891" s="125"/>
      <c r="B1891" s="125"/>
      <c r="C1891" s="125"/>
      <c r="D1891" s="125"/>
      <c r="E1891" s="126"/>
      <c r="F1891" s="126"/>
      <c r="G1891" s="125"/>
      <c r="H1891" s="125"/>
      <c r="I1891" s="99"/>
      <c r="K1891" s="84"/>
      <c r="L1891" s="84"/>
      <c r="M1891" s="84"/>
      <c r="N1891" s="84"/>
      <c r="O1891" s="84"/>
      <c r="P1891" s="84"/>
      <c r="Q1891" s="84"/>
      <c r="R1891" s="84"/>
    </row>
    <row r="1892" ht="15.75" customHeight="1">
      <c r="A1892" s="125"/>
      <c r="B1892" s="125"/>
      <c r="C1892" s="125"/>
      <c r="D1892" s="125"/>
      <c r="E1892" s="126"/>
      <c r="F1892" s="126"/>
      <c r="G1892" s="125"/>
      <c r="H1892" s="125"/>
      <c r="I1892" s="99"/>
      <c r="K1892" s="84"/>
      <c r="L1892" s="84"/>
      <c r="M1892" s="84"/>
      <c r="N1892" s="84"/>
      <c r="O1892" s="84"/>
      <c r="P1892" s="84"/>
      <c r="Q1892" s="84"/>
      <c r="R1892" s="84"/>
    </row>
    <row r="1893" ht="15.75" customHeight="1">
      <c r="A1893" s="125"/>
      <c r="B1893" s="125"/>
      <c r="C1893" s="125"/>
      <c r="D1893" s="125"/>
      <c r="E1893" s="126"/>
      <c r="F1893" s="126"/>
      <c r="G1893" s="125"/>
      <c r="H1893" s="125"/>
      <c r="I1893" s="99"/>
      <c r="K1893" s="84"/>
      <c r="L1893" s="84"/>
      <c r="M1893" s="84"/>
      <c r="N1893" s="84"/>
      <c r="O1893" s="84"/>
      <c r="P1893" s="84"/>
      <c r="Q1893" s="84"/>
      <c r="R1893" s="84"/>
    </row>
    <row r="1894" ht="15.75" customHeight="1">
      <c r="A1894" s="125"/>
      <c r="B1894" s="125"/>
      <c r="C1894" s="125"/>
      <c r="D1894" s="125"/>
      <c r="E1894" s="126"/>
      <c r="F1894" s="126"/>
      <c r="G1894" s="125"/>
      <c r="H1894" s="125"/>
      <c r="I1894" s="99"/>
      <c r="K1894" s="84"/>
      <c r="L1894" s="84"/>
      <c r="M1894" s="84"/>
      <c r="N1894" s="84"/>
      <c r="O1894" s="84"/>
      <c r="P1894" s="84"/>
      <c r="Q1894" s="84"/>
      <c r="R1894" s="84"/>
    </row>
    <row r="1895" ht="15.75" customHeight="1">
      <c r="A1895" s="125"/>
      <c r="B1895" s="125"/>
      <c r="C1895" s="125"/>
      <c r="D1895" s="125"/>
      <c r="E1895" s="126"/>
      <c r="F1895" s="126"/>
      <c r="G1895" s="125"/>
      <c r="H1895" s="125"/>
      <c r="I1895" s="99"/>
      <c r="K1895" s="84"/>
      <c r="M1895" s="84"/>
      <c r="N1895" s="84"/>
      <c r="O1895" s="84"/>
      <c r="P1895" s="84"/>
      <c r="Q1895" s="84"/>
      <c r="R1895" s="84"/>
    </row>
    <row r="1896" ht="15.75" customHeight="1">
      <c r="A1896" s="125"/>
      <c r="B1896" s="125"/>
      <c r="C1896" s="125"/>
      <c r="D1896" s="125"/>
      <c r="E1896" s="126"/>
      <c r="F1896" s="126"/>
      <c r="G1896" s="125"/>
      <c r="H1896" s="125"/>
      <c r="I1896" s="99"/>
      <c r="K1896" s="84"/>
      <c r="M1896" s="84"/>
      <c r="N1896" s="84"/>
      <c r="O1896" s="84"/>
      <c r="P1896" s="84"/>
      <c r="Q1896" s="84"/>
      <c r="R1896" s="84"/>
    </row>
    <row r="1897" ht="15.75" customHeight="1">
      <c r="A1897" s="125"/>
      <c r="B1897" s="125"/>
      <c r="C1897" s="125"/>
      <c r="D1897" s="125"/>
      <c r="E1897" s="126"/>
      <c r="F1897" s="126"/>
      <c r="G1897" s="125"/>
      <c r="H1897" s="125"/>
      <c r="I1897" s="99"/>
      <c r="K1897" s="84"/>
      <c r="M1897" s="84"/>
      <c r="N1897" s="84"/>
      <c r="O1897" s="84"/>
      <c r="P1897" s="84"/>
      <c r="Q1897" s="84"/>
      <c r="R1897" s="84"/>
    </row>
    <row r="1898" ht="15.75" customHeight="1">
      <c r="A1898" s="125"/>
      <c r="B1898" s="125"/>
      <c r="C1898" s="125"/>
      <c r="D1898" s="125"/>
      <c r="E1898" s="126"/>
      <c r="F1898" s="126"/>
      <c r="G1898" s="125"/>
      <c r="H1898" s="125"/>
      <c r="I1898" s="99"/>
      <c r="K1898" s="84"/>
      <c r="M1898" s="84"/>
      <c r="N1898" s="84"/>
      <c r="O1898" s="84"/>
      <c r="P1898" s="84"/>
      <c r="Q1898" s="84"/>
      <c r="R1898" s="84"/>
    </row>
    <row r="1899" ht="15.75" customHeight="1">
      <c r="A1899" s="125"/>
      <c r="B1899" s="125"/>
      <c r="C1899" s="125"/>
      <c r="D1899" s="125"/>
      <c r="E1899" s="126"/>
      <c r="F1899" s="126"/>
      <c r="G1899" s="125"/>
      <c r="H1899" s="125"/>
      <c r="I1899" s="99"/>
      <c r="K1899" s="84"/>
      <c r="M1899" s="84"/>
      <c r="N1899" s="84"/>
      <c r="O1899" s="84"/>
      <c r="P1899" s="84"/>
      <c r="Q1899" s="84"/>
      <c r="R1899" s="84"/>
    </row>
    <row r="1900" ht="15.75" customHeight="1">
      <c r="A1900" s="125"/>
      <c r="B1900" s="125"/>
      <c r="C1900" s="125"/>
      <c r="D1900" s="125"/>
      <c r="E1900" s="126"/>
      <c r="F1900" s="126"/>
      <c r="G1900" s="125"/>
      <c r="H1900" s="125"/>
      <c r="I1900" s="99"/>
      <c r="K1900" s="84"/>
      <c r="M1900" s="84"/>
      <c r="N1900" s="84"/>
      <c r="O1900" s="84"/>
      <c r="P1900" s="84"/>
      <c r="Q1900" s="84"/>
      <c r="R1900" s="84"/>
    </row>
    <row r="1901" ht="15.75" customHeight="1">
      <c r="A1901" s="125"/>
      <c r="B1901" s="125"/>
      <c r="C1901" s="125"/>
      <c r="D1901" s="125"/>
      <c r="E1901" s="126"/>
      <c r="F1901" s="126"/>
      <c r="G1901" s="125"/>
      <c r="H1901" s="125"/>
      <c r="I1901" s="99"/>
      <c r="K1901" s="84"/>
      <c r="M1901" s="84"/>
      <c r="N1901" s="84"/>
      <c r="O1901" s="84"/>
      <c r="P1901" s="84"/>
      <c r="Q1901" s="84"/>
      <c r="R1901" s="84"/>
    </row>
    <row r="1902" ht="15.75" customHeight="1">
      <c r="A1902" s="125"/>
      <c r="B1902" s="125"/>
      <c r="C1902" s="125"/>
      <c r="D1902" s="125"/>
      <c r="E1902" s="126"/>
      <c r="F1902" s="126"/>
      <c r="G1902" s="125"/>
      <c r="H1902" s="125"/>
      <c r="I1902" s="99"/>
      <c r="K1902" s="84"/>
      <c r="M1902" s="84"/>
      <c r="N1902" s="84"/>
      <c r="O1902" s="84"/>
      <c r="P1902" s="84"/>
      <c r="Q1902" s="84"/>
      <c r="R1902" s="84"/>
    </row>
    <row r="1903" ht="15.75" customHeight="1">
      <c r="A1903" s="125"/>
      <c r="B1903" s="125"/>
      <c r="C1903" s="125"/>
      <c r="D1903" s="125"/>
      <c r="E1903" s="126"/>
      <c r="F1903" s="126"/>
      <c r="G1903" s="125"/>
      <c r="H1903" s="125"/>
      <c r="I1903" s="99"/>
      <c r="K1903" s="84"/>
      <c r="M1903" s="84"/>
      <c r="N1903" s="84"/>
      <c r="O1903" s="84"/>
      <c r="P1903" s="84"/>
      <c r="Q1903" s="84"/>
      <c r="R1903" s="84"/>
    </row>
    <row r="1904" ht="15.75" customHeight="1">
      <c r="A1904" s="125"/>
      <c r="B1904" s="125"/>
      <c r="C1904" s="125"/>
      <c r="D1904" s="125"/>
      <c r="E1904" s="126"/>
      <c r="F1904" s="126"/>
      <c r="G1904" s="125"/>
      <c r="H1904" s="125"/>
      <c r="I1904" s="99"/>
      <c r="K1904" s="84"/>
      <c r="M1904" s="84"/>
      <c r="N1904" s="84"/>
      <c r="O1904" s="84"/>
      <c r="P1904" s="84"/>
      <c r="Q1904" s="84"/>
      <c r="R1904" s="84"/>
    </row>
    <row r="1905" ht="15.75" customHeight="1">
      <c r="A1905" s="125"/>
      <c r="B1905" s="125"/>
      <c r="C1905" s="125"/>
      <c r="D1905" s="125"/>
      <c r="E1905" s="126"/>
      <c r="F1905" s="126"/>
      <c r="G1905" s="125"/>
      <c r="H1905" s="125"/>
      <c r="I1905" s="99"/>
      <c r="K1905" s="84"/>
      <c r="M1905" s="84"/>
      <c r="N1905" s="84"/>
      <c r="O1905" s="84"/>
      <c r="P1905" s="84"/>
      <c r="Q1905" s="84"/>
      <c r="R1905" s="84"/>
    </row>
  </sheetData>
  <mergeCells count="40">
    <mergeCell ref="C2:C67"/>
    <mergeCell ref="C68:C79"/>
    <mergeCell ref="C80:C88"/>
    <mergeCell ref="C89:C112"/>
    <mergeCell ref="C113:C136"/>
    <mergeCell ref="C137:C160"/>
    <mergeCell ref="C161:C194"/>
    <mergeCell ref="C195:C228"/>
    <mergeCell ref="C229:C262"/>
    <mergeCell ref="C264:C299"/>
    <mergeCell ref="C301:C329"/>
    <mergeCell ref="C330:C358"/>
    <mergeCell ref="C359:C387"/>
    <mergeCell ref="C389:C400"/>
    <mergeCell ref="C401:C418"/>
    <mergeCell ref="C419:C445"/>
    <mergeCell ref="C446:C451"/>
    <mergeCell ref="C452:C455"/>
    <mergeCell ref="C456:C459"/>
    <mergeCell ref="C460:C463"/>
    <mergeCell ref="C464:C467"/>
    <mergeCell ref="C468:C471"/>
    <mergeCell ref="C472:C475"/>
    <mergeCell ref="C476:C484"/>
    <mergeCell ref="C485:C486"/>
    <mergeCell ref="C508:C516"/>
    <mergeCell ref="C517:C525"/>
    <mergeCell ref="C526:C534"/>
    <mergeCell ref="C607:C609"/>
    <mergeCell ref="C610:C689"/>
    <mergeCell ref="C690:C767"/>
    <mergeCell ref="C768:C896"/>
    <mergeCell ref="C897:C917"/>
    <mergeCell ref="C535:C543"/>
    <mergeCell ref="C544:C552"/>
    <mergeCell ref="C553:C561"/>
    <mergeCell ref="C562:C582"/>
    <mergeCell ref="C583:C594"/>
    <mergeCell ref="C601:C603"/>
    <mergeCell ref="C604:C606"/>
  </mergeCells>
  <conditionalFormatting sqref="L2:M1227">
    <cfRule type="cellIs" dxfId="3" priority="1" operator="greaterThan">
      <formula>1</formula>
    </cfRule>
  </conditionalFormatting>
  <conditionalFormatting sqref="A1:A1905">
    <cfRule type="notContainsBlanks" dxfId="4" priority="2">
      <formula>LEN(TRIM(A1))&gt;0</formula>
    </cfRule>
  </conditionalFormatting>
  <printOptions gridLines="1" horizontalCentered="1"/>
  <pageMargins bottom="0.75" footer="0.0" header="0.0" left="0.7" right="0.7" top="0.75"/>
  <pageSetup fitToHeight="0" paperSize="9"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2" max="2" width="67.11"/>
    <col customWidth="1" min="3" max="3" width="21.11"/>
  </cols>
  <sheetData>
    <row r="1">
      <c r="A1" s="82" t="s">
        <v>219</v>
      </c>
      <c r="B1" s="82" t="s">
        <v>220</v>
      </c>
      <c r="C1" s="82" t="s">
        <v>221</v>
      </c>
      <c r="D1" s="82" t="s">
        <v>222</v>
      </c>
      <c r="E1" s="83" t="s">
        <v>223</v>
      </c>
      <c r="F1" s="83" t="s">
        <v>224</v>
      </c>
      <c r="G1" s="82" t="s">
        <v>225</v>
      </c>
      <c r="H1" s="82" t="s">
        <v>46</v>
      </c>
    </row>
    <row r="2">
      <c r="A2" s="216">
        <v>1000.0</v>
      </c>
      <c r="B2" s="216" t="s">
        <v>2726</v>
      </c>
      <c r="C2" s="216" t="s">
        <v>2727</v>
      </c>
      <c r="D2" s="25"/>
      <c r="E2" s="216">
        <v>0.0</v>
      </c>
      <c r="F2" s="216">
        <v>0.0</v>
      </c>
      <c r="G2" s="217"/>
      <c r="H2" s="25"/>
    </row>
    <row r="3">
      <c r="A3" s="216">
        <v>3.0025E7</v>
      </c>
      <c r="B3" s="216" t="s">
        <v>2728</v>
      </c>
      <c r="C3" s="216" t="s">
        <v>2729</v>
      </c>
      <c r="D3" s="25"/>
      <c r="E3" s="216" t="s">
        <v>2730</v>
      </c>
      <c r="F3" s="216" t="s">
        <v>2730</v>
      </c>
      <c r="G3" s="217"/>
      <c r="H3" s="25"/>
    </row>
    <row r="4">
      <c r="A4" s="216">
        <v>1.0010001E7</v>
      </c>
      <c r="B4" s="216" t="s">
        <v>2731</v>
      </c>
      <c r="C4" s="216" t="s">
        <v>2732</v>
      </c>
      <c r="D4" s="25"/>
      <c r="E4" s="216" t="s">
        <v>2730</v>
      </c>
      <c r="F4" s="216" t="s">
        <v>2730</v>
      </c>
      <c r="G4" s="217"/>
      <c r="H4" s="25"/>
    </row>
    <row r="5">
      <c r="A5" s="216">
        <v>1.0010002E7</v>
      </c>
      <c r="B5" s="216" t="s">
        <v>2733</v>
      </c>
      <c r="C5" s="216" t="s">
        <v>2734</v>
      </c>
      <c r="D5" s="25"/>
      <c r="E5" s="216" t="s">
        <v>2730</v>
      </c>
      <c r="F5" s="216" t="s">
        <v>2730</v>
      </c>
      <c r="G5" s="217"/>
      <c r="H5" s="25"/>
    </row>
    <row r="6">
      <c r="A6" s="216">
        <v>1.0014E7</v>
      </c>
      <c r="B6" s="216" t="s">
        <v>2735</v>
      </c>
      <c r="C6" s="216" t="s">
        <v>2736</v>
      </c>
      <c r="D6" s="25"/>
      <c r="E6" s="216" t="s">
        <v>2730</v>
      </c>
      <c r="F6" s="216" t="s">
        <v>2730</v>
      </c>
      <c r="G6" s="216" t="s">
        <v>1124</v>
      </c>
      <c r="H6" s="25"/>
    </row>
    <row r="7">
      <c r="A7" s="216">
        <v>1.0014001E7</v>
      </c>
      <c r="B7" s="216" t="s">
        <v>2737</v>
      </c>
      <c r="C7" s="216" t="s">
        <v>2736</v>
      </c>
      <c r="D7" s="25"/>
      <c r="E7" s="216" t="s">
        <v>2730</v>
      </c>
      <c r="F7" s="216" t="s">
        <v>2730</v>
      </c>
      <c r="G7" s="216" t="s">
        <v>1124</v>
      </c>
      <c r="H7" s="25"/>
    </row>
    <row r="8">
      <c r="A8" s="216">
        <v>1.0014002E7</v>
      </c>
      <c r="B8" s="216" t="s">
        <v>2738</v>
      </c>
      <c r="C8" s="216" t="s">
        <v>2736</v>
      </c>
      <c r="D8" s="25"/>
      <c r="E8" s="216" t="s">
        <v>2730</v>
      </c>
      <c r="F8" s="216" t="s">
        <v>2730</v>
      </c>
      <c r="G8" s="216" t="s">
        <v>1124</v>
      </c>
      <c r="H8" s="25"/>
    </row>
    <row r="9">
      <c r="A9" s="216">
        <v>1.0014003E7</v>
      </c>
      <c r="B9" s="216" t="s">
        <v>2739</v>
      </c>
      <c r="C9" s="216" t="s">
        <v>2736</v>
      </c>
      <c r="D9" s="25"/>
      <c r="E9" s="216" t="s">
        <v>2730</v>
      </c>
      <c r="F9" s="216" t="s">
        <v>2730</v>
      </c>
      <c r="G9" s="216" t="s">
        <v>1124</v>
      </c>
      <c r="H9" s="25"/>
    </row>
    <row r="10">
      <c r="A10" s="216">
        <v>1.0014004E7</v>
      </c>
      <c r="B10" s="216" t="s">
        <v>2740</v>
      </c>
      <c r="C10" s="216" t="s">
        <v>2736</v>
      </c>
      <c r="D10" s="25"/>
      <c r="E10" s="216" t="s">
        <v>2730</v>
      </c>
      <c r="F10" s="216" t="s">
        <v>2730</v>
      </c>
      <c r="G10" s="216" t="s">
        <v>1124</v>
      </c>
      <c r="H10" s="25"/>
    </row>
    <row r="11">
      <c r="A11" s="216">
        <v>1.0014005E7</v>
      </c>
      <c r="B11" s="216" t="s">
        <v>2741</v>
      </c>
      <c r="C11" s="216" t="s">
        <v>2736</v>
      </c>
      <c r="D11" s="25"/>
      <c r="E11" s="216" t="s">
        <v>2730</v>
      </c>
      <c r="F11" s="216" t="s">
        <v>2730</v>
      </c>
      <c r="G11" s="216" t="s">
        <v>1124</v>
      </c>
      <c r="H11" s="25"/>
    </row>
    <row r="12">
      <c r="A12" s="216">
        <v>1.0014006E7</v>
      </c>
      <c r="B12" s="216" t="s">
        <v>2742</v>
      </c>
      <c r="C12" s="216" t="s">
        <v>2736</v>
      </c>
      <c r="D12" s="25"/>
      <c r="E12" s="216" t="s">
        <v>2730</v>
      </c>
      <c r="F12" s="216" t="s">
        <v>2730</v>
      </c>
      <c r="G12" s="216" t="s">
        <v>1124</v>
      </c>
      <c r="H12" s="25"/>
    </row>
    <row r="13">
      <c r="A13" s="216">
        <v>1.0014007E7</v>
      </c>
      <c r="B13" s="216" t="s">
        <v>2743</v>
      </c>
      <c r="C13" s="216" t="s">
        <v>2736</v>
      </c>
      <c r="D13" s="25"/>
      <c r="E13" s="216" t="s">
        <v>2730</v>
      </c>
      <c r="F13" s="216" t="s">
        <v>2730</v>
      </c>
      <c r="G13" s="216" t="s">
        <v>1124</v>
      </c>
      <c r="H13" s="25"/>
    </row>
    <row r="14">
      <c r="A14" s="216">
        <v>1.0014008E7</v>
      </c>
      <c r="B14" s="216" t="s">
        <v>2744</v>
      </c>
      <c r="C14" s="216" t="s">
        <v>2736</v>
      </c>
      <c r="D14" s="25"/>
      <c r="E14" s="216" t="s">
        <v>2730</v>
      </c>
      <c r="F14" s="216" t="s">
        <v>2730</v>
      </c>
      <c r="G14" s="216" t="s">
        <v>1124</v>
      </c>
      <c r="H14" s="25"/>
    </row>
    <row r="15">
      <c r="A15" s="216">
        <v>1.0014009E7</v>
      </c>
      <c r="B15" s="216" t="s">
        <v>2745</v>
      </c>
      <c r="C15" s="216" t="s">
        <v>2736</v>
      </c>
      <c r="D15" s="25"/>
      <c r="E15" s="216" t="s">
        <v>2730</v>
      </c>
      <c r="F15" s="216" t="s">
        <v>2730</v>
      </c>
      <c r="G15" s="216" t="s">
        <v>1124</v>
      </c>
      <c r="H15" s="25"/>
    </row>
    <row r="16">
      <c r="A16" s="216">
        <v>1.001401E7</v>
      </c>
      <c r="B16" s="216" t="s">
        <v>2746</v>
      </c>
      <c r="C16" s="216" t="s">
        <v>2736</v>
      </c>
      <c r="D16" s="25"/>
      <c r="E16" s="216" t="s">
        <v>2730</v>
      </c>
      <c r="F16" s="216" t="s">
        <v>2730</v>
      </c>
      <c r="G16" s="216" t="s">
        <v>1124</v>
      </c>
      <c r="H16" s="25"/>
    </row>
    <row r="17">
      <c r="A17" s="216">
        <v>1.0014011E7</v>
      </c>
      <c r="B17" s="216" t="s">
        <v>2747</v>
      </c>
      <c r="C17" s="216" t="s">
        <v>2736</v>
      </c>
      <c r="D17" s="25"/>
      <c r="E17" s="216" t="s">
        <v>2730</v>
      </c>
      <c r="F17" s="216" t="s">
        <v>2730</v>
      </c>
      <c r="G17" s="216" t="s">
        <v>1124</v>
      </c>
      <c r="H17" s="25"/>
    </row>
    <row r="18">
      <c r="A18" s="216">
        <v>1.0014012E7</v>
      </c>
      <c r="B18" s="216" t="s">
        <v>2748</v>
      </c>
      <c r="C18" s="216" t="s">
        <v>2736</v>
      </c>
      <c r="D18" s="25"/>
      <c r="E18" s="216" t="s">
        <v>2730</v>
      </c>
      <c r="F18" s="216" t="s">
        <v>2730</v>
      </c>
      <c r="G18" s="216" t="s">
        <v>1124</v>
      </c>
      <c r="H18" s="25"/>
    </row>
    <row r="19">
      <c r="A19" s="216">
        <v>1.0014013E7</v>
      </c>
      <c r="B19" s="216" t="s">
        <v>2749</v>
      </c>
      <c r="C19" s="216" t="s">
        <v>2736</v>
      </c>
      <c r="D19" s="25"/>
      <c r="E19" s="216" t="s">
        <v>2730</v>
      </c>
      <c r="F19" s="216" t="s">
        <v>2730</v>
      </c>
      <c r="G19" s="216" t="s">
        <v>1124</v>
      </c>
      <c r="H19" s="25"/>
    </row>
    <row r="20">
      <c r="A20" s="216">
        <v>1.0014014E7</v>
      </c>
      <c r="B20" s="216" t="s">
        <v>2750</v>
      </c>
      <c r="C20" s="216" t="s">
        <v>2736</v>
      </c>
      <c r="D20" s="25"/>
      <c r="E20" s="216" t="s">
        <v>2730</v>
      </c>
      <c r="F20" s="216" t="s">
        <v>2730</v>
      </c>
      <c r="G20" s="216" t="s">
        <v>1124</v>
      </c>
      <c r="H20" s="25"/>
    </row>
    <row r="21">
      <c r="A21" s="216">
        <v>1.0014015E7</v>
      </c>
      <c r="B21" s="216" t="s">
        <v>2751</v>
      </c>
      <c r="C21" s="216" t="s">
        <v>2736</v>
      </c>
      <c r="D21" s="25"/>
      <c r="E21" s="216" t="s">
        <v>2730</v>
      </c>
      <c r="F21" s="216" t="s">
        <v>2730</v>
      </c>
      <c r="G21" s="216" t="s">
        <v>1124</v>
      </c>
      <c r="H21" s="25"/>
    </row>
    <row r="22">
      <c r="A22" s="216">
        <v>1.0014016E7</v>
      </c>
      <c r="B22" s="216" t="s">
        <v>2752</v>
      </c>
      <c r="C22" s="216" t="s">
        <v>2736</v>
      </c>
      <c r="D22" s="25"/>
      <c r="E22" s="216" t="s">
        <v>2730</v>
      </c>
      <c r="F22" s="216" t="s">
        <v>2730</v>
      </c>
      <c r="G22" s="216" t="s">
        <v>1124</v>
      </c>
      <c r="H22" s="25"/>
    </row>
    <row r="23">
      <c r="A23" s="216">
        <v>1.0014017E7</v>
      </c>
      <c r="B23" s="216" t="s">
        <v>2753</v>
      </c>
      <c r="C23" s="216" t="s">
        <v>2736</v>
      </c>
      <c r="D23" s="25"/>
      <c r="E23" s="216" t="s">
        <v>2730</v>
      </c>
      <c r="F23" s="216" t="s">
        <v>2730</v>
      </c>
      <c r="G23" s="216" t="s">
        <v>1124</v>
      </c>
      <c r="H23" s="25"/>
    </row>
    <row r="24">
      <c r="A24" s="216">
        <v>1.0014018E7</v>
      </c>
      <c r="B24" s="216" t="s">
        <v>2754</v>
      </c>
      <c r="C24" s="216" t="s">
        <v>2736</v>
      </c>
      <c r="D24" s="25"/>
      <c r="E24" s="216" t="s">
        <v>2730</v>
      </c>
      <c r="F24" s="216" t="s">
        <v>2730</v>
      </c>
      <c r="G24" s="216" t="s">
        <v>1124</v>
      </c>
      <c r="H24" s="25"/>
    </row>
    <row r="25">
      <c r="A25" s="216">
        <v>1.0014019E7</v>
      </c>
      <c r="B25" s="216" t="s">
        <v>2755</v>
      </c>
      <c r="C25" s="216" t="s">
        <v>2736</v>
      </c>
      <c r="D25" s="25"/>
      <c r="E25" s="216" t="s">
        <v>2730</v>
      </c>
      <c r="F25" s="216" t="s">
        <v>2730</v>
      </c>
      <c r="G25" s="216" t="s">
        <v>1124</v>
      </c>
      <c r="H25" s="25"/>
    </row>
    <row r="26">
      <c r="A26" s="216">
        <v>1.001402E7</v>
      </c>
      <c r="B26" s="216" t="s">
        <v>2756</v>
      </c>
      <c r="C26" s="216" t="s">
        <v>2736</v>
      </c>
      <c r="D26" s="25"/>
      <c r="E26" s="216" t="s">
        <v>2730</v>
      </c>
      <c r="F26" s="216" t="s">
        <v>2730</v>
      </c>
      <c r="G26" s="216" t="s">
        <v>1124</v>
      </c>
      <c r="H26" s="25"/>
    </row>
    <row r="27">
      <c r="A27" s="216">
        <v>1.0014021E7</v>
      </c>
      <c r="B27" s="216" t="s">
        <v>2757</v>
      </c>
      <c r="C27" s="216" t="s">
        <v>2736</v>
      </c>
      <c r="D27" s="25"/>
      <c r="E27" s="216" t="s">
        <v>2730</v>
      </c>
      <c r="F27" s="216" t="s">
        <v>2730</v>
      </c>
      <c r="G27" s="216" t="s">
        <v>1124</v>
      </c>
      <c r="H27" s="25"/>
    </row>
    <row r="28">
      <c r="A28" s="216">
        <v>1.0014022E7</v>
      </c>
      <c r="B28" s="216" t="s">
        <v>2758</v>
      </c>
      <c r="C28" s="216" t="s">
        <v>2736</v>
      </c>
      <c r="D28" s="25"/>
      <c r="E28" s="216" t="s">
        <v>2730</v>
      </c>
      <c r="F28" s="216" t="s">
        <v>2730</v>
      </c>
      <c r="G28" s="216" t="s">
        <v>1124</v>
      </c>
      <c r="H28" s="25"/>
    </row>
    <row r="29">
      <c r="A29" s="216">
        <v>1.0014023E7</v>
      </c>
      <c r="B29" s="216" t="s">
        <v>2759</v>
      </c>
      <c r="C29" s="216" t="s">
        <v>2736</v>
      </c>
      <c r="D29" s="25"/>
      <c r="E29" s="216" t="s">
        <v>2730</v>
      </c>
      <c r="F29" s="216" t="s">
        <v>2730</v>
      </c>
      <c r="G29" s="216" t="s">
        <v>1124</v>
      </c>
      <c r="H29" s="25"/>
    </row>
    <row r="30">
      <c r="A30" s="216">
        <v>1.0014024E7</v>
      </c>
      <c r="B30" s="216" t="s">
        <v>2760</v>
      </c>
      <c r="C30" s="216" t="s">
        <v>2736</v>
      </c>
      <c r="D30" s="25"/>
      <c r="E30" s="216" t="s">
        <v>2730</v>
      </c>
      <c r="F30" s="216" t="s">
        <v>2730</v>
      </c>
      <c r="G30" s="216" t="s">
        <v>1124</v>
      </c>
      <c r="H30" s="25"/>
    </row>
    <row r="31">
      <c r="A31" s="216">
        <v>1.0014025E7</v>
      </c>
      <c r="B31" s="216" t="s">
        <v>2761</v>
      </c>
      <c r="C31" s="216" t="s">
        <v>2736</v>
      </c>
      <c r="D31" s="25"/>
      <c r="E31" s="216" t="s">
        <v>2730</v>
      </c>
      <c r="F31" s="216" t="s">
        <v>2730</v>
      </c>
      <c r="G31" s="216" t="s">
        <v>1124</v>
      </c>
      <c r="H31" s="25"/>
    </row>
    <row r="32">
      <c r="A32" s="216">
        <v>1.0014026E7</v>
      </c>
      <c r="B32" s="216" t="s">
        <v>2762</v>
      </c>
      <c r="C32" s="216" t="s">
        <v>2736</v>
      </c>
      <c r="D32" s="25"/>
      <c r="E32" s="216" t="s">
        <v>2730</v>
      </c>
      <c r="F32" s="216" t="s">
        <v>2730</v>
      </c>
      <c r="G32" s="216" t="s">
        <v>1124</v>
      </c>
      <c r="H32" s="25"/>
    </row>
    <row r="33">
      <c r="A33" s="216">
        <v>1.0014027E7</v>
      </c>
      <c r="B33" s="216" t="s">
        <v>2763</v>
      </c>
      <c r="C33" s="216" t="s">
        <v>2736</v>
      </c>
      <c r="D33" s="25"/>
      <c r="E33" s="216" t="s">
        <v>2730</v>
      </c>
      <c r="F33" s="216" t="s">
        <v>2730</v>
      </c>
      <c r="G33" s="216" t="s">
        <v>1124</v>
      </c>
      <c r="H33" s="25"/>
    </row>
    <row r="34">
      <c r="A34" s="216">
        <v>1.0014028E7</v>
      </c>
      <c r="B34" s="216" t="s">
        <v>2764</v>
      </c>
      <c r="C34" s="216" t="s">
        <v>2736</v>
      </c>
      <c r="D34" s="25"/>
      <c r="E34" s="216" t="s">
        <v>2730</v>
      </c>
      <c r="F34" s="216" t="s">
        <v>2730</v>
      </c>
      <c r="G34" s="216" t="s">
        <v>1124</v>
      </c>
      <c r="H34" s="25"/>
    </row>
    <row r="35">
      <c r="A35" s="216">
        <v>1.0014029E7</v>
      </c>
      <c r="B35" s="216" t="s">
        <v>2765</v>
      </c>
      <c r="C35" s="216" t="s">
        <v>2736</v>
      </c>
      <c r="D35" s="25"/>
      <c r="E35" s="216" t="s">
        <v>2730</v>
      </c>
      <c r="F35" s="216" t="s">
        <v>2730</v>
      </c>
      <c r="G35" s="216" t="s">
        <v>1124</v>
      </c>
      <c r="H35" s="25"/>
    </row>
    <row r="36">
      <c r="A36" s="216">
        <v>1.001403E7</v>
      </c>
      <c r="B36" s="216" t="s">
        <v>2766</v>
      </c>
      <c r="C36" s="216" t="s">
        <v>2736</v>
      </c>
      <c r="D36" s="25"/>
      <c r="E36" s="216" t="s">
        <v>2730</v>
      </c>
      <c r="F36" s="216" t="s">
        <v>2730</v>
      </c>
      <c r="G36" s="216" t="s">
        <v>1124</v>
      </c>
      <c r="H36" s="25"/>
    </row>
    <row r="37">
      <c r="A37" s="216">
        <v>1.0014031E7</v>
      </c>
      <c r="B37" s="216" t="s">
        <v>2767</v>
      </c>
      <c r="C37" s="216" t="s">
        <v>2736</v>
      </c>
      <c r="D37" s="25"/>
      <c r="E37" s="216" t="s">
        <v>2730</v>
      </c>
      <c r="F37" s="216" t="s">
        <v>2730</v>
      </c>
      <c r="G37" s="216" t="s">
        <v>1124</v>
      </c>
      <c r="H37" s="25"/>
    </row>
    <row r="38">
      <c r="A38" s="216">
        <v>1.0014032E7</v>
      </c>
      <c r="B38" s="216" t="s">
        <v>2768</v>
      </c>
      <c r="C38" s="216" t="s">
        <v>2736</v>
      </c>
      <c r="D38" s="25"/>
      <c r="E38" s="216" t="s">
        <v>2730</v>
      </c>
      <c r="F38" s="216" t="s">
        <v>2730</v>
      </c>
      <c r="G38" s="216" t="s">
        <v>1124</v>
      </c>
      <c r="H38" s="25"/>
    </row>
    <row r="39">
      <c r="A39" s="216">
        <v>1.0014033E7</v>
      </c>
      <c r="B39" s="216" t="s">
        <v>2769</v>
      </c>
      <c r="C39" s="216" t="s">
        <v>2736</v>
      </c>
      <c r="D39" s="25"/>
      <c r="E39" s="216" t="s">
        <v>2730</v>
      </c>
      <c r="F39" s="216" t="s">
        <v>2730</v>
      </c>
      <c r="G39" s="216" t="s">
        <v>1124</v>
      </c>
      <c r="H39" s="25"/>
    </row>
    <row r="40">
      <c r="A40" s="216">
        <v>1.0014034E7</v>
      </c>
      <c r="B40" s="216" t="s">
        <v>2770</v>
      </c>
      <c r="C40" s="216" t="s">
        <v>2736</v>
      </c>
      <c r="D40" s="25"/>
      <c r="E40" s="216" t="s">
        <v>2730</v>
      </c>
      <c r="F40" s="216" t="s">
        <v>2730</v>
      </c>
      <c r="G40" s="216" t="s">
        <v>1124</v>
      </c>
      <c r="H40" s="25"/>
    </row>
    <row r="41">
      <c r="A41" s="216">
        <v>1.0014035E7</v>
      </c>
      <c r="B41" s="216" t="s">
        <v>2771</v>
      </c>
      <c r="C41" s="216" t="s">
        <v>2736</v>
      </c>
      <c r="D41" s="25"/>
      <c r="E41" s="216" t="s">
        <v>2730</v>
      </c>
      <c r="F41" s="216" t="s">
        <v>2730</v>
      </c>
      <c r="G41" s="216" t="s">
        <v>1124</v>
      </c>
      <c r="H41" s="25"/>
    </row>
    <row r="42">
      <c r="A42" s="216">
        <v>1.0014036E7</v>
      </c>
      <c r="B42" s="216" t="s">
        <v>2772</v>
      </c>
      <c r="C42" s="216" t="s">
        <v>2736</v>
      </c>
      <c r="D42" s="25"/>
      <c r="E42" s="216" t="s">
        <v>2730</v>
      </c>
      <c r="F42" s="216" t="s">
        <v>2730</v>
      </c>
      <c r="G42" s="216" t="s">
        <v>1124</v>
      </c>
      <c r="H42" s="25"/>
    </row>
    <row r="43">
      <c r="A43" s="216">
        <v>1.0014037E7</v>
      </c>
      <c r="B43" s="216" t="s">
        <v>2773</v>
      </c>
      <c r="C43" s="216" t="s">
        <v>2736</v>
      </c>
      <c r="D43" s="25"/>
      <c r="E43" s="216" t="s">
        <v>2730</v>
      </c>
      <c r="F43" s="216" t="s">
        <v>2730</v>
      </c>
      <c r="G43" s="216" t="s">
        <v>1124</v>
      </c>
      <c r="H43" s="25"/>
    </row>
    <row r="44">
      <c r="A44" s="216">
        <v>1.0014038E7</v>
      </c>
      <c r="B44" s="216" t="s">
        <v>2774</v>
      </c>
      <c r="C44" s="216" t="s">
        <v>2736</v>
      </c>
      <c r="D44" s="25"/>
      <c r="E44" s="216" t="s">
        <v>2730</v>
      </c>
      <c r="F44" s="216" t="s">
        <v>2730</v>
      </c>
      <c r="G44" s="216" t="s">
        <v>1124</v>
      </c>
      <c r="H44" s="25"/>
    </row>
    <row r="45">
      <c r="A45" s="216">
        <v>1.0014039E7</v>
      </c>
      <c r="B45" s="216" t="s">
        <v>2775</v>
      </c>
      <c r="C45" s="216" t="s">
        <v>2736</v>
      </c>
      <c r="D45" s="25"/>
      <c r="E45" s="216" t="s">
        <v>2730</v>
      </c>
      <c r="F45" s="216" t="s">
        <v>2730</v>
      </c>
      <c r="G45" s="216" t="s">
        <v>1124</v>
      </c>
      <c r="H45" s="25"/>
    </row>
    <row r="46">
      <c r="A46" s="216">
        <v>1.001404E7</v>
      </c>
      <c r="B46" s="216" t="s">
        <v>2776</v>
      </c>
      <c r="C46" s="216" t="s">
        <v>2736</v>
      </c>
      <c r="D46" s="25"/>
      <c r="E46" s="216" t="s">
        <v>2730</v>
      </c>
      <c r="F46" s="216" t="s">
        <v>2730</v>
      </c>
      <c r="G46" s="216" t="s">
        <v>1124</v>
      </c>
      <c r="H46" s="25"/>
    </row>
    <row r="47">
      <c r="A47" s="216">
        <v>1.0014041E7</v>
      </c>
      <c r="B47" s="216" t="s">
        <v>2777</v>
      </c>
      <c r="C47" s="216" t="s">
        <v>2736</v>
      </c>
      <c r="D47" s="25"/>
      <c r="E47" s="216" t="s">
        <v>2730</v>
      </c>
      <c r="F47" s="216" t="s">
        <v>2730</v>
      </c>
      <c r="G47" s="216" t="s">
        <v>1124</v>
      </c>
      <c r="H47" s="25"/>
    </row>
    <row r="48">
      <c r="A48" s="216">
        <v>1.0014042E7</v>
      </c>
      <c r="B48" s="216" t="s">
        <v>2778</v>
      </c>
      <c r="C48" s="216" t="s">
        <v>2736</v>
      </c>
      <c r="D48" s="25"/>
      <c r="E48" s="216" t="s">
        <v>2730</v>
      </c>
      <c r="F48" s="216" t="s">
        <v>2730</v>
      </c>
      <c r="G48" s="216" t="s">
        <v>1124</v>
      </c>
      <c r="H48" s="25"/>
    </row>
    <row r="49">
      <c r="A49" s="216">
        <v>1.0014043E7</v>
      </c>
      <c r="B49" s="216" t="s">
        <v>2779</v>
      </c>
      <c r="C49" s="216" t="s">
        <v>2736</v>
      </c>
      <c r="D49" s="25"/>
      <c r="E49" s="216" t="s">
        <v>2730</v>
      </c>
      <c r="F49" s="216" t="s">
        <v>2730</v>
      </c>
      <c r="G49" s="216" t="s">
        <v>1124</v>
      </c>
      <c r="H49" s="25"/>
    </row>
    <row r="50">
      <c r="A50" s="216">
        <v>1.0014044E7</v>
      </c>
      <c r="B50" s="216" t="s">
        <v>2780</v>
      </c>
      <c r="C50" s="216" t="s">
        <v>2736</v>
      </c>
      <c r="D50" s="25"/>
      <c r="E50" s="216" t="s">
        <v>2730</v>
      </c>
      <c r="F50" s="216" t="s">
        <v>2730</v>
      </c>
      <c r="G50" s="216" t="s">
        <v>1124</v>
      </c>
      <c r="H50" s="25"/>
    </row>
    <row r="51">
      <c r="A51" s="216">
        <v>1.0014045E7</v>
      </c>
      <c r="B51" s="216" t="s">
        <v>2781</v>
      </c>
      <c r="C51" s="216" t="s">
        <v>2736</v>
      </c>
      <c r="D51" s="25"/>
      <c r="E51" s="216" t="s">
        <v>2730</v>
      </c>
      <c r="F51" s="216" t="s">
        <v>2730</v>
      </c>
      <c r="G51" s="216" t="s">
        <v>1124</v>
      </c>
      <c r="H51" s="25"/>
    </row>
    <row r="52">
      <c r="A52" s="216">
        <v>1.0014046E7</v>
      </c>
      <c r="B52" s="216" t="s">
        <v>2782</v>
      </c>
      <c r="C52" s="216" t="s">
        <v>2736</v>
      </c>
      <c r="D52" s="25"/>
      <c r="E52" s="216" t="s">
        <v>2730</v>
      </c>
      <c r="F52" s="216" t="s">
        <v>2730</v>
      </c>
      <c r="G52" s="216" t="s">
        <v>1124</v>
      </c>
      <c r="H52" s="25"/>
    </row>
    <row r="53">
      <c r="A53" s="216">
        <v>1.0014047E7</v>
      </c>
      <c r="B53" s="216" t="s">
        <v>2783</v>
      </c>
      <c r="C53" s="216" t="s">
        <v>2736</v>
      </c>
      <c r="D53" s="25"/>
      <c r="E53" s="216" t="s">
        <v>2730</v>
      </c>
      <c r="F53" s="216" t="s">
        <v>2730</v>
      </c>
      <c r="G53" s="216" t="s">
        <v>1124</v>
      </c>
      <c r="H53" s="25"/>
    </row>
    <row r="54">
      <c r="A54" s="216">
        <v>1.0014048E7</v>
      </c>
      <c r="B54" s="216" t="s">
        <v>2784</v>
      </c>
      <c r="C54" s="216" t="s">
        <v>2736</v>
      </c>
      <c r="D54" s="25"/>
      <c r="E54" s="216" t="s">
        <v>2730</v>
      </c>
      <c r="F54" s="216" t="s">
        <v>2730</v>
      </c>
      <c r="G54" s="216" t="s">
        <v>1124</v>
      </c>
      <c r="H54" s="25"/>
    </row>
    <row r="55">
      <c r="A55" s="216">
        <v>1.0014049E7</v>
      </c>
      <c r="B55" s="216" t="s">
        <v>2785</v>
      </c>
      <c r="C55" s="216" t="s">
        <v>2736</v>
      </c>
      <c r="D55" s="25"/>
      <c r="E55" s="216" t="s">
        <v>2730</v>
      </c>
      <c r="F55" s="216" t="s">
        <v>2730</v>
      </c>
      <c r="G55" s="216" t="s">
        <v>1124</v>
      </c>
      <c r="H55" s="25"/>
    </row>
    <row r="56">
      <c r="A56" s="216">
        <v>1.0013E7</v>
      </c>
      <c r="B56" s="216" t="s">
        <v>2735</v>
      </c>
      <c r="C56" s="216" t="s">
        <v>2736</v>
      </c>
      <c r="D56" s="25"/>
      <c r="E56" s="216">
        <v>-1.0</v>
      </c>
      <c r="F56" s="216">
        <v>-1.0</v>
      </c>
      <c r="G56" s="216" t="s">
        <v>1124</v>
      </c>
      <c r="H56" s="25"/>
    </row>
    <row r="57">
      <c r="A57" s="216">
        <v>1.0013001E7</v>
      </c>
      <c r="B57" s="216" t="s">
        <v>2737</v>
      </c>
      <c r="C57" s="216" t="s">
        <v>2736</v>
      </c>
      <c r="D57" s="25"/>
      <c r="E57" s="216">
        <v>-1.0</v>
      </c>
      <c r="F57" s="216">
        <v>-1.0</v>
      </c>
      <c r="G57" s="216" t="s">
        <v>1124</v>
      </c>
      <c r="H57" s="25"/>
    </row>
    <row r="58">
      <c r="A58" s="216">
        <v>1.0013002E7</v>
      </c>
      <c r="B58" s="216" t="s">
        <v>2738</v>
      </c>
      <c r="C58" s="216" t="s">
        <v>2736</v>
      </c>
      <c r="D58" s="25"/>
      <c r="E58" s="216">
        <v>-1.0</v>
      </c>
      <c r="F58" s="216">
        <v>-1.0</v>
      </c>
      <c r="G58" s="216" t="s">
        <v>1124</v>
      </c>
      <c r="H58" s="25"/>
    </row>
    <row r="59">
      <c r="A59" s="216">
        <v>1.0013003E7</v>
      </c>
      <c r="B59" s="216" t="s">
        <v>2739</v>
      </c>
      <c r="C59" s="216" t="s">
        <v>2736</v>
      </c>
      <c r="D59" s="25"/>
      <c r="E59" s="216">
        <v>-1.0</v>
      </c>
      <c r="F59" s="216">
        <v>-1.0</v>
      </c>
      <c r="G59" s="216" t="s">
        <v>1124</v>
      </c>
      <c r="H59" s="25"/>
    </row>
    <row r="60">
      <c r="A60" s="216">
        <v>1.0013004E7</v>
      </c>
      <c r="B60" s="216" t="s">
        <v>2740</v>
      </c>
      <c r="C60" s="216" t="s">
        <v>2736</v>
      </c>
      <c r="D60" s="25"/>
      <c r="E60" s="216">
        <v>-1.0</v>
      </c>
      <c r="F60" s="216">
        <v>-1.0</v>
      </c>
      <c r="G60" s="216" t="s">
        <v>1124</v>
      </c>
      <c r="H60" s="25"/>
    </row>
    <row r="61">
      <c r="A61" s="216">
        <v>1.0013005E7</v>
      </c>
      <c r="B61" s="216" t="s">
        <v>2741</v>
      </c>
      <c r="C61" s="216" t="s">
        <v>2736</v>
      </c>
      <c r="D61" s="25"/>
      <c r="E61" s="216">
        <v>-1.0</v>
      </c>
      <c r="F61" s="216">
        <v>-1.0</v>
      </c>
      <c r="G61" s="216" t="s">
        <v>1124</v>
      </c>
      <c r="H61" s="25"/>
    </row>
    <row r="62">
      <c r="A62" s="216">
        <v>1.0013006E7</v>
      </c>
      <c r="B62" s="216" t="s">
        <v>2742</v>
      </c>
      <c r="C62" s="216" t="s">
        <v>2736</v>
      </c>
      <c r="D62" s="25"/>
      <c r="E62" s="216">
        <v>-1.0</v>
      </c>
      <c r="F62" s="216">
        <v>-1.0</v>
      </c>
      <c r="G62" s="216" t="s">
        <v>1124</v>
      </c>
      <c r="H62" s="25"/>
    </row>
    <row r="63">
      <c r="A63" s="216">
        <v>1.0013007E7</v>
      </c>
      <c r="B63" s="216" t="s">
        <v>2743</v>
      </c>
      <c r="C63" s="216" t="s">
        <v>2736</v>
      </c>
      <c r="D63" s="25"/>
      <c r="E63" s="216">
        <v>-1.0</v>
      </c>
      <c r="F63" s="216">
        <v>-1.0</v>
      </c>
      <c r="G63" s="216" t="s">
        <v>1124</v>
      </c>
      <c r="H63" s="25"/>
    </row>
    <row r="64">
      <c r="A64" s="216">
        <v>1.0013008E7</v>
      </c>
      <c r="B64" s="216" t="s">
        <v>2744</v>
      </c>
      <c r="C64" s="216" t="s">
        <v>2736</v>
      </c>
      <c r="D64" s="25"/>
      <c r="E64" s="216">
        <v>-1.0</v>
      </c>
      <c r="F64" s="216">
        <v>-1.0</v>
      </c>
      <c r="G64" s="216" t="s">
        <v>1124</v>
      </c>
      <c r="H64" s="25"/>
    </row>
    <row r="65">
      <c r="A65" s="216">
        <v>1.0013009E7</v>
      </c>
      <c r="B65" s="216" t="s">
        <v>2745</v>
      </c>
      <c r="C65" s="216" t="s">
        <v>2736</v>
      </c>
      <c r="D65" s="25"/>
      <c r="E65" s="216">
        <v>-1.0</v>
      </c>
      <c r="F65" s="216">
        <v>-1.0</v>
      </c>
      <c r="G65" s="216" t="s">
        <v>1124</v>
      </c>
      <c r="H65" s="25"/>
    </row>
    <row r="66">
      <c r="A66" s="216">
        <v>1.001301E7</v>
      </c>
      <c r="B66" s="216" t="s">
        <v>2746</v>
      </c>
      <c r="C66" s="216" t="s">
        <v>2736</v>
      </c>
      <c r="D66" s="25"/>
      <c r="E66" s="216">
        <v>-1.0</v>
      </c>
      <c r="F66" s="216">
        <v>-1.0</v>
      </c>
      <c r="G66" s="216" t="s">
        <v>1124</v>
      </c>
      <c r="H66" s="25"/>
    </row>
    <row r="67">
      <c r="A67" s="216">
        <v>1.0013011E7</v>
      </c>
      <c r="B67" s="216" t="s">
        <v>2747</v>
      </c>
      <c r="C67" s="216" t="s">
        <v>2736</v>
      </c>
      <c r="D67" s="25"/>
      <c r="E67" s="216">
        <v>-1.0</v>
      </c>
      <c r="F67" s="216">
        <v>-1.0</v>
      </c>
      <c r="G67" s="216" t="s">
        <v>1124</v>
      </c>
      <c r="H67" s="25"/>
    </row>
    <row r="68">
      <c r="A68" s="216">
        <v>1.0013012E7</v>
      </c>
      <c r="B68" s="216" t="s">
        <v>2748</v>
      </c>
      <c r="C68" s="216" t="s">
        <v>2736</v>
      </c>
      <c r="D68" s="25"/>
      <c r="E68" s="216">
        <v>-1.0</v>
      </c>
      <c r="F68" s="216">
        <v>-1.0</v>
      </c>
      <c r="G68" s="216" t="s">
        <v>1124</v>
      </c>
      <c r="H68" s="25"/>
    </row>
    <row r="69">
      <c r="A69" s="216">
        <v>1.0013013E7</v>
      </c>
      <c r="B69" s="216" t="s">
        <v>2749</v>
      </c>
      <c r="C69" s="216" t="s">
        <v>2736</v>
      </c>
      <c r="D69" s="25"/>
      <c r="E69" s="216">
        <v>-1.0</v>
      </c>
      <c r="F69" s="216">
        <v>-1.0</v>
      </c>
      <c r="G69" s="216" t="s">
        <v>1124</v>
      </c>
      <c r="H69" s="25"/>
    </row>
    <row r="70">
      <c r="A70" s="216">
        <v>1.0013014E7</v>
      </c>
      <c r="B70" s="216" t="s">
        <v>2750</v>
      </c>
      <c r="C70" s="216" t="s">
        <v>2736</v>
      </c>
      <c r="D70" s="25"/>
      <c r="E70" s="216">
        <v>-1.0</v>
      </c>
      <c r="F70" s="216">
        <v>-1.0</v>
      </c>
      <c r="G70" s="216" t="s">
        <v>1124</v>
      </c>
      <c r="H70" s="25"/>
    </row>
    <row r="71">
      <c r="A71" s="216">
        <v>1.0013015E7</v>
      </c>
      <c r="B71" s="216" t="s">
        <v>2751</v>
      </c>
      <c r="C71" s="216" t="s">
        <v>2736</v>
      </c>
      <c r="D71" s="25"/>
      <c r="E71" s="216">
        <v>-1.0</v>
      </c>
      <c r="F71" s="216">
        <v>-1.0</v>
      </c>
      <c r="G71" s="216" t="s">
        <v>1124</v>
      </c>
      <c r="H71" s="25"/>
    </row>
    <row r="72">
      <c r="A72" s="216">
        <v>1.0013016E7</v>
      </c>
      <c r="B72" s="216" t="s">
        <v>2752</v>
      </c>
      <c r="C72" s="216" t="s">
        <v>2736</v>
      </c>
      <c r="D72" s="25"/>
      <c r="E72" s="216">
        <v>-1.0</v>
      </c>
      <c r="F72" s="216">
        <v>-1.0</v>
      </c>
      <c r="G72" s="216" t="s">
        <v>1124</v>
      </c>
      <c r="H72" s="25"/>
    </row>
    <row r="73">
      <c r="A73" s="216">
        <v>1.0013017E7</v>
      </c>
      <c r="B73" s="216" t="s">
        <v>2753</v>
      </c>
      <c r="C73" s="216" t="s">
        <v>2736</v>
      </c>
      <c r="D73" s="25"/>
      <c r="E73" s="216">
        <v>-1.0</v>
      </c>
      <c r="F73" s="216">
        <v>-1.0</v>
      </c>
      <c r="G73" s="216" t="s">
        <v>1124</v>
      </c>
      <c r="H73" s="25"/>
    </row>
    <row r="74">
      <c r="A74" s="216">
        <v>1.0013018E7</v>
      </c>
      <c r="B74" s="216" t="s">
        <v>2754</v>
      </c>
      <c r="C74" s="216" t="s">
        <v>2736</v>
      </c>
      <c r="D74" s="25"/>
      <c r="E74" s="216">
        <v>-1.0</v>
      </c>
      <c r="F74" s="216">
        <v>-1.0</v>
      </c>
      <c r="G74" s="216" t="s">
        <v>1124</v>
      </c>
      <c r="H74" s="25"/>
    </row>
    <row r="75">
      <c r="A75" s="216">
        <v>1.0013019E7</v>
      </c>
      <c r="B75" s="216" t="s">
        <v>2755</v>
      </c>
      <c r="C75" s="216" t="s">
        <v>2736</v>
      </c>
      <c r="D75" s="25"/>
      <c r="E75" s="216">
        <v>-1.0</v>
      </c>
      <c r="F75" s="216">
        <v>-1.0</v>
      </c>
      <c r="G75" s="216" t="s">
        <v>1124</v>
      </c>
      <c r="H75" s="25"/>
    </row>
    <row r="76">
      <c r="A76" s="216">
        <v>1.001302E7</v>
      </c>
      <c r="B76" s="216" t="s">
        <v>2756</v>
      </c>
      <c r="C76" s="216" t="s">
        <v>2736</v>
      </c>
      <c r="D76" s="25"/>
      <c r="E76" s="216">
        <v>-1.0</v>
      </c>
      <c r="F76" s="216">
        <v>-1.0</v>
      </c>
      <c r="G76" s="216" t="s">
        <v>1124</v>
      </c>
      <c r="H76" s="25"/>
    </row>
    <row r="77">
      <c r="A77" s="216">
        <v>1.0013021E7</v>
      </c>
      <c r="B77" s="216" t="s">
        <v>2757</v>
      </c>
      <c r="C77" s="216" t="s">
        <v>2736</v>
      </c>
      <c r="D77" s="25"/>
      <c r="E77" s="216">
        <v>-1.0</v>
      </c>
      <c r="F77" s="216">
        <v>-1.0</v>
      </c>
      <c r="G77" s="216" t="s">
        <v>1124</v>
      </c>
      <c r="H77" s="25"/>
    </row>
    <row r="78">
      <c r="A78" s="216">
        <v>1.0013022E7</v>
      </c>
      <c r="B78" s="216" t="s">
        <v>2758</v>
      </c>
      <c r="C78" s="216" t="s">
        <v>2736</v>
      </c>
      <c r="D78" s="25"/>
      <c r="E78" s="216">
        <v>-1.0</v>
      </c>
      <c r="F78" s="216">
        <v>-1.0</v>
      </c>
      <c r="G78" s="216" t="s">
        <v>1124</v>
      </c>
      <c r="H78" s="25"/>
    </row>
    <row r="79">
      <c r="A79" s="216">
        <v>1.0013023E7</v>
      </c>
      <c r="B79" s="216" t="s">
        <v>2759</v>
      </c>
      <c r="C79" s="216" t="s">
        <v>2736</v>
      </c>
      <c r="D79" s="25"/>
      <c r="E79" s="216">
        <v>-1.0</v>
      </c>
      <c r="F79" s="216">
        <v>-1.0</v>
      </c>
      <c r="G79" s="216" t="s">
        <v>1124</v>
      </c>
      <c r="H79" s="25"/>
    </row>
    <row r="80">
      <c r="A80" s="216">
        <v>1.0013024E7</v>
      </c>
      <c r="B80" s="216" t="s">
        <v>2760</v>
      </c>
      <c r="C80" s="216" t="s">
        <v>2736</v>
      </c>
      <c r="D80" s="25"/>
      <c r="E80" s="216">
        <v>-1.0</v>
      </c>
      <c r="F80" s="216">
        <v>-1.0</v>
      </c>
      <c r="G80" s="216" t="s">
        <v>1124</v>
      </c>
      <c r="H80" s="25"/>
    </row>
    <row r="81">
      <c r="A81" s="216">
        <v>1.0013025E7</v>
      </c>
      <c r="B81" s="216" t="s">
        <v>2761</v>
      </c>
      <c r="C81" s="216" t="s">
        <v>2736</v>
      </c>
      <c r="D81" s="25"/>
      <c r="E81" s="216">
        <v>-1.0</v>
      </c>
      <c r="F81" s="216">
        <v>-1.0</v>
      </c>
      <c r="G81" s="216" t="s">
        <v>1124</v>
      </c>
      <c r="H81" s="25"/>
    </row>
    <row r="82">
      <c r="A82" s="216">
        <v>1.0013026E7</v>
      </c>
      <c r="B82" s="216" t="s">
        <v>2762</v>
      </c>
      <c r="C82" s="216" t="s">
        <v>2736</v>
      </c>
      <c r="D82" s="25"/>
      <c r="E82" s="216">
        <v>-1.0</v>
      </c>
      <c r="F82" s="216">
        <v>-1.0</v>
      </c>
      <c r="G82" s="216" t="s">
        <v>1124</v>
      </c>
      <c r="H82" s="25"/>
    </row>
    <row r="83">
      <c r="A83" s="216">
        <v>1.0013027E7</v>
      </c>
      <c r="B83" s="216" t="s">
        <v>2763</v>
      </c>
      <c r="C83" s="216" t="s">
        <v>2736</v>
      </c>
      <c r="D83" s="25"/>
      <c r="E83" s="216">
        <v>-1.0</v>
      </c>
      <c r="F83" s="216">
        <v>-1.0</v>
      </c>
      <c r="G83" s="216" t="s">
        <v>1124</v>
      </c>
      <c r="H83" s="25"/>
    </row>
    <row r="84">
      <c r="A84" s="216">
        <v>1.0013028E7</v>
      </c>
      <c r="B84" s="216" t="s">
        <v>2764</v>
      </c>
      <c r="C84" s="216" t="s">
        <v>2736</v>
      </c>
      <c r="D84" s="25"/>
      <c r="E84" s="216">
        <v>-1.0</v>
      </c>
      <c r="F84" s="216">
        <v>-1.0</v>
      </c>
      <c r="G84" s="216" t="s">
        <v>1124</v>
      </c>
      <c r="H84" s="25"/>
    </row>
    <row r="85">
      <c r="A85" s="216">
        <v>1.0013029E7</v>
      </c>
      <c r="B85" s="216" t="s">
        <v>2765</v>
      </c>
      <c r="C85" s="216" t="s">
        <v>2736</v>
      </c>
      <c r="D85" s="25"/>
      <c r="E85" s="216">
        <v>-1.0</v>
      </c>
      <c r="F85" s="216">
        <v>-1.0</v>
      </c>
      <c r="G85" s="216" t="s">
        <v>1124</v>
      </c>
      <c r="H85" s="25"/>
    </row>
    <row r="86">
      <c r="A86" s="216">
        <v>1.001303E7</v>
      </c>
      <c r="B86" s="216" t="s">
        <v>2766</v>
      </c>
      <c r="C86" s="216" t="s">
        <v>2736</v>
      </c>
      <c r="D86" s="25"/>
      <c r="E86" s="216">
        <v>-1.0</v>
      </c>
      <c r="F86" s="216">
        <v>-1.0</v>
      </c>
      <c r="G86" s="216" t="s">
        <v>1124</v>
      </c>
      <c r="H86" s="25"/>
    </row>
    <row r="87">
      <c r="A87" s="216">
        <v>1.0013031E7</v>
      </c>
      <c r="B87" s="216" t="s">
        <v>2767</v>
      </c>
      <c r="C87" s="216" t="s">
        <v>2736</v>
      </c>
      <c r="D87" s="25"/>
      <c r="E87" s="216">
        <v>-1.0</v>
      </c>
      <c r="F87" s="216">
        <v>-1.0</v>
      </c>
      <c r="G87" s="216" t="s">
        <v>1124</v>
      </c>
      <c r="H87" s="25"/>
    </row>
    <row r="88">
      <c r="A88" s="216">
        <v>1.0013032E7</v>
      </c>
      <c r="B88" s="216" t="s">
        <v>2768</v>
      </c>
      <c r="C88" s="216" t="s">
        <v>2736</v>
      </c>
      <c r="D88" s="25"/>
      <c r="E88" s="216">
        <v>-1.0</v>
      </c>
      <c r="F88" s="216">
        <v>-1.0</v>
      </c>
      <c r="G88" s="216" t="s">
        <v>1124</v>
      </c>
      <c r="H88" s="25"/>
    </row>
    <row r="89">
      <c r="A89" s="216">
        <v>1.0013033E7</v>
      </c>
      <c r="B89" s="216" t="s">
        <v>2769</v>
      </c>
      <c r="C89" s="216" t="s">
        <v>2736</v>
      </c>
      <c r="D89" s="25"/>
      <c r="E89" s="216">
        <v>-1.0</v>
      </c>
      <c r="F89" s="216">
        <v>-1.0</v>
      </c>
      <c r="G89" s="216" t="s">
        <v>1124</v>
      </c>
      <c r="H89" s="25"/>
    </row>
    <row r="90">
      <c r="A90" s="216">
        <v>1.0013034E7</v>
      </c>
      <c r="B90" s="216" t="s">
        <v>2770</v>
      </c>
      <c r="C90" s="216" t="s">
        <v>2736</v>
      </c>
      <c r="D90" s="25"/>
      <c r="E90" s="216">
        <v>-1.0</v>
      </c>
      <c r="F90" s="216">
        <v>-1.0</v>
      </c>
      <c r="G90" s="216" t="s">
        <v>1124</v>
      </c>
      <c r="H90" s="25"/>
    </row>
    <row r="91">
      <c r="A91" s="216">
        <v>1.0013035E7</v>
      </c>
      <c r="B91" s="216" t="s">
        <v>2771</v>
      </c>
      <c r="C91" s="216" t="s">
        <v>2736</v>
      </c>
      <c r="D91" s="25"/>
      <c r="E91" s="216">
        <v>-1.0</v>
      </c>
      <c r="F91" s="216">
        <v>-1.0</v>
      </c>
      <c r="G91" s="216" t="s">
        <v>1124</v>
      </c>
      <c r="H91" s="25"/>
    </row>
    <row r="92">
      <c r="A92" s="216">
        <v>1.0013036E7</v>
      </c>
      <c r="B92" s="216" t="s">
        <v>2772</v>
      </c>
      <c r="C92" s="216" t="s">
        <v>2736</v>
      </c>
      <c r="D92" s="25"/>
      <c r="E92" s="216">
        <v>-1.0</v>
      </c>
      <c r="F92" s="216">
        <v>-1.0</v>
      </c>
      <c r="G92" s="216" t="s">
        <v>1124</v>
      </c>
      <c r="H92" s="25"/>
    </row>
    <row r="93">
      <c r="A93" s="216">
        <v>1.0013037E7</v>
      </c>
      <c r="B93" s="216" t="s">
        <v>2773</v>
      </c>
      <c r="C93" s="216" t="s">
        <v>2736</v>
      </c>
      <c r="D93" s="25"/>
      <c r="E93" s="216">
        <v>-1.0</v>
      </c>
      <c r="F93" s="216">
        <v>-1.0</v>
      </c>
      <c r="G93" s="216" t="s">
        <v>1124</v>
      </c>
      <c r="H93" s="25"/>
    </row>
    <row r="94">
      <c r="A94" s="216">
        <v>1.0013038E7</v>
      </c>
      <c r="B94" s="216" t="s">
        <v>2774</v>
      </c>
      <c r="C94" s="216" t="s">
        <v>2736</v>
      </c>
      <c r="D94" s="25"/>
      <c r="E94" s="216">
        <v>-1.0</v>
      </c>
      <c r="F94" s="216">
        <v>-1.0</v>
      </c>
      <c r="G94" s="216" t="s">
        <v>1124</v>
      </c>
      <c r="H94" s="25"/>
    </row>
    <row r="95">
      <c r="A95" s="216">
        <v>1.0013039E7</v>
      </c>
      <c r="B95" s="216" t="s">
        <v>2775</v>
      </c>
      <c r="C95" s="216" t="s">
        <v>2736</v>
      </c>
      <c r="D95" s="25"/>
      <c r="E95" s="216">
        <v>-1.0</v>
      </c>
      <c r="F95" s="216">
        <v>-1.0</v>
      </c>
      <c r="G95" s="216" t="s">
        <v>1124</v>
      </c>
      <c r="H95" s="25"/>
    </row>
    <row r="96">
      <c r="A96" s="216">
        <v>1.001304E7</v>
      </c>
      <c r="B96" s="216" t="s">
        <v>2776</v>
      </c>
      <c r="C96" s="216" t="s">
        <v>2736</v>
      </c>
      <c r="D96" s="25"/>
      <c r="E96" s="216">
        <v>-1.0</v>
      </c>
      <c r="F96" s="216">
        <v>-1.0</v>
      </c>
      <c r="G96" s="216" t="s">
        <v>1124</v>
      </c>
      <c r="H96" s="25"/>
    </row>
    <row r="97">
      <c r="A97" s="216">
        <v>1.0013041E7</v>
      </c>
      <c r="B97" s="216" t="s">
        <v>2777</v>
      </c>
      <c r="C97" s="216" t="s">
        <v>2736</v>
      </c>
      <c r="D97" s="25"/>
      <c r="E97" s="216">
        <v>-1.0</v>
      </c>
      <c r="F97" s="216">
        <v>-1.0</v>
      </c>
      <c r="G97" s="216" t="s">
        <v>1124</v>
      </c>
      <c r="H97" s="25"/>
    </row>
    <row r="98">
      <c r="A98" s="216">
        <v>1.0013042E7</v>
      </c>
      <c r="B98" s="216" t="s">
        <v>2778</v>
      </c>
      <c r="C98" s="216" t="s">
        <v>2736</v>
      </c>
      <c r="D98" s="25"/>
      <c r="E98" s="216">
        <v>-1.0</v>
      </c>
      <c r="F98" s="216">
        <v>-1.0</v>
      </c>
      <c r="G98" s="216" t="s">
        <v>1124</v>
      </c>
      <c r="H98" s="25"/>
    </row>
    <row r="99">
      <c r="A99" s="216">
        <v>1.0013043E7</v>
      </c>
      <c r="B99" s="216" t="s">
        <v>2779</v>
      </c>
      <c r="C99" s="216" t="s">
        <v>2736</v>
      </c>
      <c r="D99" s="25"/>
      <c r="E99" s="216">
        <v>-1.0</v>
      </c>
      <c r="F99" s="216">
        <v>-1.0</v>
      </c>
      <c r="G99" s="216" t="s">
        <v>1124</v>
      </c>
      <c r="H99" s="25"/>
    </row>
    <row r="100">
      <c r="A100" s="216">
        <v>1.0013044E7</v>
      </c>
      <c r="B100" s="216" t="s">
        <v>2780</v>
      </c>
      <c r="C100" s="216" t="s">
        <v>2736</v>
      </c>
      <c r="D100" s="25"/>
      <c r="E100" s="216">
        <v>-1.0</v>
      </c>
      <c r="F100" s="216">
        <v>-1.0</v>
      </c>
      <c r="G100" s="216" t="s">
        <v>1124</v>
      </c>
      <c r="H100" s="25"/>
    </row>
    <row r="101">
      <c r="A101" s="216">
        <v>1.0013045E7</v>
      </c>
      <c r="B101" s="216" t="s">
        <v>2781</v>
      </c>
      <c r="C101" s="216" t="s">
        <v>2736</v>
      </c>
      <c r="D101" s="25"/>
      <c r="E101" s="216">
        <v>-1.0</v>
      </c>
      <c r="F101" s="216">
        <v>-1.0</v>
      </c>
      <c r="G101" s="216" t="s">
        <v>1124</v>
      </c>
      <c r="H101" s="25"/>
    </row>
    <row r="102">
      <c r="A102" s="216">
        <v>1.0013046E7</v>
      </c>
      <c r="B102" s="216" t="s">
        <v>2782</v>
      </c>
      <c r="C102" s="216" t="s">
        <v>2736</v>
      </c>
      <c r="D102" s="25"/>
      <c r="E102" s="216">
        <v>-1.0</v>
      </c>
      <c r="F102" s="216">
        <v>-1.0</v>
      </c>
      <c r="G102" s="216" t="s">
        <v>1124</v>
      </c>
      <c r="H102" s="25"/>
    </row>
    <row r="103">
      <c r="A103" s="216">
        <v>1.0013047E7</v>
      </c>
      <c r="B103" s="216" t="s">
        <v>2783</v>
      </c>
      <c r="C103" s="216" t="s">
        <v>2736</v>
      </c>
      <c r="D103" s="25"/>
      <c r="E103" s="216">
        <v>-1.0</v>
      </c>
      <c r="F103" s="216">
        <v>-1.0</v>
      </c>
      <c r="G103" s="216" t="s">
        <v>1124</v>
      </c>
      <c r="H103" s="25"/>
    </row>
    <row r="104">
      <c r="A104" s="216">
        <v>1.0013048E7</v>
      </c>
      <c r="B104" s="216" t="s">
        <v>2784</v>
      </c>
      <c r="C104" s="216" t="s">
        <v>2736</v>
      </c>
      <c r="D104" s="25"/>
      <c r="E104" s="216">
        <v>-1.0</v>
      </c>
      <c r="F104" s="216">
        <v>-1.0</v>
      </c>
      <c r="G104" s="216" t="s">
        <v>1124</v>
      </c>
      <c r="H104" s="25"/>
    </row>
    <row r="105">
      <c r="A105" s="216">
        <v>1.0013049E7</v>
      </c>
      <c r="B105" s="216" t="s">
        <v>2785</v>
      </c>
      <c r="C105" s="216" t="s">
        <v>2736</v>
      </c>
      <c r="D105" s="25"/>
      <c r="E105" s="216">
        <v>-1.0</v>
      </c>
      <c r="F105" s="216">
        <v>-1.0</v>
      </c>
      <c r="G105" s="216" t="s">
        <v>1124</v>
      </c>
      <c r="H105" s="25"/>
    </row>
    <row r="106">
      <c r="A106" s="216">
        <v>1.0012E7</v>
      </c>
      <c r="B106" s="216" t="s">
        <v>2786</v>
      </c>
      <c r="C106" s="216" t="s">
        <v>2736</v>
      </c>
      <c r="D106" s="25"/>
      <c r="E106" s="216">
        <v>0.2</v>
      </c>
      <c r="F106" s="216">
        <v>0.2</v>
      </c>
      <c r="G106" s="216" t="s">
        <v>1124</v>
      </c>
      <c r="H106" s="25"/>
    </row>
    <row r="107">
      <c r="A107" s="216">
        <v>1.0012001E7</v>
      </c>
      <c r="B107" s="216" t="s">
        <v>2787</v>
      </c>
      <c r="C107" s="216" t="s">
        <v>2736</v>
      </c>
      <c r="D107" s="25"/>
      <c r="E107" s="216">
        <v>0.2</v>
      </c>
      <c r="F107" s="216">
        <v>0.2</v>
      </c>
      <c r="G107" s="216" t="s">
        <v>1124</v>
      </c>
      <c r="H107" s="25"/>
    </row>
    <row r="108">
      <c r="A108" s="216">
        <v>1.0012002E7</v>
      </c>
      <c r="B108" s="216" t="s">
        <v>2788</v>
      </c>
      <c r="C108" s="216" t="s">
        <v>2736</v>
      </c>
      <c r="D108" s="25"/>
      <c r="E108" s="216">
        <v>0.2</v>
      </c>
      <c r="F108" s="216">
        <v>0.2</v>
      </c>
      <c r="G108" s="216" t="s">
        <v>1124</v>
      </c>
      <c r="H108" s="25"/>
    </row>
    <row r="109">
      <c r="A109" s="216">
        <v>1.0012003E7</v>
      </c>
      <c r="B109" s="216" t="s">
        <v>2789</v>
      </c>
      <c r="C109" s="216" t="s">
        <v>2736</v>
      </c>
      <c r="D109" s="25"/>
      <c r="E109" s="216">
        <v>0.2</v>
      </c>
      <c r="F109" s="216">
        <v>0.2</v>
      </c>
      <c r="G109" s="216" t="s">
        <v>1124</v>
      </c>
      <c r="H109" s="25"/>
    </row>
    <row r="110">
      <c r="A110" s="216">
        <v>1.0012004E7</v>
      </c>
      <c r="B110" s="216" t="s">
        <v>2790</v>
      </c>
      <c r="C110" s="216" t="s">
        <v>2736</v>
      </c>
      <c r="D110" s="25"/>
      <c r="E110" s="216">
        <v>0.2</v>
      </c>
      <c r="F110" s="216">
        <v>0.2</v>
      </c>
      <c r="G110" s="216" t="s">
        <v>1124</v>
      </c>
      <c r="H110" s="25"/>
    </row>
    <row r="111">
      <c r="A111" s="216">
        <v>1.0012005E7</v>
      </c>
      <c r="B111" s="216" t="s">
        <v>2791</v>
      </c>
      <c r="C111" s="216" t="s">
        <v>2736</v>
      </c>
      <c r="D111" s="25"/>
      <c r="E111" s="216">
        <v>0.2</v>
      </c>
      <c r="F111" s="216">
        <v>0.2</v>
      </c>
      <c r="G111" s="216" t="s">
        <v>1124</v>
      </c>
      <c r="H111" s="25"/>
    </row>
    <row r="112">
      <c r="A112" s="216">
        <v>1.0012006E7</v>
      </c>
      <c r="B112" s="216" t="s">
        <v>2792</v>
      </c>
      <c r="C112" s="216" t="s">
        <v>2736</v>
      </c>
      <c r="D112" s="25"/>
      <c r="E112" s="216">
        <v>0.2</v>
      </c>
      <c r="F112" s="216">
        <v>0.2</v>
      </c>
      <c r="G112" s="216" t="s">
        <v>1124</v>
      </c>
      <c r="H112" s="25"/>
    </row>
    <row r="113">
      <c r="A113" s="216">
        <v>1.0012007E7</v>
      </c>
      <c r="B113" s="216" t="s">
        <v>2793</v>
      </c>
      <c r="C113" s="216" t="s">
        <v>2736</v>
      </c>
      <c r="D113" s="25"/>
      <c r="E113" s="216">
        <v>0.2</v>
      </c>
      <c r="F113" s="216">
        <v>0.2</v>
      </c>
      <c r="G113" s="216" t="s">
        <v>1124</v>
      </c>
      <c r="H113" s="25"/>
    </row>
    <row r="114">
      <c r="A114" s="216">
        <v>1.0012008E7</v>
      </c>
      <c r="B114" s="216" t="s">
        <v>2794</v>
      </c>
      <c r="C114" s="216" t="s">
        <v>2736</v>
      </c>
      <c r="D114" s="25"/>
      <c r="E114" s="216">
        <v>0.2</v>
      </c>
      <c r="F114" s="216">
        <v>0.2</v>
      </c>
      <c r="G114" s="216" t="s">
        <v>1124</v>
      </c>
      <c r="H114" s="25"/>
    </row>
    <row r="115">
      <c r="A115" s="216">
        <v>1.0012009E7</v>
      </c>
      <c r="B115" s="216" t="s">
        <v>2795</v>
      </c>
      <c r="C115" s="216" t="s">
        <v>2736</v>
      </c>
      <c r="D115" s="25"/>
      <c r="E115" s="216">
        <v>0.2</v>
      </c>
      <c r="F115" s="216">
        <v>0.2</v>
      </c>
      <c r="G115" s="216" t="s">
        <v>1124</v>
      </c>
      <c r="H115" s="25"/>
    </row>
    <row r="116">
      <c r="A116" s="216">
        <v>1.001201E7</v>
      </c>
      <c r="B116" s="216" t="s">
        <v>2796</v>
      </c>
      <c r="C116" s="216" t="s">
        <v>2736</v>
      </c>
      <c r="D116" s="25"/>
      <c r="E116" s="216">
        <v>0.2</v>
      </c>
      <c r="F116" s="216">
        <v>0.2</v>
      </c>
      <c r="G116" s="216" t="s">
        <v>1124</v>
      </c>
      <c r="H116" s="25"/>
    </row>
    <row r="117">
      <c r="A117" s="216">
        <v>1.0012011E7</v>
      </c>
      <c r="B117" s="216" t="s">
        <v>2797</v>
      </c>
      <c r="C117" s="216" t="s">
        <v>2736</v>
      </c>
      <c r="D117" s="25"/>
      <c r="E117" s="216">
        <v>0.2</v>
      </c>
      <c r="F117" s="216">
        <v>0.2</v>
      </c>
      <c r="G117" s="216" t="s">
        <v>1124</v>
      </c>
      <c r="H117" s="25"/>
    </row>
    <row r="118">
      <c r="A118" s="216">
        <v>1.0012012E7</v>
      </c>
      <c r="B118" s="216" t="s">
        <v>2798</v>
      </c>
      <c r="C118" s="216" t="s">
        <v>2736</v>
      </c>
      <c r="D118" s="25"/>
      <c r="E118" s="216">
        <v>0.2</v>
      </c>
      <c r="F118" s="216">
        <v>0.2</v>
      </c>
      <c r="G118" s="216" t="s">
        <v>1124</v>
      </c>
      <c r="H118" s="25"/>
    </row>
    <row r="119">
      <c r="A119" s="216">
        <v>1.0012013E7</v>
      </c>
      <c r="B119" s="216" t="s">
        <v>2799</v>
      </c>
      <c r="C119" s="216" t="s">
        <v>2736</v>
      </c>
      <c r="D119" s="25"/>
      <c r="E119" s="216">
        <v>0.2</v>
      </c>
      <c r="F119" s="216">
        <v>0.2</v>
      </c>
      <c r="G119" s="216" t="s">
        <v>1124</v>
      </c>
      <c r="H119" s="25"/>
    </row>
    <row r="120">
      <c r="A120" s="216">
        <v>1.0012014E7</v>
      </c>
      <c r="B120" s="216" t="s">
        <v>2800</v>
      </c>
      <c r="C120" s="216" t="s">
        <v>2736</v>
      </c>
      <c r="D120" s="25"/>
      <c r="E120" s="216">
        <v>0.2</v>
      </c>
      <c r="F120" s="216">
        <v>0.2</v>
      </c>
      <c r="G120" s="216" t="s">
        <v>1124</v>
      </c>
      <c r="H120" s="25"/>
    </row>
    <row r="121">
      <c r="A121" s="216">
        <v>1.0012015E7</v>
      </c>
      <c r="B121" s="216" t="s">
        <v>2801</v>
      </c>
      <c r="C121" s="216" t="s">
        <v>2736</v>
      </c>
      <c r="D121" s="25"/>
      <c r="E121" s="216">
        <v>0.2</v>
      </c>
      <c r="F121" s="216">
        <v>0.2</v>
      </c>
      <c r="G121" s="216" t="s">
        <v>1124</v>
      </c>
      <c r="H121" s="25"/>
    </row>
    <row r="122">
      <c r="A122" s="216">
        <v>1.0012016E7</v>
      </c>
      <c r="B122" s="216" t="s">
        <v>2802</v>
      </c>
      <c r="C122" s="216" t="s">
        <v>2736</v>
      </c>
      <c r="D122" s="25"/>
      <c r="E122" s="216">
        <v>0.2</v>
      </c>
      <c r="F122" s="216">
        <v>0.2</v>
      </c>
      <c r="G122" s="216" t="s">
        <v>1124</v>
      </c>
      <c r="H122" s="25"/>
    </row>
    <row r="123">
      <c r="A123" s="216">
        <v>1.0012017E7</v>
      </c>
      <c r="B123" s="216" t="s">
        <v>2803</v>
      </c>
      <c r="C123" s="216" t="s">
        <v>2736</v>
      </c>
      <c r="D123" s="25"/>
      <c r="E123" s="216">
        <v>0.2</v>
      </c>
      <c r="F123" s="216">
        <v>0.2</v>
      </c>
      <c r="G123" s="216" t="s">
        <v>1124</v>
      </c>
      <c r="H123" s="25"/>
    </row>
    <row r="124">
      <c r="A124" s="216">
        <v>1.0012018E7</v>
      </c>
      <c r="B124" s="216" t="s">
        <v>2804</v>
      </c>
      <c r="C124" s="216" t="s">
        <v>2736</v>
      </c>
      <c r="D124" s="25"/>
      <c r="E124" s="216">
        <v>0.2</v>
      </c>
      <c r="F124" s="216">
        <v>0.2</v>
      </c>
      <c r="G124" s="216" t="s">
        <v>1124</v>
      </c>
      <c r="H124" s="25"/>
    </row>
    <row r="125">
      <c r="A125" s="216">
        <v>1.0012019E7</v>
      </c>
      <c r="B125" s="216" t="s">
        <v>2805</v>
      </c>
      <c r="C125" s="216" t="s">
        <v>2736</v>
      </c>
      <c r="D125" s="25"/>
      <c r="E125" s="216">
        <v>0.2</v>
      </c>
      <c r="F125" s="216">
        <v>0.2</v>
      </c>
      <c r="G125" s="216" t="s">
        <v>1124</v>
      </c>
      <c r="H125" s="25"/>
    </row>
    <row r="126">
      <c r="A126" s="216">
        <v>1.001202E7</v>
      </c>
      <c r="B126" s="216" t="s">
        <v>2806</v>
      </c>
      <c r="C126" s="216" t="s">
        <v>2736</v>
      </c>
      <c r="D126" s="25"/>
      <c r="E126" s="216">
        <v>0.2</v>
      </c>
      <c r="F126" s="216">
        <v>0.2</v>
      </c>
      <c r="G126" s="216" t="s">
        <v>1124</v>
      </c>
      <c r="H126" s="25"/>
    </row>
    <row r="127">
      <c r="A127" s="216">
        <v>1.0012021E7</v>
      </c>
      <c r="B127" s="216" t="s">
        <v>2807</v>
      </c>
      <c r="C127" s="216" t="s">
        <v>2736</v>
      </c>
      <c r="D127" s="25"/>
      <c r="E127" s="216">
        <v>0.2</v>
      </c>
      <c r="F127" s="216">
        <v>0.2</v>
      </c>
      <c r="G127" s="216" t="s">
        <v>1124</v>
      </c>
      <c r="H127" s="25"/>
    </row>
    <row r="128">
      <c r="A128" s="216">
        <v>1.0012022E7</v>
      </c>
      <c r="B128" s="216" t="s">
        <v>2808</v>
      </c>
      <c r="C128" s="216" t="s">
        <v>2736</v>
      </c>
      <c r="D128" s="25"/>
      <c r="E128" s="216">
        <v>0.2</v>
      </c>
      <c r="F128" s="216">
        <v>0.2</v>
      </c>
      <c r="G128" s="216" t="s">
        <v>1124</v>
      </c>
      <c r="H128" s="25"/>
    </row>
    <row r="129">
      <c r="A129" s="216">
        <v>1.0012023E7</v>
      </c>
      <c r="B129" s="216" t="s">
        <v>2809</v>
      </c>
      <c r="C129" s="216" t="s">
        <v>2736</v>
      </c>
      <c r="D129" s="25"/>
      <c r="E129" s="216">
        <v>0.2</v>
      </c>
      <c r="F129" s="216">
        <v>0.2</v>
      </c>
      <c r="G129" s="216" t="s">
        <v>1124</v>
      </c>
      <c r="H129" s="25"/>
    </row>
    <row r="130">
      <c r="A130" s="216">
        <v>1.0012024E7</v>
      </c>
      <c r="B130" s="216" t="s">
        <v>2810</v>
      </c>
      <c r="C130" s="216" t="s">
        <v>2736</v>
      </c>
      <c r="D130" s="25"/>
      <c r="E130" s="216">
        <v>0.2</v>
      </c>
      <c r="F130" s="216">
        <v>0.2</v>
      </c>
      <c r="G130" s="216" t="s">
        <v>1124</v>
      </c>
      <c r="H130" s="25"/>
    </row>
    <row r="131">
      <c r="A131" s="216">
        <v>1.0012025E7</v>
      </c>
      <c r="B131" s="216" t="s">
        <v>2811</v>
      </c>
      <c r="C131" s="216" t="s">
        <v>2736</v>
      </c>
      <c r="D131" s="25"/>
      <c r="E131" s="216">
        <v>0.2</v>
      </c>
      <c r="F131" s="216">
        <v>0.2</v>
      </c>
      <c r="G131" s="216" t="s">
        <v>1124</v>
      </c>
      <c r="H131" s="25"/>
    </row>
    <row r="132">
      <c r="A132" s="216">
        <v>1.0012026E7</v>
      </c>
      <c r="B132" s="216" t="s">
        <v>2812</v>
      </c>
      <c r="C132" s="216" t="s">
        <v>2736</v>
      </c>
      <c r="D132" s="25"/>
      <c r="E132" s="216">
        <v>0.2</v>
      </c>
      <c r="F132" s="216">
        <v>0.2</v>
      </c>
      <c r="G132" s="216" t="s">
        <v>1124</v>
      </c>
      <c r="H132" s="25"/>
    </row>
    <row r="133">
      <c r="A133" s="216">
        <v>1.0012027E7</v>
      </c>
      <c r="B133" s="216" t="s">
        <v>2813</v>
      </c>
      <c r="C133" s="216" t="s">
        <v>2736</v>
      </c>
      <c r="D133" s="25"/>
      <c r="E133" s="216">
        <v>0.2</v>
      </c>
      <c r="F133" s="216">
        <v>0.2</v>
      </c>
      <c r="G133" s="216" t="s">
        <v>1124</v>
      </c>
      <c r="H133" s="25"/>
    </row>
    <row r="134">
      <c r="A134" s="216">
        <v>1.0012028E7</v>
      </c>
      <c r="B134" s="216" t="s">
        <v>2814</v>
      </c>
      <c r="C134" s="216" t="s">
        <v>2736</v>
      </c>
      <c r="D134" s="25"/>
      <c r="E134" s="216">
        <v>0.2</v>
      </c>
      <c r="F134" s="216">
        <v>0.2</v>
      </c>
      <c r="G134" s="216" t="s">
        <v>1124</v>
      </c>
      <c r="H134" s="25"/>
    </row>
    <row r="135">
      <c r="A135" s="216">
        <v>1.0012029E7</v>
      </c>
      <c r="B135" s="216" t="s">
        <v>2815</v>
      </c>
      <c r="C135" s="216" t="s">
        <v>2736</v>
      </c>
      <c r="D135" s="25"/>
      <c r="E135" s="216">
        <v>0.2</v>
      </c>
      <c r="F135" s="216">
        <v>0.2</v>
      </c>
      <c r="G135" s="216" t="s">
        <v>1124</v>
      </c>
      <c r="H135" s="25"/>
    </row>
    <row r="136">
      <c r="A136" s="216">
        <v>1.001203E7</v>
      </c>
      <c r="B136" s="216" t="s">
        <v>2816</v>
      </c>
      <c r="C136" s="216" t="s">
        <v>2736</v>
      </c>
      <c r="D136" s="25"/>
      <c r="E136" s="216">
        <v>0.2</v>
      </c>
      <c r="F136" s="216">
        <v>0.2</v>
      </c>
      <c r="G136" s="216" t="s">
        <v>1124</v>
      </c>
      <c r="H136" s="25"/>
    </row>
    <row r="137">
      <c r="A137" s="216">
        <v>1.0012031E7</v>
      </c>
      <c r="B137" s="216" t="s">
        <v>2817</v>
      </c>
      <c r="C137" s="216" t="s">
        <v>2736</v>
      </c>
      <c r="D137" s="25"/>
      <c r="E137" s="216">
        <v>0.2</v>
      </c>
      <c r="F137" s="216">
        <v>0.2</v>
      </c>
      <c r="G137" s="216" t="s">
        <v>1124</v>
      </c>
      <c r="H137" s="25"/>
    </row>
    <row r="138">
      <c r="A138" s="216">
        <v>1.0012032E7</v>
      </c>
      <c r="B138" s="216" t="s">
        <v>2818</v>
      </c>
      <c r="C138" s="216" t="s">
        <v>2736</v>
      </c>
      <c r="D138" s="25"/>
      <c r="E138" s="216">
        <v>0.2</v>
      </c>
      <c r="F138" s="216">
        <v>0.2</v>
      </c>
      <c r="G138" s="216" t="s">
        <v>1124</v>
      </c>
      <c r="H138" s="25"/>
    </row>
    <row r="139">
      <c r="A139" s="216">
        <v>1.0012033E7</v>
      </c>
      <c r="B139" s="216" t="s">
        <v>2819</v>
      </c>
      <c r="C139" s="216" t="s">
        <v>2736</v>
      </c>
      <c r="D139" s="25"/>
      <c r="E139" s="216">
        <v>0.2</v>
      </c>
      <c r="F139" s="216">
        <v>0.2</v>
      </c>
      <c r="G139" s="216" t="s">
        <v>1124</v>
      </c>
      <c r="H139" s="25"/>
    </row>
    <row r="140">
      <c r="A140" s="216">
        <v>1.0012034E7</v>
      </c>
      <c r="B140" s="216" t="s">
        <v>2820</v>
      </c>
      <c r="C140" s="216" t="s">
        <v>2736</v>
      </c>
      <c r="D140" s="25"/>
      <c r="E140" s="216">
        <v>0.2</v>
      </c>
      <c r="F140" s="216">
        <v>0.2</v>
      </c>
      <c r="G140" s="216" t="s">
        <v>1124</v>
      </c>
      <c r="H140" s="25"/>
    </row>
    <row r="141">
      <c r="A141" s="216">
        <v>1.0012035E7</v>
      </c>
      <c r="B141" s="216" t="s">
        <v>2821</v>
      </c>
      <c r="C141" s="216" t="s">
        <v>2736</v>
      </c>
      <c r="D141" s="25"/>
      <c r="E141" s="216">
        <v>0.2</v>
      </c>
      <c r="F141" s="216">
        <v>0.2</v>
      </c>
      <c r="G141" s="216" t="s">
        <v>1124</v>
      </c>
      <c r="H141" s="25"/>
    </row>
    <row r="142">
      <c r="A142" s="216">
        <v>1.0012036E7</v>
      </c>
      <c r="B142" s="216" t="s">
        <v>2822</v>
      </c>
      <c r="C142" s="216" t="s">
        <v>2736</v>
      </c>
      <c r="D142" s="25"/>
      <c r="E142" s="216">
        <v>0.2</v>
      </c>
      <c r="F142" s="216">
        <v>0.2</v>
      </c>
      <c r="G142" s="216" t="s">
        <v>1124</v>
      </c>
      <c r="H142" s="25"/>
    </row>
    <row r="143">
      <c r="A143" s="216">
        <v>1.0012037E7</v>
      </c>
      <c r="B143" s="216" t="s">
        <v>2823</v>
      </c>
      <c r="C143" s="216" t="s">
        <v>2736</v>
      </c>
      <c r="D143" s="25"/>
      <c r="E143" s="216">
        <v>0.2</v>
      </c>
      <c r="F143" s="216">
        <v>0.2</v>
      </c>
      <c r="G143" s="216" t="s">
        <v>1124</v>
      </c>
      <c r="H143" s="25"/>
    </row>
    <row r="144">
      <c r="A144" s="216">
        <v>1.0012038E7</v>
      </c>
      <c r="B144" s="216" t="s">
        <v>2824</v>
      </c>
      <c r="C144" s="216" t="s">
        <v>2736</v>
      </c>
      <c r="D144" s="25"/>
      <c r="E144" s="216">
        <v>0.2</v>
      </c>
      <c r="F144" s="216">
        <v>0.2</v>
      </c>
      <c r="G144" s="216" t="s">
        <v>1124</v>
      </c>
      <c r="H144" s="25"/>
    </row>
    <row r="145">
      <c r="A145" s="216">
        <v>1.0012039E7</v>
      </c>
      <c r="B145" s="216" t="s">
        <v>2825</v>
      </c>
      <c r="C145" s="216" t="s">
        <v>2736</v>
      </c>
      <c r="D145" s="25"/>
      <c r="E145" s="216">
        <v>0.2</v>
      </c>
      <c r="F145" s="216">
        <v>0.2</v>
      </c>
      <c r="G145" s="216" t="s">
        <v>1124</v>
      </c>
      <c r="H145" s="25"/>
    </row>
    <row r="146">
      <c r="A146" s="216">
        <v>1.001204E7</v>
      </c>
      <c r="B146" s="216" t="s">
        <v>2826</v>
      </c>
      <c r="C146" s="216" t="s">
        <v>2736</v>
      </c>
      <c r="D146" s="25"/>
      <c r="E146" s="216">
        <v>0.2</v>
      </c>
      <c r="F146" s="216">
        <v>0.2</v>
      </c>
      <c r="G146" s="216" t="s">
        <v>1124</v>
      </c>
      <c r="H146" s="25"/>
    </row>
    <row r="147">
      <c r="A147" s="216">
        <v>1.0012041E7</v>
      </c>
      <c r="B147" s="216" t="s">
        <v>2827</v>
      </c>
      <c r="C147" s="216" t="s">
        <v>2736</v>
      </c>
      <c r="D147" s="25"/>
      <c r="E147" s="216">
        <v>0.2</v>
      </c>
      <c r="F147" s="216">
        <v>0.2</v>
      </c>
      <c r="G147" s="216" t="s">
        <v>1124</v>
      </c>
      <c r="H147" s="25"/>
    </row>
    <row r="148">
      <c r="A148" s="216">
        <v>1.0012042E7</v>
      </c>
      <c r="B148" s="216" t="s">
        <v>2828</v>
      </c>
      <c r="C148" s="216" t="s">
        <v>2736</v>
      </c>
      <c r="D148" s="25"/>
      <c r="E148" s="216">
        <v>0.2</v>
      </c>
      <c r="F148" s="216">
        <v>0.2</v>
      </c>
      <c r="G148" s="216" t="s">
        <v>1124</v>
      </c>
      <c r="H148" s="25"/>
    </row>
    <row r="149">
      <c r="A149" s="216">
        <v>1.0012043E7</v>
      </c>
      <c r="B149" s="216" t="s">
        <v>2829</v>
      </c>
      <c r="C149" s="216" t="s">
        <v>2736</v>
      </c>
      <c r="D149" s="25"/>
      <c r="E149" s="216">
        <v>0.2</v>
      </c>
      <c r="F149" s="216">
        <v>0.2</v>
      </c>
      <c r="G149" s="216" t="s">
        <v>1124</v>
      </c>
      <c r="H149" s="25"/>
    </row>
    <row r="150">
      <c r="A150" s="216">
        <v>1.0012044E7</v>
      </c>
      <c r="B150" s="216" t="s">
        <v>2830</v>
      </c>
      <c r="C150" s="216" t="s">
        <v>2736</v>
      </c>
      <c r="D150" s="25"/>
      <c r="E150" s="216">
        <v>0.2</v>
      </c>
      <c r="F150" s="216">
        <v>0.2</v>
      </c>
      <c r="G150" s="216" t="s">
        <v>1124</v>
      </c>
      <c r="H150" s="25"/>
    </row>
    <row r="151">
      <c r="A151" s="216">
        <v>1.0012045E7</v>
      </c>
      <c r="B151" s="216" t="s">
        <v>2831</v>
      </c>
      <c r="C151" s="216" t="s">
        <v>2736</v>
      </c>
      <c r="D151" s="25"/>
      <c r="E151" s="216">
        <v>0.2</v>
      </c>
      <c r="F151" s="216">
        <v>0.2</v>
      </c>
      <c r="G151" s="216" t="s">
        <v>1124</v>
      </c>
      <c r="H151" s="25"/>
    </row>
    <row r="152">
      <c r="A152" s="216">
        <v>1.0012046E7</v>
      </c>
      <c r="B152" s="216" t="s">
        <v>2832</v>
      </c>
      <c r="C152" s="216" t="s">
        <v>2736</v>
      </c>
      <c r="D152" s="25"/>
      <c r="E152" s="216">
        <v>0.2</v>
      </c>
      <c r="F152" s="216">
        <v>0.2</v>
      </c>
      <c r="G152" s="216" t="s">
        <v>1124</v>
      </c>
      <c r="H152" s="25"/>
    </row>
    <row r="153">
      <c r="A153" s="216">
        <v>1.0012047E7</v>
      </c>
      <c r="B153" s="216" t="s">
        <v>2833</v>
      </c>
      <c r="C153" s="216" t="s">
        <v>2736</v>
      </c>
      <c r="D153" s="25"/>
      <c r="E153" s="216">
        <v>0.2</v>
      </c>
      <c r="F153" s="216">
        <v>0.2</v>
      </c>
      <c r="G153" s="216" t="s">
        <v>1124</v>
      </c>
      <c r="H153" s="25"/>
    </row>
    <row r="154">
      <c r="A154" s="216">
        <v>1.0012048E7</v>
      </c>
      <c r="B154" s="216" t="s">
        <v>2834</v>
      </c>
      <c r="C154" s="216" t="s">
        <v>2736</v>
      </c>
      <c r="D154" s="25"/>
      <c r="E154" s="216">
        <v>0.2</v>
      </c>
      <c r="F154" s="216">
        <v>0.2</v>
      </c>
      <c r="G154" s="216" t="s">
        <v>1124</v>
      </c>
      <c r="H154" s="25"/>
    </row>
    <row r="155">
      <c r="A155" s="216">
        <v>1.0012049E7</v>
      </c>
      <c r="B155" s="216" t="s">
        <v>2835</v>
      </c>
      <c r="C155" s="216" t="s">
        <v>2736</v>
      </c>
      <c r="D155" s="25"/>
      <c r="E155" s="216">
        <v>0.2</v>
      </c>
      <c r="F155" s="216">
        <v>0.2</v>
      </c>
      <c r="G155" s="216" t="s">
        <v>1124</v>
      </c>
      <c r="H155" s="25"/>
    </row>
    <row r="156">
      <c r="A156" s="216">
        <v>1.0011E7</v>
      </c>
      <c r="B156" s="216" t="s">
        <v>2786</v>
      </c>
      <c r="C156" s="216" t="s">
        <v>2736</v>
      </c>
      <c r="D156" s="25"/>
      <c r="E156" s="216" t="s">
        <v>2730</v>
      </c>
      <c r="F156" s="216" t="s">
        <v>2730</v>
      </c>
      <c r="G156" s="216" t="s">
        <v>1124</v>
      </c>
      <c r="H156" s="25"/>
    </row>
    <row r="157">
      <c r="A157" s="216">
        <v>1.0011001E7</v>
      </c>
      <c r="B157" s="216" t="s">
        <v>2787</v>
      </c>
      <c r="C157" s="216" t="s">
        <v>2736</v>
      </c>
      <c r="D157" s="25"/>
      <c r="E157" s="216" t="s">
        <v>2730</v>
      </c>
      <c r="F157" s="216" t="s">
        <v>2730</v>
      </c>
      <c r="G157" s="216" t="s">
        <v>1124</v>
      </c>
      <c r="H157" s="25"/>
    </row>
    <row r="158">
      <c r="A158" s="216">
        <v>1.0011002E7</v>
      </c>
      <c r="B158" s="216" t="s">
        <v>2788</v>
      </c>
      <c r="C158" s="216" t="s">
        <v>2736</v>
      </c>
      <c r="D158" s="25"/>
      <c r="E158" s="216" t="s">
        <v>2730</v>
      </c>
      <c r="F158" s="216" t="s">
        <v>2730</v>
      </c>
      <c r="G158" s="216" t="s">
        <v>1124</v>
      </c>
      <c r="H158" s="25"/>
    </row>
    <row r="159">
      <c r="A159" s="216">
        <v>1.0011003E7</v>
      </c>
      <c r="B159" s="216" t="s">
        <v>2789</v>
      </c>
      <c r="C159" s="216" t="s">
        <v>2736</v>
      </c>
      <c r="D159" s="25"/>
      <c r="E159" s="216" t="s">
        <v>2730</v>
      </c>
      <c r="F159" s="216" t="s">
        <v>2730</v>
      </c>
      <c r="G159" s="216" t="s">
        <v>1124</v>
      </c>
      <c r="H159" s="25"/>
    </row>
    <row r="160">
      <c r="A160" s="216">
        <v>1.0011004E7</v>
      </c>
      <c r="B160" s="216" t="s">
        <v>2790</v>
      </c>
      <c r="C160" s="216" t="s">
        <v>2736</v>
      </c>
      <c r="D160" s="25"/>
      <c r="E160" s="216" t="s">
        <v>2730</v>
      </c>
      <c r="F160" s="216" t="s">
        <v>2730</v>
      </c>
      <c r="G160" s="216" t="s">
        <v>1124</v>
      </c>
      <c r="H160" s="25"/>
    </row>
    <row r="161">
      <c r="A161" s="216">
        <v>1.0011005E7</v>
      </c>
      <c r="B161" s="216" t="s">
        <v>2791</v>
      </c>
      <c r="C161" s="216" t="s">
        <v>2736</v>
      </c>
      <c r="D161" s="25"/>
      <c r="E161" s="216" t="s">
        <v>2730</v>
      </c>
      <c r="F161" s="216" t="s">
        <v>2730</v>
      </c>
      <c r="G161" s="216" t="s">
        <v>1124</v>
      </c>
      <c r="H161" s="25"/>
    </row>
    <row r="162">
      <c r="A162" s="216">
        <v>1.0011006E7</v>
      </c>
      <c r="B162" s="216" t="s">
        <v>2792</v>
      </c>
      <c r="C162" s="216" t="s">
        <v>2736</v>
      </c>
      <c r="D162" s="25"/>
      <c r="E162" s="216" t="s">
        <v>2730</v>
      </c>
      <c r="F162" s="216" t="s">
        <v>2730</v>
      </c>
      <c r="G162" s="216" t="s">
        <v>1124</v>
      </c>
      <c r="H162" s="25"/>
    </row>
    <row r="163">
      <c r="A163" s="216">
        <v>1.0011007E7</v>
      </c>
      <c r="B163" s="216" t="s">
        <v>2793</v>
      </c>
      <c r="C163" s="216" t="s">
        <v>2736</v>
      </c>
      <c r="D163" s="25"/>
      <c r="E163" s="216" t="s">
        <v>2730</v>
      </c>
      <c r="F163" s="216" t="s">
        <v>2730</v>
      </c>
      <c r="G163" s="216" t="s">
        <v>1124</v>
      </c>
      <c r="H163" s="25"/>
    </row>
    <row r="164">
      <c r="A164" s="216">
        <v>1.0011008E7</v>
      </c>
      <c r="B164" s="216" t="s">
        <v>2794</v>
      </c>
      <c r="C164" s="216" t="s">
        <v>2736</v>
      </c>
      <c r="D164" s="25"/>
      <c r="E164" s="216" t="s">
        <v>2730</v>
      </c>
      <c r="F164" s="216" t="s">
        <v>2730</v>
      </c>
      <c r="G164" s="216" t="s">
        <v>1124</v>
      </c>
      <c r="H164" s="25"/>
    </row>
    <row r="165">
      <c r="A165" s="216">
        <v>1.0011009E7</v>
      </c>
      <c r="B165" s="216" t="s">
        <v>2795</v>
      </c>
      <c r="C165" s="216" t="s">
        <v>2736</v>
      </c>
      <c r="D165" s="25"/>
      <c r="E165" s="216" t="s">
        <v>2730</v>
      </c>
      <c r="F165" s="216" t="s">
        <v>2730</v>
      </c>
      <c r="G165" s="216" t="s">
        <v>1124</v>
      </c>
      <c r="H165" s="25"/>
    </row>
    <row r="166">
      <c r="A166" s="216">
        <v>1.001101E7</v>
      </c>
      <c r="B166" s="216" t="s">
        <v>2796</v>
      </c>
      <c r="C166" s="216" t="s">
        <v>2736</v>
      </c>
      <c r="D166" s="25"/>
      <c r="E166" s="216" t="s">
        <v>2730</v>
      </c>
      <c r="F166" s="216" t="s">
        <v>2730</v>
      </c>
      <c r="G166" s="216" t="s">
        <v>1124</v>
      </c>
      <c r="H166" s="25"/>
    </row>
    <row r="167">
      <c r="A167" s="216">
        <v>1.0011011E7</v>
      </c>
      <c r="B167" s="216" t="s">
        <v>2797</v>
      </c>
      <c r="C167" s="216" t="s">
        <v>2736</v>
      </c>
      <c r="D167" s="25"/>
      <c r="E167" s="216" t="s">
        <v>2730</v>
      </c>
      <c r="F167" s="216" t="s">
        <v>2730</v>
      </c>
      <c r="G167" s="216" t="s">
        <v>1124</v>
      </c>
      <c r="H167" s="25"/>
    </row>
    <row r="168">
      <c r="A168" s="216">
        <v>1.0011012E7</v>
      </c>
      <c r="B168" s="216" t="s">
        <v>2798</v>
      </c>
      <c r="C168" s="216" t="s">
        <v>2736</v>
      </c>
      <c r="D168" s="25"/>
      <c r="E168" s="216" t="s">
        <v>2730</v>
      </c>
      <c r="F168" s="216" t="s">
        <v>2730</v>
      </c>
      <c r="G168" s="216" t="s">
        <v>1124</v>
      </c>
      <c r="H168" s="25"/>
    </row>
    <row r="169">
      <c r="A169" s="216">
        <v>1.0011013E7</v>
      </c>
      <c r="B169" s="216" t="s">
        <v>2799</v>
      </c>
      <c r="C169" s="216" t="s">
        <v>2736</v>
      </c>
      <c r="D169" s="25"/>
      <c r="E169" s="216" t="s">
        <v>2730</v>
      </c>
      <c r="F169" s="216" t="s">
        <v>2730</v>
      </c>
      <c r="G169" s="216" t="s">
        <v>1124</v>
      </c>
      <c r="H169" s="25"/>
    </row>
    <row r="170">
      <c r="A170" s="216">
        <v>1.0011014E7</v>
      </c>
      <c r="B170" s="216" t="s">
        <v>2800</v>
      </c>
      <c r="C170" s="216" t="s">
        <v>2736</v>
      </c>
      <c r="D170" s="25"/>
      <c r="E170" s="216" t="s">
        <v>2730</v>
      </c>
      <c r="F170" s="216" t="s">
        <v>2730</v>
      </c>
      <c r="G170" s="216" t="s">
        <v>1124</v>
      </c>
      <c r="H170" s="25"/>
    </row>
    <row r="171">
      <c r="A171" s="216">
        <v>1.0011015E7</v>
      </c>
      <c r="B171" s="216" t="s">
        <v>2801</v>
      </c>
      <c r="C171" s="216" t="s">
        <v>2736</v>
      </c>
      <c r="D171" s="25"/>
      <c r="E171" s="216" t="s">
        <v>2730</v>
      </c>
      <c r="F171" s="216" t="s">
        <v>2730</v>
      </c>
      <c r="G171" s="216" t="s">
        <v>1124</v>
      </c>
      <c r="H171" s="25"/>
    </row>
    <row r="172">
      <c r="A172" s="216">
        <v>1.0011016E7</v>
      </c>
      <c r="B172" s="216" t="s">
        <v>2802</v>
      </c>
      <c r="C172" s="216" t="s">
        <v>2736</v>
      </c>
      <c r="D172" s="25"/>
      <c r="E172" s="216" t="s">
        <v>2730</v>
      </c>
      <c r="F172" s="216" t="s">
        <v>2730</v>
      </c>
      <c r="G172" s="216" t="s">
        <v>1124</v>
      </c>
      <c r="H172" s="25"/>
    </row>
    <row r="173">
      <c r="A173" s="216">
        <v>1.0011017E7</v>
      </c>
      <c r="B173" s="216" t="s">
        <v>2803</v>
      </c>
      <c r="C173" s="216" t="s">
        <v>2736</v>
      </c>
      <c r="D173" s="25"/>
      <c r="E173" s="216" t="s">
        <v>2730</v>
      </c>
      <c r="F173" s="216" t="s">
        <v>2730</v>
      </c>
      <c r="G173" s="216" t="s">
        <v>1124</v>
      </c>
      <c r="H173" s="25"/>
    </row>
    <row r="174">
      <c r="A174" s="216">
        <v>1.0011018E7</v>
      </c>
      <c r="B174" s="216" t="s">
        <v>2804</v>
      </c>
      <c r="C174" s="216" t="s">
        <v>2736</v>
      </c>
      <c r="D174" s="25"/>
      <c r="E174" s="216" t="s">
        <v>2730</v>
      </c>
      <c r="F174" s="216" t="s">
        <v>2730</v>
      </c>
      <c r="G174" s="216" t="s">
        <v>1124</v>
      </c>
      <c r="H174" s="25"/>
    </row>
    <row r="175">
      <c r="A175" s="216">
        <v>1.0011019E7</v>
      </c>
      <c r="B175" s="216" t="s">
        <v>2805</v>
      </c>
      <c r="C175" s="216" t="s">
        <v>2736</v>
      </c>
      <c r="D175" s="25"/>
      <c r="E175" s="216" t="s">
        <v>2730</v>
      </c>
      <c r="F175" s="216" t="s">
        <v>2730</v>
      </c>
      <c r="G175" s="216" t="s">
        <v>1124</v>
      </c>
      <c r="H175" s="25"/>
    </row>
    <row r="176">
      <c r="A176" s="216">
        <v>1.001102E7</v>
      </c>
      <c r="B176" s="216" t="s">
        <v>2806</v>
      </c>
      <c r="C176" s="216" t="s">
        <v>2736</v>
      </c>
      <c r="D176" s="25"/>
      <c r="E176" s="216" t="s">
        <v>2730</v>
      </c>
      <c r="F176" s="216" t="s">
        <v>2730</v>
      </c>
      <c r="G176" s="216" t="s">
        <v>1124</v>
      </c>
      <c r="H176" s="25"/>
    </row>
    <row r="177">
      <c r="A177" s="216">
        <v>1.0011021E7</v>
      </c>
      <c r="B177" s="216" t="s">
        <v>2807</v>
      </c>
      <c r="C177" s="216" t="s">
        <v>2736</v>
      </c>
      <c r="D177" s="25"/>
      <c r="E177" s="216" t="s">
        <v>2730</v>
      </c>
      <c r="F177" s="216" t="s">
        <v>2730</v>
      </c>
      <c r="G177" s="216" t="s">
        <v>1124</v>
      </c>
      <c r="H177" s="25"/>
    </row>
    <row r="178">
      <c r="A178" s="216">
        <v>1.0011022E7</v>
      </c>
      <c r="B178" s="216" t="s">
        <v>2808</v>
      </c>
      <c r="C178" s="216" t="s">
        <v>2736</v>
      </c>
      <c r="D178" s="25"/>
      <c r="E178" s="216" t="s">
        <v>2730</v>
      </c>
      <c r="F178" s="216" t="s">
        <v>2730</v>
      </c>
      <c r="G178" s="216" t="s">
        <v>1124</v>
      </c>
      <c r="H178" s="25"/>
    </row>
    <row r="179">
      <c r="A179" s="216">
        <v>1.0011023E7</v>
      </c>
      <c r="B179" s="216" t="s">
        <v>2809</v>
      </c>
      <c r="C179" s="216" t="s">
        <v>2736</v>
      </c>
      <c r="D179" s="25"/>
      <c r="E179" s="216" t="s">
        <v>2730</v>
      </c>
      <c r="F179" s="216" t="s">
        <v>2730</v>
      </c>
      <c r="G179" s="216" t="s">
        <v>1124</v>
      </c>
      <c r="H179" s="25"/>
    </row>
    <row r="180">
      <c r="A180" s="216">
        <v>1.0011024E7</v>
      </c>
      <c r="B180" s="216" t="s">
        <v>2810</v>
      </c>
      <c r="C180" s="216" t="s">
        <v>2736</v>
      </c>
      <c r="D180" s="25"/>
      <c r="E180" s="216" t="s">
        <v>2730</v>
      </c>
      <c r="F180" s="216" t="s">
        <v>2730</v>
      </c>
      <c r="G180" s="216" t="s">
        <v>1124</v>
      </c>
      <c r="H180" s="25"/>
    </row>
    <row r="181">
      <c r="A181" s="216">
        <v>1.0011025E7</v>
      </c>
      <c r="B181" s="216" t="s">
        <v>2811</v>
      </c>
      <c r="C181" s="216" t="s">
        <v>2736</v>
      </c>
      <c r="D181" s="25"/>
      <c r="E181" s="216" t="s">
        <v>2730</v>
      </c>
      <c r="F181" s="216" t="s">
        <v>2730</v>
      </c>
      <c r="G181" s="216" t="s">
        <v>1124</v>
      </c>
      <c r="H181" s="25"/>
    </row>
    <row r="182">
      <c r="A182" s="216">
        <v>1.0011026E7</v>
      </c>
      <c r="B182" s="216" t="s">
        <v>2812</v>
      </c>
      <c r="C182" s="216" t="s">
        <v>2736</v>
      </c>
      <c r="D182" s="25"/>
      <c r="E182" s="216" t="s">
        <v>2730</v>
      </c>
      <c r="F182" s="216" t="s">
        <v>2730</v>
      </c>
      <c r="G182" s="216" t="s">
        <v>1124</v>
      </c>
      <c r="H182" s="25"/>
    </row>
    <row r="183">
      <c r="A183" s="216">
        <v>1.0011027E7</v>
      </c>
      <c r="B183" s="216" t="s">
        <v>2813</v>
      </c>
      <c r="C183" s="216" t="s">
        <v>2736</v>
      </c>
      <c r="D183" s="25"/>
      <c r="E183" s="216" t="s">
        <v>2730</v>
      </c>
      <c r="F183" s="216" t="s">
        <v>2730</v>
      </c>
      <c r="G183" s="216" t="s">
        <v>1124</v>
      </c>
      <c r="H183" s="25"/>
    </row>
    <row r="184">
      <c r="A184" s="216">
        <v>1.0011028E7</v>
      </c>
      <c r="B184" s="216" t="s">
        <v>2814</v>
      </c>
      <c r="C184" s="216" t="s">
        <v>2736</v>
      </c>
      <c r="D184" s="25"/>
      <c r="E184" s="216" t="s">
        <v>2730</v>
      </c>
      <c r="F184" s="216" t="s">
        <v>2730</v>
      </c>
      <c r="G184" s="216" t="s">
        <v>1124</v>
      </c>
      <c r="H184" s="25"/>
    </row>
    <row r="185">
      <c r="A185" s="216">
        <v>1.0011029E7</v>
      </c>
      <c r="B185" s="216" t="s">
        <v>2815</v>
      </c>
      <c r="C185" s="216" t="s">
        <v>2736</v>
      </c>
      <c r="D185" s="25"/>
      <c r="E185" s="216" t="s">
        <v>2730</v>
      </c>
      <c r="F185" s="216" t="s">
        <v>2730</v>
      </c>
      <c r="G185" s="216" t="s">
        <v>1124</v>
      </c>
      <c r="H185" s="25"/>
    </row>
    <row r="186">
      <c r="A186" s="216">
        <v>1.001103E7</v>
      </c>
      <c r="B186" s="216" t="s">
        <v>2816</v>
      </c>
      <c r="C186" s="216" t="s">
        <v>2736</v>
      </c>
      <c r="D186" s="25"/>
      <c r="E186" s="216" t="s">
        <v>2730</v>
      </c>
      <c r="F186" s="216" t="s">
        <v>2730</v>
      </c>
      <c r="G186" s="216" t="s">
        <v>1124</v>
      </c>
      <c r="H186" s="25"/>
    </row>
    <row r="187">
      <c r="A187" s="216">
        <v>1.0011031E7</v>
      </c>
      <c r="B187" s="216" t="s">
        <v>2817</v>
      </c>
      <c r="C187" s="216" t="s">
        <v>2736</v>
      </c>
      <c r="D187" s="25"/>
      <c r="E187" s="216" t="s">
        <v>2730</v>
      </c>
      <c r="F187" s="216" t="s">
        <v>2730</v>
      </c>
      <c r="G187" s="216" t="s">
        <v>1124</v>
      </c>
      <c r="H187" s="25"/>
    </row>
    <row r="188">
      <c r="A188" s="216">
        <v>1.0011032E7</v>
      </c>
      <c r="B188" s="216" t="s">
        <v>2818</v>
      </c>
      <c r="C188" s="216" t="s">
        <v>2736</v>
      </c>
      <c r="D188" s="25"/>
      <c r="E188" s="216" t="s">
        <v>2730</v>
      </c>
      <c r="F188" s="216" t="s">
        <v>2730</v>
      </c>
      <c r="G188" s="216" t="s">
        <v>1124</v>
      </c>
      <c r="H188" s="25"/>
    </row>
    <row r="189">
      <c r="A189" s="216">
        <v>1.0011033E7</v>
      </c>
      <c r="B189" s="216" t="s">
        <v>2819</v>
      </c>
      <c r="C189" s="216" t="s">
        <v>2736</v>
      </c>
      <c r="D189" s="25"/>
      <c r="E189" s="216" t="s">
        <v>2730</v>
      </c>
      <c r="F189" s="216" t="s">
        <v>2730</v>
      </c>
      <c r="G189" s="216" t="s">
        <v>1124</v>
      </c>
      <c r="H189" s="25"/>
    </row>
    <row r="190">
      <c r="A190" s="216">
        <v>1.0011034E7</v>
      </c>
      <c r="B190" s="216" t="s">
        <v>2820</v>
      </c>
      <c r="C190" s="216" t="s">
        <v>2736</v>
      </c>
      <c r="D190" s="25"/>
      <c r="E190" s="216" t="s">
        <v>2730</v>
      </c>
      <c r="F190" s="216" t="s">
        <v>2730</v>
      </c>
      <c r="G190" s="216" t="s">
        <v>1124</v>
      </c>
      <c r="H190" s="25"/>
    </row>
    <row r="191">
      <c r="A191" s="216">
        <v>1.0011035E7</v>
      </c>
      <c r="B191" s="216" t="s">
        <v>2821</v>
      </c>
      <c r="C191" s="216" t="s">
        <v>2736</v>
      </c>
      <c r="D191" s="25"/>
      <c r="E191" s="216" t="s">
        <v>2730</v>
      </c>
      <c r="F191" s="216" t="s">
        <v>2730</v>
      </c>
      <c r="G191" s="216" t="s">
        <v>1124</v>
      </c>
      <c r="H191" s="25"/>
    </row>
    <row r="192">
      <c r="A192" s="216">
        <v>1.0011036E7</v>
      </c>
      <c r="B192" s="216" t="s">
        <v>2822</v>
      </c>
      <c r="C192" s="216" t="s">
        <v>2736</v>
      </c>
      <c r="D192" s="25"/>
      <c r="E192" s="216" t="s">
        <v>2730</v>
      </c>
      <c r="F192" s="216" t="s">
        <v>2730</v>
      </c>
      <c r="G192" s="216" t="s">
        <v>1124</v>
      </c>
      <c r="H192" s="25"/>
    </row>
    <row r="193">
      <c r="A193" s="216">
        <v>1.0011037E7</v>
      </c>
      <c r="B193" s="216" t="s">
        <v>2823</v>
      </c>
      <c r="C193" s="216" t="s">
        <v>2736</v>
      </c>
      <c r="D193" s="25"/>
      <c r="E193" s="216" t="s">
        <v>2730</v>
      </c>
      <c r="F193" s="216" t="s">
        <v>2730</v>
      </c>
      <c r="G193" s="216" t="s">
        <v>1124</v>
      </c>
      <c r="H193" s="25"/>
    </row>
    <row r="194">
      <c r="A194" s="216">
        <v>1.0011038E7</v>
      </c>
      <c r="B194" s="216" t="s">
        <v>2824</v>
      </c>
      <c r="C194" s="216" t="s">
        <v>2736</v>
      </c>
      <c r="D194" s="25"/>
      <c r="E194" s="216" t="s">
        <v>2730</v>
      </c>
      <c r="F194" s="216" t="s">
        <v>2730</v>
      </c>
      <c r="G194" s="216" t="s">
        <v>1124</v>
      </c>
      <c r="H194" s="25"/>
    </row>
    <row r="195">
      <c r="A195" s="216">
        <v>1.0011039E7</v>
      </c>
      <c r="B195" s="216" t="s">
        <v>2825</v>
      </c>
      <c r="C195" s="216" t="s">
        <v>2736</v>
      </c>
      <c r="D195" s="25"/>
      <c r="E195" s="216" t="s">
        <v>2730</v>
      </c>
      <c r="F195" s="216" t="s">
        <v>2730</v>
      </c>
      <c r="G195" s="216" t="s">
        <v>1124</v>
      </c>
      <c r="H195" s="25"/>
    </row>
    <row r="196">
      <c r="A196" s="216">
        <v>1.001104E7</v>
      </c>
      <c r="B196" s="216" t="s">
        <v>2826</v>
      </c>
      <c r="C196" s="216" t="s">
        <v>2736</v>
      </c>
      <c r="D196" s="25"/>
      <c r="E196" s="216" t="s">
        <v>2730</v>
      </c>
      <c r="F196" s="216" t="s">
        <v>2730</v>
      </c>
      <c r="G196" s="216" t="s">
        <v>1124</v>
      </c>
      <c r="H196" s="25"/>
    </row>
    <row r="197">
      <c r="A197" s="216">
        <v>1.0011041E7</v>
      </c>
      <c r="B197" s="216" t="s">
        <v>2827</v>
      </c>
      <c r="C197" s="216" t="s">
        <v>2736</v>
      </c>
      <c r="D197" s="25"/>
      <c r="E197" s="216" t="s">
        <v>2730</v>
      </c>
      <c r="F197" s="216" t="s">
        <v>2730</v>
      </c>
      <c r="G197" s="216" t="s">
        <v>1124</v>
      </c>
      <c r="H197" s="25"/>
    </row>
    <row r="198">
      <c r="A198" s="216">
        <v>1.0011042E7</v>
      </c>
      <c r="B198" s="216" t="s">
        <v>2828</v>
      </c>
      <c r="C198" s="216" t="s">
        <v>2736</v>
      </c>
      <c r="D198" s="25"/>
      <c r="E198" s="216" t="s">
        <v>2730</v>
      </c>
      <c r="F198" s="216" t="s">
        <v>2730</v>
      </c>
      <c r="G198" s="216" t="s">
        <v>1124</v>
      </c>
      <c r="H198" s="25"/>
    </row>
    <row r="199">
      <c r="A199" s="216">
        <v>1.0011043E7</v>
      </c>
      <c r="B199" s="216" t="s">
        <v>2829</v>
      </c>
      <c r="C199" s="216" t="s">
        <v>2736</v>
      </c>
      <c r="D199" s="25"/>
      <c r="E199" s="216" t="s">
        <v>2730</v>
      </c>
      <c r="F199" s="216" t="s">
        <v>2730</v>
      </c>
      <c r="G199" s="216" t="s">
        <v>1124</v>
      </c>
      <c r="H199" s="25"/>
    </row>
    <row r="200">
      <c r="A200" s="216">
        <v>1.0011044E7</v>
      </c>
      <c r="B200" s="216" t="s">
        <v>2830</v>
      </c>
      <c r="C200" s="216" t="s">
        <v>2736</v>
      </c>
      <c r="D200" s="25"/>
      <c r="E200" s="216" t="s">
        <v>2730</v>
      </c>
      <c r="F200" s="216" t="s">
        <v>2730</v>
      </c>
      <c r="G200" s="216" t="s">
        <v>1124</v>
      </c>
      <c r="H200" s="25"/>
    </row>
    <row r="201">
      <c r="A201" s="216">
        <v>1.0011045E7</v>
      </c>
      <c r="B201" s="216" t="s">
        <v>2831</v>
      </c>
      <c r="C201" s="216" t="s">
        <v>2736</v>
      </c>
      <c r="D201" s="25"/>
      <c r="E201" s="216" t="s">
        <v>2730</v>
      </c>
      <c r="F201" s="216" t="s">
        <v>2730</v>
      </c>
      <c r="G201" s="216" t="s">
        <v>1124</v>
      </c>
      <c r="H201" s="25"/>
    </row>
    <row r="202">
      <c r="A202" s="216">
        <v>1.0011046E7</v>
      </c>
      <c r="B202" s="216" t="s">
        <v>2832</v>
      </c>
      <c r="C202" s="216" t="s">
        <v>2736</v>
      </c>
      <c r="D202" s="25"/>
      <c r="E202" s="216" t="s">
        <v>2730</v>
      </c>
      <c r="F202" s="216" t="s">
        <v>2730</v>
      </c>
      <c r="G202" s="216" t="s">
        <v>1124</v>
      </c>
      <c r="H202" s="25"/>
    </row>
    <row r="203">
      <c r="A203" s="216">
        <v>1.0011047E7</v>
      </c>
      <c r="B203" s="216" t="s">
        <v>2833</v>
      </c>
      <c r="C203" s="216" t="s">
        <v>2736</v>
      </c>
      <c r="D203" s="25"/>
      <c r="E203" s="216" t="s">
        <v>2730</v>
      </c>
      <c r="F203" s="216" t="s">
        <v>2730</v>
      </c>
      <c r="G203" s="216" t="s">
        <v>1124</v>
      </c>
      <c r="H203" s="25"/>
    </row>
    <row r="204">
      <c r="A204" s="216">
        <v>1.0011048E7</v>
      </c>
      <c r="B204" s="216" t="s">
        <v>2834</v>
      </c>
      <c r="C204" s="216" t="s">
        <v>2736</v>
      </c>
      <c r="D204" s="25"/>
      <c r="E204" s="216" t="s">
        <v>2730</v>
      </c>
      <c r="F204" s="216" t="s">
        <v>2730</v>
      </c>
      <c r="G204" s="216" t="s">
        <v>1124</v>
      </c>
      <c r="H204" s="25"/>
    </row>
    <row r="205">
      <c r="A205" s="216">
        <v>1.0011049E7</v>
      </c>
      <c r="B205" s="216" t="s">
        <v>2835</v>
      </c>
      <c r="C205" s="216" t="s">
        <v>2736</v>
      </c>
      <c r="D205" s="25"/>
      <c r="E205" s="216" t="s">
        <v>2730</v>
      </c>
      <c r="F205" s="216" t="s">
        <v>2730</v>
      </c>
      <c r="G205" s="216" t="s">
        <v>1124</v>
      </c>
      <c r="H205" s="25"/>
    </row>
    <row r="206">
      <c r="A206" s="216">
        <v>1.0020001E7</v>
      </c>
      <c r="B206" s="216" t="s">
        <v>2836</v>
      </c>
      <c r="C206" s="216" t="s">
        <v>2837</v>
      </c>
      <c r="D206" s="25"/>
      <c r="E206" s="216">
        <v>-5.0E-4</v>
      </c>
      <c r="F206" s="216">
        <v>-5.0E-4</v>
      </c>
      <c r="G206" s="216" t="s">
        <v>389</v>
      </c>
      <c r="H206" s="25"/>
    </row>
    <row r="207">
      <c r="A207" s="216">
        <v>1.0020002E7</v>
      </c>
      <c r="B207" s="216" t="s">
        <v>2838</v>
      </c>
      <c r="C207" s="216" t="s">
        <v>2837</v>
      </c>
      <c r="D207" s="25"/>
      <c r="E207" s="216">
        <v>-5.0E-4</v>
      </c>
      <c r="F207" s="216">
        <v>-5.0E-4</v>
      </c>
      <c r="G207" s="216" t="s">
        <v>389</v>
      </c>
      <c r="H207" s="25"/>
    </row>
    <row r="208">
      <c r="A208" s="216">
        <v>1.0020003E7</v>
      </c>
      <c r="B208" s="216" t="s">
        <v>2839</v>
      </c>
      <c r="C208" s="216" t="s">
        <v>2837</v>
      </c>
      <c r="D208" s="25"/>
      <c r="E208" s="216">
        <v>-5.0E-4</v>
      </c>
      <c r="F208" s="216">
        <v>-5.0E-4</v>
      </c>
      <c r="G208" s="216" t="s">
        <v>389</v>
      </c>
      <c r="H208" s="25"/>
    </row>
    <row r="209">
      <c r="A209" s="216">
        <v>1.0020004E7</v>
      </c>
      <c r="B209" s="216" t="s">
        <v>2840</v>
      </c>
      <c r="C209" s="216" t="s">
        <v>2837</v>
      </c>
      <c r="D209" s="25"/>
      <c r="E209" s="216">
        <v>-5.0E-4</v>
      </c>
      <c r="F209" s="216">
        <v>-5.0E-4</v>
      </c>
      <c r="G209" s="216" t="s">
        <v>389</v>
      </c>
      <c r="H209" s="25"/>
    </row>
    <row r="210">
      <c r="A210" s="216">
        <v>1.0020005E7</v>
      </c>
      <c r="B210" s="216" t="s">
        <v>2841</v>
      </c>
      <c r="C210" s="216" t="s">
        <v>2842</v>
      </c>
      <c r="D210" s="25"/>
      <c r="E210" s="216">
        <v>-5.0E-4</v>
      </c>
      <c r="F210" s="216">
        <v>-5.0E-4</v>
      </c>
      <c r="G210" s="216" t="s">
        <v>389</v>
      </c>
      <c r="H210" s="25"/>
    </row>
    <row r="211">
      <c r="A211" s="216">
        <v>1.0020001E7</v>
      </c>
      <c r="B211" s="216" t="s">
        <v>2836</v>
      </c>
      <c r="C211" s="216" t="s">
        <v>2843</v>
      </c>
      <c r="D211" s="25"/>
      <c r="E211" s="216">
        <v>-5.0E-4</v>
      </c>
      <c r="F211" s="216">
        <v>-5.0E-4</v>
      </c>
      <c r="G211" s="216" t="s">
        <v>389</v>
      </c>
      <c r="H211" s="25"/>
    </row>
    <row r="212">
      <c r="A212" s="216">
        <v>1.0020002E7</v>
      </c>
      <c r="B212" s="216" t="s">
        <v>2838</v>
      </c>
      <c r="C212" s="216" t="s">
        <v>2843</v>
      </c>
      <c r="D212" s="25"/>
      <c r="E212" s="216">
        <v>-5.0E-4</v>
      </c>
      <c r="F212" s="216">
        <v>-5.0E-4</v>
      </c>
      <c r="G212" s="216" t="s">
        <v>389</v>
      </c>
      <c r="H212" s="25"/>
    </row>
    <row r="213">
      <c r="A213" s="216">
        <v>1.0020003E7</v>
      </c>
      <c r="B213" s="216" t="s">
        <v>2839</v>
      </c>
      <c r="C213" s="216" t="s">
        <v>2843</v>
      </c>
      <c r="D213" s="25"/>
      <c r="E213" s="216">
        <v>-5.0E-4</v>
      </c>
      <c r="F213" s="216">
        <v>-5.0E-4</v>
      </c>
      <c r="G213" s="216" t="s">
        <v>389</v>
      </c>
      <c r="H213" s="25"/>
    </row>
    <row r="214">
      <c r="A214" s="216">
        <v>1.0020004E7</v>
      </c>
      <c r="B214" s="216" t="s">
        <v>2840</v>
      </c>
      <c r="C214" s="216" t="s">
        <v>2843</v>
      </c>
      <c r="D214" s="25"/>
      <c r="E214" s="216">
        <v>-5.0E-4</v>
      </c>
      <c r="F214" s="216">
        <v>-5.0E-4</v>
      </c>
      <c r="G214" s="216" t="s">
        <v>389</v>
      </c>
      <c r="H214" s="25"/>
    </row>
    <row r="215">
      <c r="A215" s="216">
        <v>1.0020005E7</v>
      </c>
      <c r="B215" s="216" t="s">
        <v>2841</v>
      </c>
      <c r="C215" s="216" t="s">
        <v>2843</v>
      </c>
      <c r="D215" s="25"/>
      <c r="E215" s="216">
        <v>-5.0E-4</v>
      </c>
      <c r="F215" s="216">
        <v>-5.0E-4</v>
      </c>
      <c r="G215" s="216" t="s">
        <v>389</v>
      </c>
      <c r="H215" s="25"/>
    </row>
    <row r="216">
      <c r="A216" s="216">
        <v>1.1405001E7</v>
      </c>
      <c r="B216" s="216" t="s">
        <v>2844</v>
      </c>
      <c r="C216" s="216" t="s">
        <v>2845</v>
      </c>
      <c r="D216" s="25"/>
      <c r="E216" s="216">
        <v>-5.0E-4</v>
      </c>
      <c r="F216" s="216">
        <v>-5.0E-4</v>
      </c>
      <c r="G216" s="216" t="s">
        <v>389</v>
      </c>
      <c r="H216" s="25"/>
    </row>
    <row r="217">
      <c r="A217" s="216">
        <v>1.1405002E7</v>
      </c>
      <c r="B217" s="216" t="s">
        <v>2846</v>
      </c>
      <c r="C217" s="216" t="s">
        <v>2845</v>
      </c>
      <c r="D217" s="25"/>
      <c r="E217" s="216">
        <v>-5.0E-4</v>
      </c>
      <c r="F217" s="216">
        <v>-5.0E-4</v>
      </c>
      <c r="G217" s="216" t="s">
        <v>389</v>
      </c>
      <c r="H217" s="25"/>
    </row>
    <row r="218">
      <c r="A218" s="216">
        <v>1.1405003E7</v>
      </c>
      <c r="B218" s="216" t="s">
        <v>2847</v>
      </c>
      <c r="C218" s="216" t="s">
        <v>2845</v>
      </c>
      <c r="D218" s="25"/>
      <c r="E218" s="216">
        <v>-5.0E-4</v>
      </c>
      <c r="F218" s="216">
        <v>-5.0E-4</v>
      </c>
      <c r="G218" s="216" t="s">
        <v>389</v>
      </c>
      <c r="H218" s="25"/>
    </row>
    <row r="219">
      <c r="A219" s="216">
        <v>1.1405004E7</v>
      </c>
      <c r="B219" s="216" t="s">
        <v>2848</v>
      </c>
      <c r="C219" s="216" t="s">
        <v>2845</v>
      </c>
      <c r="D219" s="25"/>
      <c r="E219" s="216">
        <v>-0.1</v>
      </c>
      <c r="F219" s="216">
        <v>-0.1</v>
      </c>
      <c r="G219" s="216" t="s">
        <v>389</v>
      </c>
      <c r="H219" s="25"/>
    </row>
    <row r="220">
      <c r="A220" s="216">
        <v>1.1405005E7</v>
      </c>
      <c r="B220" s="216" t="s">
        <v>2849</v>
      </c>
      <c r="C220" s="216" t="s">
        <v>2845</v>
      </c>
      <c r="D220" s="25"/>
      <c r="E220" s="216">
        <v>0.0</v>
      </c>
      <c r="F220" s="216">
        <v>0.0</v>
      </c>
      <c r="G220" s="216" t="s">
        <v>2850</v>
      </c>
      <c r="H220" s="25"/>
    </row>
    <row r="221">
      <c r="A221" s="216">
        <v>1.1405006E7</v>
      </c>
      <c r="B221" s="216" t="s">
        <v>2851</v>
      </c>
      <c r="C221" s="216" t="s">
        <v>2852</v>
      </c>
      <c r="D221" s="25"/>
      <c r="E221" s="216">
        <v>-5.0E-4</v>
      </c>
      <c r="F221" s="216">
        <v>-5.0E-4</v>
      </c>
      <c r="G221" s="216" t="s">
        <v>389</v>
      </c>
      <c r="H221" s="25"/>
    </row>
    <row r="222">
      <c r="A222" s="216">
        <v>1.1405007E7</v>
      </c>
      <c r="B222" s="216" t="s">
        <v>2853</v>
      </c>
      <c r="C222" s="216" t="s">
        <v>2852</v>
      </c>
      <c r="D222" s="25"/>
      <c r="E222" s="216">
        <v>-5.0E-4</v>
      </c>
      <c r="F222" s="216">
        <v>-5.0E-4</v>
      </c>
      <c r="G222" s="216" t="s">
        <v>389</v>
      </c>
      <c r="H222" s="25"/>
    </row>
    <row r="223">
      <c r="A223" s="216">
        <v>1.1405008E7</v>
      </c>
      <c r="B223" s="216" t="s">
        <v>2854</v>
      </c>
      <c r="C223" s="216" t="s">
        <v>2852</v>
      </c>
      <c r="D223" s="25"/>
      <c r="E223" s="216">
        <v>-5.0E-4</v>
      </c>
      <c r="F223" s="216">
        <v>-5.0E-4</v>
      </c>
      <c r="G223" s="216" t="s">
        <v>389</v>
      </c>
      <c r="H223" s="25"/>
    </row>
    <row r="224">
      <c r="A224" s="216">
        <v>1.1405009E7</v>
      </c>
      <c r="B224" s="216" t="s">
        <v>2855</v>
      </c>
      <c r="C224" s="216" t="s">
        <v>2852</v>
      </c>
      <c r="D224" s="25"/>
      <c r="E224" s="216">
        <v>-0.01</v>
      </c>
      <c r="F224" s="216">
        <v>-0.01</v>
      </c>
      <c r="G224" s="216" t="s">
        <v>389</v>
      </c>
      <c r="H224" s="25"/>
    </row>
    <row r="225">
      <c r="A225" s="216">
        <v>1.140501E7</v>
      </c>
      <c r="B225" s="216" t="s">
        <v>2856</v>
      </c>
      <c r="C225" s="216" t="s">
        <v>2852</v>
      </c>
      <c r="D225" s="25"/>
      <c r="E225" s="216">
        <v>0.0</v>
      </c>
      <c r="F225" s="216">
        <v>0.0</v>
      </c>
      <c r="G225" s="216" t="s">
        <v>2850</v>
      </c>
      <c r="H225" s="25"/>
    </row>
    <row r="226">
      <c r="A226" s="216">
        <v>1.1405011E7</v>
      </c>
      <c r="B226" s="216" t="s">
        <v>2857</v>
      </c>
      <c r="C226" s="216" t="s">
        <v>2858</v>
      </c>
      <c r="D226" s="25"/>
      <c r="E226" s="216">
        <v>-5.0E-4</v>
      </c>
      <c r="F226" s="216">
        <v>-5.0E-4</v>
      </c>
      <c r="G226" s="216" t="s">
        <v>389</v>
      </c>
      <c r="H226" s="25"/>
    </row>
    <row r="227">
      <c r="A227" s="216">
        <v>1.1405012E7</v>
      </c>
      <c r="B227" s="216" t="s">
        <v>2859</v>
      </c>
      <c r="C227" s="216" t="s">
        <v>2858</v>
      </c>
      <c r="D227" s="25"/>
      <c r="E227" s="216">
        <v>-5.0E-4</v>
      </c>
      <c r="F227" s="216">
        <v>-5.0E-4</v>
      </c>
      <c r="G227" s="216" t="s">
        <v>389</v>
      </c>
      <c r="H227" s="25"/>
    </row>
    <row r="228">
      <c r="A228" s="216">
        <v>1.1405013E7</v>
      </c>
      <c r="B228" s="216" t="s">
        <v>2860</v>
      </c>
      <c r="C228" s="216" t="s">
        <v>2858</v>
      </c>
      <c r="D228" s="25"/>
      <c r="E228" s="216">
        <v>-5.0E-4</v>
      </c>
      <c r="F228" s="216">
        <v>-5.0E-4</v>
      </c>
      <c r="G228" s="216" t="s">
        <v>389</v>
      </c>
      <c r="H228" s="25"/>
    </row>
    <row r="229">
      <c r="A229" s="216">
        <v>1.1405014E7</v>
      </c>
      <c r="B229" s="216" t="s">
        <v>2861</v>
      </c>
      <c r="C229" s="216" t="s">
        <v>2858</v>
      </c>
      <c r="D229" s="25"/>
      <c r="E229" s="216">
        <v>-0.001</v>
      </c>
      <c r="F229" s="216">
        <v>-0.001</v>
      </c>
      <c r="G229" s="216" t="s">
        <v>389</v>
      </c>
      <c r="H229" s="25"/>
    </row>
    <row r="230">
      <c r="A230" s="216">
        <v>1.1405015E7</v>
      </c>
      <c r="B230" s="216" t="s">
        <v>2862</v>
      </c>
      <c r="C230" s="216" t="s">
        <v>2858</v>
      </c>
      <c r="D230" s="25"/>
      <c r="E230" s="216">
        <v>0.0</v>
      </c>
      <c r="F230" s="216">
        <v>0.0</v>
      </c>
      <c r="G230" s="216" t="s">
        <v>2850</v>
      </c>
      <c r="H230" s="25"/>
    </row>
    <row r="231">
      <c r="A231" s="216">
        <v>1.0021E7</v>
      </c>
      <c r="B231" s="216" t="s">
        <v>2863</v>
      </c>
      <c r="C231" s="216" t="s">
        <v>2864</v>
      </c>
      <c r="D231" s="25"/>
      <c r="E231" s="216">
        <v>-1.0E-6</v>
      </c>
      <c r="F231" s="216">
        <v>-1.0E-6</v>
      </c>
      <c r="G231" s="216" t="s">
        <v>389</v>
      </c>
      <c r="H231" s="25"/>
    </row>
    <row r="232">
      <c r="A232" s="216">
        <v>1.0021001E7</v>
      </c>
      <c r="B232" s="216" t="s">
        <v>2865</v>
      </c>
      <c r="C232" s="216" t="s">
        <v>2864</v>
      </c>
      <c r="D232" s="25"/>
      <c r="E232" s="216">
        <v>-1.0E-6</v>
      </c>
      <c r="F232" s="216">
        <v>-1.0E-6</v>
      </c>
      <c r="G232" s="216" t="s">
        <v>389</v>
      </c>
      <c r="H232" s="25"/>
    </row>
    <row r="233">
      <c r="A233" s="216">
        <v>1.0021002E7</v>
      </c>
      <c r="B233" s="216" t="s">
        <v>2866</v>
      </c>
      <c r="C233" s="216" t="s">
        <v>2864</v>
      </c>
      <c r="D233" s="25"/>
      <c r="E233" s="216">
        <v>-1.0E-6</v>
      </c>
      <c r="F233" s="216">
        <v>-1.0E-6</v>
      </c>
      <c r="G233" s="216" t="s">
        <v>389</v>
      </c>
      <c r="H233" s="25"/>
    </row>
    <row r="234">
      <c r="A234" s="216">
        <v>1.0021003E7</v>
      </c>
      <c r="B234" s="216" t="s">
        <v>2867</v>
      </c>
      <c r="C234" s="216" t="s">
        <v>2864</v>
      </c>
      <c r="D234" s="25"/>
      <c r="E234" s="216">
        <v>-2.0E-6</v>
      </c>
      <c r="F234" s="216">
        <v>-2.0E-6</v>
      </c>
      <c r="G234" s="216" t="s">
        <v>389</v>
      </c>
      <c r="H234" s="25"/>
    </row>
    <row r="235">
      <c r="A235" s="216">
        <v>1.0021004E7</v>
      </c>
      <c r="B235" s="216" t="s">
        <v>2868</v>
      </c>
      <c r="C235" s="216" t="s">
        <v>2864</v>
      </c>
      <c r="D235" s="25"/>
      <c r="E235" s="216">
        <v>-2.0E-6</v>
      </c>
      <c r="F235" s="216">
        <v>-2.0E-6</v>
      </c>
      <c r="G235" s="216" t="s">
        <v>389</v>
      </c>
      <c r="H235" s="25"/>
    </row>
    <row r="236">
      <c r="A236" s="216">
        <v>1.0021005E7</v>
      </c>
      <c r="B236" s="216" t="s">
        <v>2869</v>
      </c>
      <c r="C236" s="216" t="s">
        <v>2864</v>
      </c>
      <c r="D236" s="25"/>
      <c r="E236" s="216">
        <v>-2.0E-6</v>
      </c>
      <c r="F236" s="216">
        <v>-2.0E-6</v>
      </c>
      <c r="G236" s="216" t="s">
        <v>389</v>
      </c>
      <c r="H236" s="25"/>
    </row>
    <row r="237">
      <c r="A237" s="216">
        <v>1.0021006E7</v>
      </c>
      <c r="B237" s="216" t="s">
        <v>2870</v>
      </c>
      <c r="C237" s="216" t="s">
        <v>2864</v>
      </c>
      <c r="D237" s="25"/>
      <c r="E237" s="216">
        <v>-2.0E-6</v>
      </c>
      <c r="F237" s="216">
        <v>-2.0E-6</v>
      </c>
      <c r="G237" s="216" t="s">
        <v>389</v>
      </c>
      <c r="H237" s="25"/>
    </row>
    <row r="238">
      <c r="A238" s="216">
        <v>1.0021007E7</v>
      </c>
      <c r="B238" s="216" t="s">
        <v>2871</v>
      </c>
      <c r="C238" s="216" t="s">
        <v>2864</v>
      </c>
      <c r="D238" s="25"/>
      <c r="E238" s="216">
        <v>-2.0E-6</v>
      </c>
      <c r="F238" s="216">
        <v>-2.0E-6</v>
      </c>
      <c r="G238" s="216" t="s">
        <v>389</v>
      </c>
      <c r="H238" s="25"/>
    </row>
    <row r="239">
      <c r="A239" s="216">
        <v>1.0021008E7</v>
      </c>
      <c r="B239" s="216" t="s">
        <v>2872</v>
      </c>
      <c r="C239" s="216" t="s">
        <v>2864</v>
      </c>
      <c r="D239" s="25"/>
      <c r="E239" s="216">
        <v>-2.0E-6</v>
      </c>
      <c r="F239" s="216">
        <v>-2.0E-6</v>
      </c>
      <c r="G239" s="216" t="s">
        <v>389</v>
      </c>
      <c r="H239" s="25"/>
    </row>
    <row r="240">
      <c r="A240" s="216">
        <v>1.0021009E7</v>
      </c>
      <c r="B240" s="216" t="s">
        <v>2873</v>
      </c>
      <c r="C240" s="216" t="s">
        <v>2864</v>
      </c>
      <c r="D240" s="25"/>
      <c r="E240" s="216">
        <v>-1.0E-6</v>
      </c>
      <c r="F240" s="216">
        <v>-1.0E-6</v>
      </c>
      <c r="G240" s="216" t="s">
        <v>389</v>
      </c>
      <c r="H240" s="25"/>
    </row>
    <row r="241">
      <c r="A241" s="216">
        <v>1.002101E7</v>
      </c>
      <c r="B241" s="216" t="s">
        <v>2874</v>
      </c>
      <c r="C241" s="216" t="s">
        <v>2864</v>
      </c>
      <c r="D241" s="25"/>
      <c r="E241" s="216">
        <v>-1.0E-6</v>
      </c>
      <c r="F241" s="216">
        <v>-1.0E-6</v>
      </c>
      <c r="G241" s="216" t="s">
        <v>389</v>
      </c>
      <c r="H241" s="25"/>
    </row>
    <row r="242">
      <c r="A242" s="216">
        <v>1.0021011E7</v>
      </c>
      <c r="B242" s="216" t="s">
        <v>2875</v>
      </c>
      <c r="C242" s="216" t="s">
        <v>2864</v>
      </c>
      <c r="D242" s="25"/>
      <c r="E242" s="216">
        <v>-1.0E-6</v>
      </c>
      <c r="F242" s="216">
        <v>-1.0E-6</v>
      </c>
      <c r="G242" s="216" t="s">
        <v>389</v>
      </c>
      <c r="H242" s="25"/>
    </row>
    <row r="243">
      <c r="A243" s="216">
        <v>1.0021012E7</v>
      </c>
      <c r="B243" s="216" t="s">
        <v>2876</v>
      </c>
      <c r="C243" s="216" t="s">
        <v>2864</v>
      </c>
      <c r="D243" s="25"/>
      <c r="E243" s="216">
        <v>-1.0E-6</v>
      </c>
      <c r="F243" s="216">
        <v>-1.0E-6</v>
      </c>
      <c r="G243" s="216" t="s">
        <v>389</v>
      </c>
      <c r="H243" s="25"/>
    </row>
    <row r="244">
      <c r="A244" s="216">
        <v>1.0021013E7</v>
      </c>
      <c r="B244" s="216" t="s">
        <v>2877</v>
      </c>
      <c r="C244" s="216" t="s">
        <v>2864</v>
      </c>
      <c r="D244" s="25"/>
      <c r="E244" s="216">
        <v>-1.0E-6</v>
      </c>
      <c r="F244" s="216">
        <v>-1.0E-6</v>
      </c>
      <c r="G244" s="216" t="s">
        <v>389</v>
      </c>
      <c r="H244" s="25"/>
    </row>
    <row r="245">
      <c r="A245" s="216">
        <v>1.0021014E7</v>
      </c>
      <c r="B245" s="216" t="s">
        <v>2878</v>
      </c>
      <c r="C245" s="216" t="s">
        <v>2864</v>
      </c>
      <c r="D245" s="25"/>
      <c r="E245" s="216">
        <v>-5.0E-5</v>
      </c>
      <c r="F245" s="216">
        <v>-5.0E-5</v>
      </c>
      <c r="G245" s="216" t="s">
        <v>389</v>
      </c>
      <c r="H245" s="25"/>
    </row>
    <row r="246">
      <c r="A246" s="216">
        <v>1.0021015E7</v>
      </c>
      <c r="B246" s="216" t="s">
        <v>2879</v>
      </c>
      <c r="C246" s="216" t="s">
        <v>2864</v>
      </c>
      <c r="D246" s="25"/>
      <c r="E246" s="216">
        <v>-1.0E-6</v>
      </c>
      <c r="F246" s="216">
        <v>-1.0E-6</v>
      </c>
      <c r="G246" s="216" t="s">
        <v>389</v>
      </c>
      <c r="H246" s="25"/>
    </row>
    <row r="247">
      <c r="A247" s="216">
        <v>1.0021016E7</v>
      </c>
      <c r="B247" s="216" t="s">
        <v>2880</v>
      </c>
      <c r="C247" s="216" t="s">
        <v>2864</v>
      </c>
      <c r="D247" s="25"/>
      <c r="E247" s="216">
        <v>-1.0E-6</v>
      </c>
      <c r="F247" s="216">
        <v>-1.0E-6</v>
      </c>
      <c r="G247" s="216" t="s">
        <v>389</v>
      </c>
      <c r="H247" s="25"/>
    </row>
    <row r="248">
      <c r="A248" s="216">
        <v>1.0021017E7</v>
      </c>
      <c r="B248" s="216" t="s">
        <v>2881</v>
      </c>
      <c r="C248" s="216" t="s">
        <v>2864</v>
      </c>
      <c r="D248" s="25"/>
      <c r="E248" s="216">
        <v>-1.0E-6</v>
      </c>
      <c r="F248" s="216">
        <v>-1.0E-6</v>
      </c>
      <c r="G248" s="216" t="s">
        <v>389</v>
      </c>
      <c r="H248" s="25"/>
    </row>
    <row r="249">
      <c r="A249" s="216">
        <v>1.0021018E7</v>
      </c>
      <c r="B249" s="216" t="s">
        <v>2882</v>
      </c>
      <c r="C249" s="216" t="s">
        <v>2864</v>
      </c>
      <c r="D249" s="25"/>
      <c r="E249" s="216">
        <v>-1.0E-6</v>
      </c>
      <c r="F249" s="216">
        <v>-1.0E-6</v>
      </c>
      <c r="G249" s="216" t="s">
        <v>389</v>
      </c>
      <c r="H249" s="25"/>
    </row>
    <row r="250">
      <c r="A250" s="216">
        <v>1.0021019E7</v>
      </c>
      <c r="B250" s="216" t="s">
        <v>2883</v>
      </c>
      <c r="C250" s="216" t="s">
        <v>2864</v>
      </c>
      <c r="D250" s="25"/>
      <c r="E250" s="216">
        <v>-1.0E-6</v>
      </c>
      <c r="F250" s="216">
        <v>-1.0E-6</v>
      </c>
      <c r="G250" s="216" t="s">
        <v>389</v>
      </c>
      <c r="H250" s="25"/>
    </row>
    <row r="251">
      <c r="A251" s="216">
        <v>1.002102E7</v>
      </c>
      <c r="B251" s="216" t="s">
        <v>2884</v>
      </c>
      <c r="C251" s="216" t="s">
        <v>2864</v>
      </c>
      <c r="D251" s="25"/>
      <c r="E251" s="216">
        <v>-1.0E-6</v>
      </c>
      <c r="F251" s="216">
        <v>-1.0E-6</v>
      </c>
      <c r="G251" s="216" t="s">
        <v>389</v>
      </c>
      <c r="H251" s="25"/>
    </row>
    <row r="252">
      <c r="A252" s="216">
        <v>1.0021021E7</v>
      </c>
      <c r="B252" s="216" t="s">
        <v>2885</v>
      </c>
      <c r="C252" s="216" t="s">
        <v>2864</v>
      </c>
      <c r="D252" s="25"/>
      <c r="E252" s="216">
        <v>-1.0E-6</v>
      </c>
      <c r="F252" s="216">
        <v>-1.0E-6</v>
      </c>
      <c r="G252" s="216" t="s">
        <v>389</v>
      </c>
      <c r="H252" s="25"/>
    </row>
    <row r="253">
      <c r="A253" s="216">
        <v>1.0021022E7</v>
      </c>
      <c r="B253" s="216" t="s">
        <v>2886</v>
      </c>
      <c r="C253" s="216" t="s">
        <v>2864</v>
      </c>
      <c r="D253" s="25"/>
      <c r="E253" s="216">
        <v>-1.0E-6</v>
      </c>
      <c r="F253" s="216">
        <v>-1.0E-6</v>
      </c>
      <c r="G253" s="216" t="s">
        <v>389</v>
      </c>
      <c r="H253" s="25"/>
    </row>
    <row r="254">
      <c r="A254" s="216">
        <v>1.0021023E7</v>
      </c>
      <c r="B254" s="216" t="s">
        <v>2887</v>
      </c>
      <c r="C254" s="216" t="s">
        <v>2864</v>
      </c>
      <c r="D254" s="25"/>
      <c r="E254" s="216">
        <v>-1.0E-6</v>
      </c>
      <c r="F254" s="216">
        <v>-1.0E-6</v>
      </c>
      <c r="G254" s="216" t="s">
        <v>389</v>
      </c>
      <c r="H254" s="25"/>
    </row>
    <row r="255">
      <c r="A255" s="216">
        <v>1.0021024E7</v>
      </c>
      <c r="B255" s="216" t="s">
        <v>2888</v>
      </c>
      <c r="C255" s="216" t="s">
        <v>2864</v>
      </c>
      <c r="D255" s="25"/>
      <c r="E255" s="216">
        <v>-1.0E-6</v>
      </c>
      <c r="F255" s="216">
        <v>-1.0E-6</v>
      </c>
      <c r="G255" s="216" t="s">
        <v>389</v>
      </c>
      <c r="H255" s="25"/>
    </row>
    <row r="256">
      <c r="A256" s="216">
        <v>1.0021025E7</v>
      </c>
      <c r="B256" s="216" t="s">
        <v>2889</v>
      </c>
      <c r="C256" s="216" t="s">
        <v>2864</v>
      </c>
      <c r="D256" s="25"/>
      <c r="E256" s="216">
        <v>-1.0E-6</v>
      </c>
      <c r="F256" s="216">
        <v>-1.0E-6</v>
      </c>
      <c r="G256" s="216" t="s">
        <v>389</v>
      </c>
      <c r="H256" s="25"/>
    </row>
    <row r="257">
      <c r="A257" s="216">
        <v>1.0021026E7</v>
      </c>
      <c r="B257" s="216" t="s">
        <v>2890</v>
      </c>
      <c r="C257" s="216" t="s">
        <v>2864</v>
      </c>
      <c r="D257" s="25"/>
      <c r="E257" s="216">
        <v>-1.0E-6</v>
      </c>
      <c r="F257" s="216">
        <v>-1.0E-6</v>
      </c>
      <c r="G257" s="216" t="s">
        <v>389</v>
      </c>
      <c r="H257" s="25"/>
    </row>
    <row r="258">
      <c r="A258" s="216">
        <v>1.0021027E7</v>
      </c>
      <c r="B258" s="216" t="s">
        <v>2891</v>
      </c>
      <c r="C258" s="216" t="s">
        <v>2864</v>
      </c>
      <c r="D258" s="25"/>
      <c r="E258" s="216">
        <v>-1.0E-6</v>
      </c>
      <c r="F258" s="216">
        <v>-1.0E-6</v>
      </c>
      <c r="G258" s="216" t="s">
        <v>389</v>
      </c>
      <c r="H258" s="25"/>
    </row>
    <row r="259">
      <c r="A259" s="216">
        <v>1.0021028E7</v>
      </c>
      <c r="B259" s="216" t="s">
        <v>2892</v>
      </c>
      <c r="C259" s="216" t="s">
        <v>2864</v>
      </c>
      <c r="D259" s="25"/>
      <c r="E259" s="216">
        <v>-1.0E-6</v>
      </c>
      <c r="F259" s="216">
        <v>-1.0E-6</v>
      </c>
      <c r="G259" s="216" t="s">
        <v>389</v>
      </c>
      <c r="H259" s="25"/>
    </row>
    <row r="260">
      <c r="A260" s="216">
        <v>1.0021029E7</v>
      </c>
      <c r="B260" s="216" t="s">
        <v>2893</v>
      </c>
      <c r="C260" s="216" t="s">
        <v>2864</v>
      </c>
      <c r="D260" s="25"/>
      <c r="E260" s="216">
        <v>-1.0E-6</v>
      </c>
      <c r="F260" s="216">
        <v>-1.0E-6</v>
      </c>
      <c r="G260" s="216" t="s">
        <v>389</v>
      </c>
      <c r="H260" s="25"/>
    </row>
    <row r="261">
      <c r="A261" s="216">
        <v>1.002103E7</v>
      </c>
      <c r="B261" s="216" t="s">
        <v>2894</v>
      </c>
      <c r="C261" s="216" t="s">
        <v>2864</v>
      </c>
      <c r="D261" s="25"/>
      <c r="E261" s="216">
        <v>-1.0E-6</v>
      </c>
      <c r="F261" s="216">
        <v>-1.0E-6</v>
      </c>
      <c r="G261" s="216" t="s">
        <v>389</v>
      </c>
      <c r="H261" s="25"/>
    </row>
    <row r="262">
      <c r="A262" s="216">
        <v>1.0021031E7</v>
      </c>
      <c r="B262" s="216" t="s">
        <v>2895</v>
      </c>
      <c r="C262" s="216" t="s">
        <v>2864</v>
      </c>
      <c r="D262" s="25"/>
      <c r="E262" s="216">
        <v>-1.0E-6</v>
      </c>
      <c r="F262" s="216">
        <v>-1.0E-6</v>
      </c>
      <c r="G262" s="216" t="s">
        <v>389</v>
      </c>
      <c r="H262" s="25"/>
    </row>
    <row r="263">
      <c r="A263" s="216">
        <v>1.0021032E7</v>
      </c>
      <c r="B263" s="216" t="s">
        <v>2896</v>
      </c>
      <c r="C263" s="216" t="s">
        <v>2864</v>
      </c>
      <c r="D263" s="25"/>
      <c r="E263" s="216">
        <v>-1.0E-6</v>
      </c>
      <c r="F263" s="216">
        <v>-1.0E-6</v>
      </c>
      <c r="G263" s="216" t="s">
        <v>389</v>
      </c>
      <c r="H263" s="25"/>
    </row>
    <row r="264">
      <c r="A264" s="216">
        <v>1.0021033E7</v>
      </c>
      <c r="B264" s="216" t="s">
        <v>2897</v>
      </c>
      <c r="C264" s="216" t="s">
        <v>2864</v>
      </c>
      <c r="D264" s="25"/>
      <c r="E264" s="216">
        <v>-1.0E-6</v>
      </c>
      <c r="F264" s="216">
        <v>-1.0E-6</v>
      </c>
      <c r="G264" s="216" t="s">
        <v>389</v>
      </c>
      <c r="H264" s="25"/>
    </row>
    <row r="265">
      <c r="A265" s="216">
        <v>1.0021034E7</v>
      </c>
      <c r="B265" s="216" t="s">
        <v>2898</v>
      </c>
      <c r="C265" s="216" t="s">
        <v>2864</v>
      </c>
      <c r="D265" s="25"/>
      <c r="E265" s="216">
        <v>-1.0E-6</v>
      </c>
      <c r="F265" s="216">
        <v>-1.0E-6</v>
      </c>
      <c r="G265" s="216" t="s">
        <v>389</v>
      </c>
      <c r="H265" s="25"/>
    </row>
    <row r="266">
      <c r="A266" s="216">
        <v>1.0021035E7</v>
      </c>
      <c r="B266" s="216" t="s">
        <v>2899</v>
      </c>
      <c r="C266" s="216" t="s">
        <v>2864</v>
      </c>
      <c r="D266" s="25"/>
      <c r="E266" s="216">
        <v>-1.0E-6</v>
      </c>
      <c r="F266" s="216">
        <v>-1.0E-6</v>
      </c>
      <c r="G266" s="216" t="s">
        <v>389</v>
      </c>
      <c r="H266" s="25"/>
    </row>
    <row r="267">
      <c r="A267" s="216">
        <v>1.0021036E7</v>
      </c>
      <c r="B267" s="216" t="s">
        <v>2900</v>
      </c>
      <c r="C267" s="216" t="s">
        <v>2864</v>
      </c>
      <c r="D267" s="25"/>
      <c r="E267" s="216">
        <v>-1.0E-6</v>
      </c>
      <c r="F267" s="216">
        <v>-1.0E-6</v>
      </c>
      <c r="G267" s="216" t="s">
        <v>389</v>
      </c>
      <c r="H267" s="25"/>
    </row>
    <row r="268">
      <c r="A268" s="216">
        <v>1.0021037E7</v>
      </c>
      <c r="B268" s="216" t="s">
        <v>2901</v>
      </c>
      <c r="C268" s="216" t="s">
        <v>2864</v>
      </c>
      <c r="D268" s="25"/>
      <c r="E268" s="216">
        <v>-1.0E-6</v>
      </c>
      <c r="F268" s="216">
        <v>-1.0E-6</v>
      </c>
      <c r="G268" s="216" t="s">
        <v>389</v>
      </c>
      <c r="H268" s="25"/>
    </row>
    <row r="269">
      <c r="A269" s="216">
        <v>1.0021038E7</v>
      </c>
      <c r="B269" s="216" t="s">
        <v>2902</v>
      </c>
      <c r="C269" s="216" t="s">
        <v>2864</v>
      </c>
      <c r="D269" s="25"/>
      <c r="E269" s="216">
        <v>-1.0E-6</v>
      </c>
      <c r="F269" s="216">
        <v>-1.0E-6</v>
      </c>
      <c r="G269" s="216" t="s">
        <v>389</v>
      </c>
      <c r="H269" s="25"/>
    </row>
    <row r="270">
      <c r="A270" s="216">
        <v>1.0021039E7</v>
      </c>
      <c r="B270" s="216" t="s">
        <v>2903</v>
      </c>
      <c r="C270" s="216" t="s">
        <v>2864</v>
      </c>
      <c r="D270" s="25"/>
      <c r="E270" s="216">
        <v>-1.0E-6</v>
      </c>
      <c r="F270" s="216">
        <v>-1.0E-6</v>
      </c>
      <c r="G270" s="216" t="s">
        <v>389</v>
      </c>
      <c r="H270" s="25"/>
    </row>
    <row r="271">
      <c r="A271" s="216">
        <v>1.002104E7</v>
      </c>
      <c r="B271" s="216" t="s">
        <v>2904</v>
      </c>
      <c r="C271" s="216" t="s">
        <v>2864</v>
      </c>
      <c r="D271" s="25"/>
      <c r="E271" s="216">
        <v>-1.0E-6</v>
      </c>
      <c r="F271" s="216">
        <v>-1.0E-6</v>
      </c>
      <c r="G271" s="216" t="s">
        <v>389</v>
      </c>
      <c r="H271" s="25"/>
    </row>
    <row r="272">
      <c r="A272" s="216">
        <v>1.0021041E7</v>
      </c>
      <c r="B272" s="216" t="s">
        <v>2905</v>
      </c>
      <c r="C272" s="216" t="s">
        <v>2864</v>
      </c>
      <c r="D272" s="25"/>
      <c r="E272" s="216">
        <v>-1.0E-6</v>
      </c>
      <c r="F272" s="216">
        <v>-1.0E-6</v>
      </c>
      <c r="G272" s="216" t="s">
        <v>389</v>
      </c>
      <c r="H272" s="25"/>
    </row>
    <row r="273">
      <c r="A273" s="216">
        <v>1.0021042E7</v>
      </c>
      <c r="B273" s="216" t="s">
        <v>2906</v>
      </c>
      <c r="C273" s="216" t="s">
        <v>2864</v>
      </c>
      <c r="D273" s="25"/>
      <c r="E273" s="216">
        <v>-1.0E-6</v>
      </c>
      <c r="F273" s="216">
        <v>-1.0E-6</v>
      </c>
      <c r="G273" s="216" t="s">
        <v>389</v>
      </c>
      <c r="H273" s="25"/>
    </row>
    <row r="274">
      <c r="A274" s="216">
        <v>1.0021043E7</v>
      </c>
      <c r="B274" s="216" t="s">
        <v>2907</v>
      </c>
      <c r="C274" s="216" t="s">
        <v>2864</v>
      </c>
      <c r="D274" s="25"/>
      <c r="E274" s="216">
        <v>-1.0E-6</v>
      </c>
      <c r="F274" s="216">
        <v>-1.0E-6</v>
      </c>
      <c r="G274" s="216" t="s">
        <v>389</v>
      </c>
      <c r="H274" s="25"/>
    </row>
    <row r="275">
      <c r="A275" s="216">
        <v>1.0021044E7</v>
      </c>
      <c r="B275" s="216" t="s">
        <v>2908</v>
      </c>
      <c r="C275" s="216" t="s">
        <v>2864</v>
      </c>
      <c r="D275" s="25"/>
      <c r="E275" s="216">
        <v>-1.0E-6</v>
      </c>
      <c r="F275" s="216">
        <v>-1.0E-6</v>
      </c>
      <c r="G275" s="216" t="s">
        <v>389</v>
      </c>
      <c r="H275" s="25"/>
    </row>
    <row r="276">
      <c r="A276" s="216">
        <v>1.0021045E7</v>
      </c>
      <c r="B276" s="216" t="s">
        <v>2909</v>
      </c>
      <c r="C276" s="216" t="s">
        <v>2864</v>
      </c>
      <c r="D276" s="25"/>
      <c r="E276" s="216">
        <v>-1.0E-6</v>
      </c>
      <c r="F276" s="216">
        <v>-1.0E-6</v>
      </c>
      <c r="G276" s="216" t="s">
        <v>389</v>
      </c>
      <c r="H276" s="25"/>
    </row>
    <row r="277">
      <c r="A277" s="216">
        <v>1.0021046E7</v>
      </c>
      <c r="B277" s="216" t="s">
        <v>2910</v>
      </c>
      <c r="C277" s="216" t="s">
        <v>2864</v>
      </c>
      <c r="D277" s="25"/>
      <c r="E277" s="216">
        <v>-1.0E-6</v>
      </c>
      <c r="F277" s="216">
        <v>-1.0E-6</v>
      </c>
      <c r="G277" s="216" t="s">
        <v>389</v>
      </c>
      <c r="H277" s="25"/>
    </row>
    <row r="278">
      <c r="A278" s="216">
        <v>1.00215E7</v>
      </c>
      <c r="B278" s="216" t="s">
        <v>2911</v>
      </c>
      <c r="C278" s="216" t="s">
        <v>2864</v>
      </c>
      <c r="D278" s="25"/>
      <c r="E278" s="216">
        <v>-1.0E-6</v>
      </c>
      <c r="F278" s="216">
        <v>-1.0E-6</v>
      </c>
      <c r="G278" s="216" t="s">
        <v>389</v>
      </c>
      <c r="H278" s="25"/>
    </row>
    <row r="279">
      <c r="A279" s="216">
        <v>1.0021501E7</v>
      </c>
      <c r="B279" s="216" t="s">
        <v>2912</v>
      </c>
      <c r="C279" s="216" t="s">
        <v>2864</v>
      </c>
      <c r="D279" s="25"/>
      <c r="E279" s="216">
        <v>-1.0E-6</v>
      </c>
      <c r="F279" s="216">
        <v>-1.0E-6</v>
      </c>
      <c r="G279" s="216" t="s">
        <v>389</v>
      </c>
      <c r="H279" s="25"/>
    </row>
    <row r="280">
      <c r="A280" s="216">
        <v>1.0021502E7</v>
      </c>
      <c r="B280" s="216" t="s">
        <v>2913</v>
      </c>
      <c r="C280" s="216" t="s">
        <v>2864</v>
      </c>
      <c r="D280" s="25"/>
      <c r="E280" s="216">
        <v>-1.0E-6</v>
      </c>
      <c r="F280" s="216">
        <v>-1.0E-6</v>
      </c>
      <c r="G280" s="216" t="s">
        <v>389</v>
      </c>
      <c r="H280" s="25"/>
    </row>
    <row r="281">
      <c r="A281" s="216">
        <v>1.0021503E7</v>
      </c>
      <c r="B281" s="216" t="s">
        <v>2914</v>
      </c>
      <c r="C281" s="216" t="s">
        <v>2864</v>
      </c>
      <c r="D281" s="25"/>
      <c r="E281" s="216">
        <v>1.0E-5</v>
      </c>
      <c r="F281" s="216">
        <v>1.0E-5</v>
      </c>
      <c r="G281" s="216" t="s">
        <v>389</v>
      </c>
      <c r="H281" s="25"/>
    </row>
    <row r="282">
      <c r="A282" s="216">
        <v>1.0021504E7</v>
      </c>
      <c r="B282" s="216" t="s">
        <v>2915</v>
      </c>
      <c r="C282" s="216" t="s">
        <v>2864</v>
      </c>
      <c r="D282" s="25"/>
      <c r="E282" s="216">
        <v>-1.0E-6</v>
      </c>
      <c r="F282" s="216">
        <v>-1.0E-6</v>
      </c>
      <c r="G282" s="216" t="s">
        <v>389</v>
      </c>
      <c r="H282" s="25"/>
    </row>
    <row r="283">
      <c r="A283" s="216">
        <v>1.0021505E7</v>
      </c>
      <c r="B283" s="216" t="s">
        <v>2916</v>
      </c>
      <c r="C283" s="216" t="s">
        <v>2864</v>
      </c>
      <c r="D283" s="25"/>
      <c r="E283" s="216">
        <v>-1.0E-6</v>
      </c>
      <c r="F283" s="216">
        <v>-1.0E-6</v>
      </c>
      <c r="G283" s="216" t="s">
        <v>389</v>
      </c>
      <c r="H283" s="25"/>
    </row>
    <row r="284">
      <c r="A284" s="216">
        <v>1.0021506E7</v>
      </c>
      <c r="B284" s="216" t="s">
        <v>2917</v>
      </c>
      <c r="C284" s="216" t="s">
        <v>2864</v>
      </c>
      <c r="D284" s="25"/>
      <c r="E284" s="216">
        <v>-1.0E-6</v>
      </c>
      <c r="F284" s="216">
        <v>-1.0E-6</v>
      </c>
      <c r="G284" s="216" t="s">
        <v>389</v>
      </c>
      <c r="H284" s="25"/>
    </row>
    <row r="285">
      <c r="A285" s="216">
        <v>1.0021507E7</v>
      </c>
      <c r="B285" s="216" t="s">
        <v>2918</v>
      </c>
      <c r="C285" s="216" t="s">
        <v>2864</v>
      </c>
      <c r="D285" s="25"/>
      <c r="E285" s="216">
        <v>-1.0E-6</v>
      </c>
      <c r="F285" s="216">
        <v>-1.0E-6</v>
      </c>
      <c r="G285" s="216" t="s">
        <v>389</v>
      </c>
      <c r="H285" s="25"/>
    </row>
    <row r="286">
      <c r="A286" s="216">
        <v>1.0021508E7</v>
      </c>
      <c r="B286" s="216" t="s">
        <v>2919</v>
      </c>
      <c r="C286" s="216" t="s">
        <v>2864</v>
      </c>
      <c r="D286" s="25"/>
      <c r="E286" s="216">
        <v>-1.0E-6</v>
      </c>
      <c r="F286" s="216">
        <v>-1.0E-6</v>
      </c>
      <c r="G286" s="216" t="s">
        <v>389</v>
      </c>
      <c r="H286" s="25"/>
    </row>
    <row r="287">
      <c r="A287" s="216">
        <v>1.0021509E7</v>
      </c>
      <c r="B287" s="216" t="s">
        <v>2920</v>
      </c>
      <c r="C287" s="216" t="s">
        <v>2864</v>
      </c>
      <c r="D287" s="25"/>
      <c r="E287" s="216">
        <v>-1.0E-6</v>
      </c>
      <c r="F287" s="216">
        <v>-1.0E-6</v>
      </c>
      <c r="G287" s="216" t="s">
        <v>389</v>
      </c>
      <c r="H287" s="25"/>
    </row>
    <row r="288">
      <c r="A288" s="216">
        <v>1.002151E7</v>
      </c>
      <c r="B288" s="216" t="s">
        <v>2921</v>
      </c>
      <c r="C288" s="216" t="s">
        <v>2864</v>
      </c>
      <c r="D288" s="25"/>
      <c r="E288" s="216">
        <v>-1.0E-6</v>
      </c>
      <c r="F288" s="216">
        <v>-1.0E-6</v>
      </c>
      <c r="G288" s="216" t="s">
        <v>389</v>
      </c>
      <c r="H288" s="25"/>
    </row>
    <row r="289">
      <c r="A289" s="216">
        <v>1.0021511E7</v>
      </c>
      <c r="B289" s="216" t="s">
        <v>2922</v>
      </c>
      <c r="C289" s="216" t="s">
        <v>2864</v>
      </c>
      <c r="D289" s="25"/>
      <c r="E289" s="216">
        <v>-1.0E-6</v>
      </c>
      <c r="F289" s="216">
        <v>-1.0E-6</v>
      </c>
      <c r="G289" s="216" t="s">
        <v>389</v>
      </c>
      <c r="H289" s="25"/>
    </row>
    <row r="290">
      <c r="A290" s="216">
        <v>1.0021512E7</v>
      </c>
      <c r="B290" s="216" t="s">
        <v>2923</v>
      </c>
      <c r="C290" s="216" t="s">
        <v>2864</v>
      </c>
      <c r="D290" s="25"/>
      <c r="E290" s="216">
        <v>-1.0E-6</v>
      </c>
      <c r="F290" s="216">
        <v>-1.0E-6</v>
      </c>
      <c r="G290" s="216" t="s">
        <v>389</v>
      </c>
      <c r="H290" s="25"/>
    </row>
    <row r="291">
      <c r="A291" s="216">
        <v>1.0021513E7</v>
      </c>
      <c r="B291" s="216" t="s">
        <v>2924</v>
      </c>
      <c r="C291" s="216" t="s">
        <v>2864</v>
      </c>
      <c r="D291" s="25"/>
      <c r="E291" s="216">
        <v>-1.0E-6</v>
      </c>
      <c r="F291" s="216">
        <v>-1.0E-6</v>
      </c>
      <c r="G291" s="216" t="s">
        <v>389</v>
      </c>
      <c r="H291" s="25"/>
    </row>
    <row r="292">
      <c r="A292" s="216">
        <v>1.0021514E7</v>
      </c>
      <c r="B292" s="216" t="s">
        <v>2925</v>
      </c>
      <c r="C292" s="216" t="s">
        <v>2864</v>
      </c>
      <c r="D292" s="25"/>
      <c r="E292" s="216">
        <v>-1.0E-6</v>
      </c>
      <c r="F292" s="216">
        <v>-1.0E-6</v>
      </c>
      <c r="G292" s="216" t="s">
        <v>389</v>
      </c>
      <c r="H292" s="25"/>
    </row>
    <row r="293">
      <c r="A293" s="216">
        <v>1.0021515E7</v>
      </c>
      <c r="B293" s="216" t="s">
        <v>2926</v>
      </c>
      <c r="C293" s="216" t="s">
        <v>2864</v>
      </c>
      <c r="D293" s="25"/>
      <c r="E293" s="216">
        <v>-1.0E-6</v>
      </c>
      <c r="F293" s="216">
        <v>-1.0E-6</v>
      </c>
      <c r="G293" s="216" t="s">
        <v>389</v>
      </c>
      <c r="H293" s="25"/>
    </row>
    <row r="294">
      <c r="A294" s="216">
        <v>1.0021516E7</v>
      </c>
      <c r="B294" s="216" t="s">
        <v>2927</v>
      </c>
      <c r="C294" s="216" t="s">
        <v>2864</v>
      </c>
      <c r="D294" s="25"/>
      <c r="E294" s="216">
        <v>-1.0E-6</v>
      </c>
      <c r="F294" s="216">
        <v>-1.0E-6</v>
      </c>
      <c r="G294" s="216" t="s">
        <v>389</v>
      </c>
      <c r="H294" s="25"/>
    </row>
    <row r="295">
      <c r="A295" s="216">
        <v>1.0021517E7</v>
      </c>
      <c r="B295" s="216" t="s">
        <v>2928</v>
      </c>
      <c r="C295" s="216" t="s">
        <v>2864</v>
      </c>
      <c r="D295" s="25"/>
      <c r="E295" s="216">
        <v>-1.0E-6</v>
      </c>
      <c r="F295" s="216">
        <v>-1.0E-6</v>
      </c>
      <c r="G295" s="216" t="s">
        <v>389</v>
      </c>
      <c r="H295" s="25"/>
    </row>
    <row r="296">
      <c r="A296" s="216">
        <v>1.0021518E7</v>
      </c>
      <c r="B296" s="216" t="s">
        <v>2929</v>
      </c>
      <c r="C296" s="216" t="s">
        <v>2864</v>
      </c>
      <c r="D296" s="25"/>
      <c r="E296" s="216">
        <v>-1.0E-6</v>
      </c>
      <c r="F296" s="216">
        <v>-1.0E-6</v>
      </c>
      <c r="G296" s="216" t="s">
        <v>389</v>
      </c>
      <c r="H296" s="25"/>
    </row>
    <row r="297">
      <c r="A297" s="216">
        <v>1.0021519E7</v>
      </c>
      <c r="B297" s="216" t="s">
        <v>2930</v>
      </c>
      <c r="C297" s="216" t="s">
        <v>2864</v>
      </c>
      <c r="D297" s="25"/>
      <c r="E297" s="216">
        <v>-1.0E-6</v>
      </c>
      <c r="F297" s="216">
        <v>-1.0E-6</v>
      </c>
      <c r="G297" s="216" t="s">
        <v>389</v>
      </c>
      <c r="H297" s="25"/>
    </row>
    <row r="298">
      <c r="A298" s="216">
        <v>1.002152E7</v>
      </c>
      <c r="B298" s="216" t="s">
        <v>2931</v>
      </c>
      <c r="C298" s="216" t="s">
        <v>2864</v>
      </c>
      <c r="D298" s="25"/>
      <c r="E298" s="216">
        <v>-1.0E-6</v>
      </c>
      <c r="F298" s="216">
        <v>-1.0E-6</v>
      </c>
      <c r="G298" s="216" t="s">
        <v>389</v>
      </c>
      <c r="H298" s="25"/>
    </row>
    <row r="299">
      <c r="A299" s="216">
        <v>1.0021521E7</v>
      </c>
      <c r="B299" s="216" t="s">
        <v>2932</v>
      </c>
      <c r="C299" s="216" t="s">
        <v>2864</v>
      </c>
      <c r="D299" s="25"/>
      <c r="E299" s="216">
        <v>-1.0E-6</v>
      </c>
      <c r="F299" s="216">
        <v>-1.0E-6</v>
      </c>
      <c r="G299" s="216" t="s">
        <v>389</v>
      </c>
      <c r="H299" s="25"/>
    </row>
    <row r="300">
      <c r="A300" s="216">
        <v>1.0021522E7</v>
      </c>
      <c r="B300" s="216" t="s">
        <v>2933</v>
      </c>
      <c r="C300" s="216" t="s">
        <v>2864</v>
      </c>
      <c r="D300" s="25"/>
      <c r="E300" s="216">
        <v>-1.0E-6</v>
      </c>
      <c r="F300" s="216">
        <v>-1.0E-6</v>
      </c>
      <c r="G300" s="216" t="s">
        <v>389</v>
      </c>
      <c r="H300" s="25"/>
    </row>
    <row r="301">
      <c r="A301" s="216">
        <v>1.0021523E7</v>
      </c>
      <c r="B301" s="216" t="s">
        <v>2934</v>
      </c>
      <c r="C301" s="216" t="s">
        <v>2864</v>
      </c>
      <c r="D301" s="25"/>
      <c r="E301" s="216">
        <v>-1.0E-6</v>
      </c>
      <c r="F301" s="216">
        <v>-1.0E-6</v>
      </c>
      <c r="G301" s="216" t="s">
        <v>389</v>
      </c>
      <c r="H301" s="25"/>
    </row>
    <row r="302">
      <c r="A302" s="216">
        <v>1.0021524E7</v>
      </c>
      <c r="B302" s="216" t="s">
        <v>2935</v>
      </c>
      <c r="C302" s="216" t="s">
        <v>2864</v>
      </c>
      <c r="D302" s="25"/>
      <c r="E302" s="216">
        <v>-1.0E-6</v>
      </c>
      <c r="F302" s="216">
        <v>-1.0E-6</v>
      </c>
      <c r="G302" s="216" t="s">
        <v>389</v>
      </c>
      <c r="H302" s="25"/>
    </row>
    <row r="303">
      <c r="A303" s="216">
        <v>1.0021525E7</v>
      </c>
      <c r="B303" s="216" t="s">
        <v>2936</v>
      </c>
      <c r="C303" s="216" t="s">
        <v>2864</v>
      </c>
      <c r="D303" s="25"/>
      <c r="E303" s="216">
        <v>-1.0E-6</v>
      </c>
      <c r="F303" s="216">
        <v>-1.0E-6</v>
      </c>
      <c r="G303" s="216" t="s">
        <v>389</v>
      </c>
      <c r="H303" s="25"/>
    </row>
    <row r="304">
      <c r="A304" s="216">
        <v>1.0021526E7</v>
      </c>
      <c r="B304" s="216" t="s">
        <v>2937</v>
      </c>
      <c r="C304" s="216" t="s">
        <v>2864</v>
      </c>
      <c r="D304" s="25"/>
      <c r="E304" s="216">
        <v>-1.0E-6</v>
      </c>
      <c r="F304" s="216">
        <v>-1.0E-6</v>
      </c>
      <c r="G304" s="216" t="s">
        <v>389</v>
      </c>
      <c r="H304" s="25"/>
    </row>
    <row r="305">
      <c r="A305" s="216">
        <v>1.0021527E7</v>
      </c>
      <c r="B305" s="216" t="s">
        <v>2938</v>
      </c>
      <c r="C305" s="216" t="s">
        <v>2864</v>
      </c>
      <c r="D305" s="25"/>
      <c r="E305" s="216">
        <v>-1.0E-6</v>
      </c>
      <c r="F305" s="216">
        <v>-1.0E-6</v>
      </c>
      <c r="G305" s="216" t="s">
        <v>389</v>
      </c>
      <c r="H305" s="25"/>
    </row>
    <row r="306">
      <c r="A306" s="216">
        <v>1.0021528E7</v>
      </c>
      <c r="B306" s="216" t="s">
        <v>2939</v>
      </c>
      <c r="C306" s="216" t="s">
        <v>2864</v>
      </c>
      <c r="D306" s="25"/>
      <c r="E306" s="216">
        <v>-1.0E-6</v>
      </c>
      <c r="F306" s="216">
        <v>-1.0E-6</v>
      </c>
      <c r="G306" s="216" t="s">
        <v>389</v>
      </c>
      <c r="H306" s="25"/>
    </row>
    <row r="307">
      <c r="A307" s="216">
        <v>1.0021529E7</v>
      </c>
      <c r="B307" s="216" t="s">
        <v>2940</v>
      </c>
      <c r="C307" s="216" t="s">
        <v>2864</v>
      </c>
      <c r="D307" s="25"/>
      <c r="E307" s="216">
        <v>-1.0E-6</v>
      </c>
      <c r="F307" s="216">
        <v>-1.0E-6</v>
      </c>
      <c r="G307" s="216" t="s">
        <v>389</v>
      </c>
      <c r="H307" s="25"/>
    </row>
    <row r="308">
      <c r="A308" s="216">
        <v>1.002153E7</v>
      </c>
      <c r="B308" s="216" t="s">
        <v>2941</v>
      </c>
      <c r="C308" s="216" t="s">
        <v>2864</v>
      </c>
      <c r="D308" s="25"/>
      <c r="E308" s="216">
        <v>-1.0E-6</v>
      </c>
      <c r="F308" s="216">
        <v>-1.0E-6</v>
      </c>
      <c r="G308" s="216" t="s">
        <v>389</v>
      </c>
      <c r="H308" s="25"/>
    </row>
    <row r="309">
      <c r="A309" s="216">
        <v>1.0021531E7</v>
      </c>
      <c r="B309" s="216" t="s">
        <v>2942</v>
      </c>
      <c r="C309" s="216" t="s">
        <v>2864</v>
      </c>
      <c r="D309" s="25"/>
      <c r="E309" s="216">
        <v>-1.0E-6</v>
      </c>
      <c r="F309" s="216">
        <v>-1.0E-6</v>
      </c>
      <c r="G309" s="216" t="s">
        <v>389</v>
      </c>
      <c r="H309" s="25"/>
    </row>
    <row r="310">
      <c r="A310" s="216">
        <v>1.0021532E7</v>
      </c>
      <c r="B310" s="216" t="s">
        <v>2943</v>
      </c>
      <c r="C310" s="216" t="s">
        <v>2864</v>
      </c>
      <c r="D310" s="25"/>
      <c r="E310" s="216">
        <v>-1.0E-6</v>
      </c>
      <c r="F310" s="216">
        <v>-1.0E-6</v>
      </c>
      <c r="G310" s="216" t="s">
        <v>389</v>
      </c>
      <c r="H310" s="25"/>
    </row>
    <row r="311">
      <c r="A311" s="216">
        <v>1.0021533E7</v>
      </c>
      <c r="B311" s="216" t="s">
        <v>2944</v>
      </c>
      <c r="C311" s="216" t="s">
        <v>2864</v>
      </c>
      <c r="D311" s="25"/>
      <c r="E311" s="216">
        <v>-1.0E-6</v>
      </c>
      <c r="F311" s="216">
        <v>-1.0E-6</v>
      </c>
      <c r="G311" s="216" t="s">
        <v>389</v>
      </c>
      <c r="H311" s="25"/>
    </row>
    <row r="312">
      <c r="A312" s="216">
        <v>1.0021534E7</v>
      </c>
      <c r="B312" s="216" t="s">
        <v>2945</v>
      </c>
      <c r="C312" s="216" t="s">
        <v>2864</v>
      </c>
      <c r="D312" s="25"/>
      <c r="E312" s="216">
        <v>-1.0E-6</v>
      </c>
      <c r="F312" s="216">
        <v>-1.0E-6</v>
      </c>
      <c r="G312" s="216" t="s">
        <v>389</v>
      </c>
      <c r="H312" s="25"/>
    </row>
    <row r="313">
      <c r="A313" s="216">
        <v>1.0021535E7</v>
      </c>
      <c r="B313" s="216" t="s">
        <v>2946</v>
      </c>
      <c r="C313" s="216" t="s">
        <v>2864</v>
      </c>
      <c r="D313" s="25"/>
      <c r="E313" s="216">
        <v>-1.0E-6</v>
      </c>
      <c r="F313" s="216">
        <v>-1.0E-6</v>
      </c>
      <c r="G313" s="216" t="s">
        <v>389</v>
      </c>
      <c r="H313" s="25"/>
    </row>
    <row r="314">
      <c r="A314" s="216">
        <v>1.0021536E7</v>
      </c>
      <c r="B314" s="216" t="s">
        <v>2947</v>
      </c>
      <c r="C314" s="216" t="s">
        <v>2864</v>
      </c>
      <c r="D314" s="25"/>
      <c r="E314" s="216">
        <v>-1.0E-6</v>
      </c>
      <c r="F314" s="216">
        <v>-1.0E-6</v>
      </c>
      <c r="G314" s="216" t="s">
        <v>389</v>
      </c>
      <c r="H314" s="25"/>
    </row>
    <row r="315">
      <c r="A315" s="216">
        <v>1.0021537E7</v>
      </c>
      <c r="B315" s="216" t="s">
        <v>2948</v>
      </c>
      <c r="C315" s="216" t="s">
        <v>2864</v>
      </c>
      <c r="D315" s="25"/>
      <c r="E315" s="216">
        <v>-1.0E-6</v>
      </c>
      <c r="F315" s="216">
        <v>-1.0E-6</v>
      </c>
      <c r="G315" s="216" t="s">
        <v>389</v>
      </c>
      <c r="H315" s="25"/>
    </row>
    <row r="316">
      <c r="A316" s="216">
        <v>1.0021538E7</v>
      </c>
      <c r="B316" s="216" t="s">
        <v>2949</v>
      </c>
      <c r="C316" s="216" t="s">
        <v>2864</v>
      </c>
      <c r="D316" s="25"/>
      <c r="E316" s="216">
        <v>-1.0E-6</v>
      </c>
      <c r="F316" s="216">
        <v>-1.0E-6</v>
      </c>
      <c r="G316" s="216" t="s">
        <v>389</v>
      </c>
      <c r="H316" s="25"/>
    </row>
    <row r="317">
      <c r="A317" s="216">
        <v>1.0021539E7</v>
      </c>
      <c r="B317" s="216" t="s">
        <v>2950</v>
      </c>
      <c r="C317" s="216" t="s">
        <v>2864</v>
      </c>
      <c r="D317" s="25"/>
      <c r="E317" s="216">
        <v>-1.0E-6</v>
      </c>
      <c r="F317" s="216">
        <v>-1.0E-6</v>
      </c>
      <c r="G317" s="216" t="s">
        <v>389</v>
      </c>
      <c r="H317" s="25"/>
    </row>
    <row r="318">
      <c r="A318" s="216">
        <v>1.002154E7</v>
      </c>
      <c r="B318" s="216" t="s">
        <v>2951</v>
      </c>
      <c r="C318" s="216" t="s">
        <v>2864</v>
      </c>
      <c r="D318" s="25"/>
      <c r="E318" s="216">
        <v>-1.0E-6</v>
      </c>
      <c r="F318" s="216">
        <v>-1.0E-6</v>
      </c>
      <c r="G318" s="216" t="s">
        <v>389</v>
      </c>
      <c r="H318" s="25"/>
    </row>
    <row r="319">
      <c r="A319" s="216">
        <v>1.0021541E7</v>
      </c>
      <c r="B319" s="216" t="s">
        <v>2952</v>
      </c>
      <c r="C319" s="216" t="s">
        <v>2864</v>
      </c>
      <c r="D319" s="25"/>
      <c r="E319" s="216">
        <v>-1.0E-6</v>
      </c>
      <c r="F319" s="216">
        <v>-1.0E-6</v>
      </c>
      <c r="G319" s="216" t="s">
        <v>389</v>
      </c>
      <c r="H319" s="25"/>
    </row>
    <row r="320">
      <c r="A320" s="216">
        <v>1.0021542E7</v>
      </c>
      <c r="B320" s="216" t="s">
        <v>2953</v>
      </c>
      <c r="C320" s="216" t="s">
        <v>2864</v>
      </c>
      <c r="D320" s="25"/>
      <c r="E320" s="216">
        <v>-1.0E-6</v>
      </c>
      <c r="F320" s="216">
        <v>-1.0E-6</v>
      </c>
      <c r="G320" s="216" t="s">
        <v>389</v>
      </c>
      <c r="H320" s="25"/>
    </row>
    <row r="321">
      <c r="A321" s="216">
        <v>1.0021543E7</v>
      </c>
      <c r="B321" s="216" t="s">
        <v>2954</v>
      </c>
      <c r="C321" s="216" t="s">
        <v>2864</v>
      </c>
      <c r="D321" s="25"/>
      <c r="E321" s="216">
        <v>-1.0E-6</v>
      </c>
      <c r="F321" s="216">
        <v>-1.0E-6</v>
      </c>
      <c r="G321" s="216" t="s">
        <v>389</v>
      </c>
      <c r="H321" s="25"/>
    </row>
    <row r="322">
      <c r="A322" s="216">
        <v>1.0021544E7</v>
      </c>
      <c r="B322" s="216" t="s">
        <v>2955</v>
      </c>
      <c r="C322" s="216" t="s">
        <v>2864</v>
      </c>
      <c r="D322" s="25"/>
      <c r="E322" s="216">
        <v>-1.0E-6</v>
      </c>
      <c r="F322" s="216">
        <v>-1.0E-6</v>
      </c>
      <c r="G322" s="216" t="s">
        <v>389</v>
      </c>
      <c r="H322" s="25"/>
    </row>
    <row r="323">
      <c r="A323" s="216">
        <v>1.0021545E7</v>
      </c>
      <c r="B323" s="216" t="s">
        <v>2956</v>
      </c>
      <c r="C323" s="216" t="s">
        <v>2864</v>
      </c>
      <c r="D323" s="25"/>
      <c r="E323" s="216">
        <v>-1.0E-6</v>
      </c>
      <c r="F323" s="216">
        <v>-1.0E-6</v>
      </c>
      <c r="G323" s="216" t="s">
        <v>389</v>
      </c>
      <c r="H323" s="25"/>
    </row>
    <row r="324">
      <c r="A324" s="216">
        <v>1.0021546E7</v>
      </c>
      <c r="B324" s="216" t="s">
        <v>2957</v>
      </c>
      <c r="C324" s="216" t="s">
        <v>2864</v>
      </c>
      <c r="D324" s="25"/>
      <c r="E324" s="216">
        <v>-1.0E-6</v>
      </c>
      <c r="F324" s="216">
        <v>-1.0E-6</v>
      </c>
      <c r="G324" s="216" t="s">
        <v>389</v>
      </c>
      <c r="H324" s="25"/>
    </row>
    <row r="325">
      <c r="A325" s="216">
        <v>1.0022E7</v>
      </c>
      <c r="B325" s="216" t="s">
        <v>2958</v>
      </c>
      <c r="C325" s="216" t="s">
        <v>2959</v>
      </c>
      <c r="D325" s="25"/>
      <c r="E325" s="218">
        <v>-1.25E-7</v>
      </c>
      <c r="F325" s="218">
        <v>-1.25E-7</v>
      </c>
      <c r="G325" s="216" t="s">
        <v>389</v>
      </c>
      <c r="H325" s="25"/>
    </row>
    <row r="326">
      <c r="A326" s="216">
        <v>1.0022001E7</v>
      </c>
      <c r="B326" s="216" t="s">
        <v>2960</v>
      </c>
      <c r="C326" s="216" t="s">
        <v>2959</v>
      </c>
      <c r="D326" s="25"/>
      <c r="E326" s="218">
        <v>-1.25E-7</v>
      </c>
      <c r="F326" s="218">
        <v>-1.25E-7</v>
      </c>
      <c r="G326" s="216" t="s">
        <v>389</v>
      </c>
      <c r="H326" s="25"/>
    </row>
    <row r="327">
      <c r="A327" s="216">
        <v>1.0022002E7</v>
      </c>
      <c r="B327" s="216" t="s">
        <v>2961</v>
      </c>
      <c r="C327" s="216" t="s">
        <v>2959</v>
      </c>
      <c r="D327" s="25"/>
      <c r="E327" s="218">
        <v>-1.25E-7</v>
      </c>
      <c r="F327" s="218">
        <v>-1.25E-7</v>
      </c>
      <c r="G327" s="216" t="s">
        <v>389</v>
      </c>
      <c r="H327" s="25"/>
    </row>
    <row r="328">
      <c r="A328" s="216">
        <v>1.0022003E7</v>
      </c>
      <c r="B328" s="216" t="s">
        <v>2962</v>
      </c>
      <c r="C328" s="216" t="s">
        <v>2959</v>
      </c>
      <c r="D328" s="25"/>
      <c r="E328" s="218">
        <v>-1.25E-7</v>
      </c>
      <c r="F328" s="218">
        <v>-1.25E-7</v>
      </c>
      <c r="G328" s="216" t="s">
        <v>389</v>
      </c>
      <c r="H328" s="25"/>
    </row>
    <row r="329">
      <c r="A329" s="216">
        <v>1.0022004E7</v>
      </c>
      <c r="B329" s="216" t="s">
        <v>2963</v>
      </c>
      <c r="C329" s="216" t="s">
        <v>2959</v>
      </c>
      <c r="D329" s="25"/>
      <c r="E329" s="218">
        <v>-1.25E-7</v>
      </c>
      <c r="F329" s="218">
        <v>-1.25E-7</v>
      </c>
      <c r="G329" s="216" t="s">
        <v>389</v>
      </c>
      <c r="H329" s="25"/>
    </row>
    <row r="330">
      <c r="A330" s="216">
        <v>1.0022005E7</v>
      </c>
      <c r="B330" s="216" t="s">
        <v>2964</v>
      </c>
      <c r="C330" s="216" t="s">
        <v>2959</v>
      </c>
      <c r="D330" s="25"/>
      <c r="E330" s="218">
        <v>-1.25E-7</v>
      </c>
      <c r="F330" s="218">
        <v>-1.25E-7</v>
      </c>
      <c r="G330" s="216" t="s">
        <v>389</v>
      </c>
      <c r="H330" s="25"/>
    </row>
    <row r="331">
      <c r="A331" s="216">
        <v>1.0022006E7</v>
      </c>
      <c r="B331" s="216" t="s">
        <v>2965</v>
      </c>
      <c r="C331" s="216" t="s">
        <v>2959</v>
      </c>
      <c r="D331" s="25"/>
      <c r="E331" s="218">
        <v>-1.25E-7</v>
      </c>
      <c r="F331" s="218">
        <v>-1.25E-7</v>
      </c>
      <c r="G331" s="216" t="s">
        <v>389</v>
      </c>
      <c r="H331" s="25"/>
    </row>
    <row r="332">
      <c r="A332" s="216">
        <v>1.0022007E7</v>
      </c>
      <c r="B332" s="216" t="s">
        <v>2966</v>
      </c>
      <c r="C332" s="216" t="s">
        <v>2959</v>
      </c>
      <c r="D332" s="25"/>
      <c r="E332" s="218">
        <v>-1.25E-7</v>
      </c>
      <c r="F332" s="218">
        <v>-1.25E-7</v>
      </c>
      <c r="G332" s="216" t="s">
        <v>389</v>
      </c>
      <c r="H332" s="25"/>
    </row>
    <row r="333">
      <c r="A333" s="216">
        <v>1.0022008E7</v>
      </c>
      <c r="B333" s="216" t="s">
        <v>2967</v>
      </c>
      <c r="C333" s="216" t="s">
        <v>2959</v>
      </c>
      <c r="D333" s="25"/>
      <c r="E333" s="218">
        <v>-1.25E-7</v>
      </c>
      <c r="F333" s="218">
        <v>-1.25E-7</v>
      </c>
      <c r="G333" s="216" t="s">
        <v>389</v>
      </c>
      <c r="H333" s="25"/>
    </row>
    <row r="334">
      <c r="A334" s="216">
        <v>1.0022009E7</v>
      </c>
      <c r="B334" s="216" t="s">
        <v>2968</v>
      </c>
      <c r="C334" s="216" t="s">
        <v>2959</v>
      </c>
      <c r="D334" s="25"/>
      <c r="E334" s="218">
        <v>-1.25E-7</v>
      </c>
      <c r="F334" s="218">
        <v>-1.25E-7</v>
      </c>
      <c r="G334" s="216" t="s">
        <v>389</v>
      </c>
      <c r="H334" s="25"/>
    </row>
    <row r="335">
      <c r="A335" s="216">
        <v>1.002201E7</v>
      </c>
      <c r="B335" s="216" t="s">
        <v>2969</v>
      </c>
      <c r="C335" s="216" t="s">
        <v>2959</v>
      </c>
      <c r="D335" s="25"/>
      <c r="E335" s="218">
        <v>-1.25E-7</v>
      </c>
      <c r="F335" s="218">
        <v>-1.25E-7</v>
      </c>
      <c r="G335" s="216" t="s">
        <v>389</v>
      </c>
      <c r="H335" s="25"/>
    </row>
    <row r="336">
      <c r="A336" s="216">
        <v>1.0022011E7</v>
      </c>
      <c r="B336" s="216" t="s">
        <v>2970</v>
      </c>
      <c r="C336" s="216" t="s">
        <v>2959</v>
      </c>
      <c r="D336" s="25"/>
      <c r="E336" s="218">
        <v>-1.25E-7</v>
      </c>
      <c r="F336" s="218">
        <v>-1.25E-7</v>
      </c>
      <c r="G336" s="216" t="s">
        <v>389</v>
      </c>
      <c r="H336" s="25"/>
    </row>
    <row r="337">
      <c r="A337" s="216">
        <v>1.0022012E7</v>
      </c>
      <c r="B337" s="216" t="s">
        <v>2971</v>
      </c>
      <c r="C337" s="216" t="s">
        <v>2959</v>
      </c>
      <c r="D337" s="25"/>
      <c r="E337" s="218">
        <v>-1.25E-7</v>
      </c>
      <c r="F337" s="218">
        <v>-1.25E-7</v>
      </c>
      <c r="G337" s="216" t="s">
        <v>389</v>
      </c>
      <c r="H337" s="25"/>
    </row>
    <row r="338">
      <c r="A338" s="216">
        <v>1.0022013E7</v>
      </c>
      <c r="B338" s="216" t="s">
        <v>2972</v>
      </c>
      <c r="C338" s="216" t="s">
        <v>2959</v>
      </c>
      <c r="D338" s="25"/>
      <c r="E338" s="218">
        <v>-1.25E-7</v>
      </c>
      <c r="F338" s="218">
        <v>-1.25E-7</v>
      </c>
      <c r="G338" s="216" t="s">
        <v>389</v>
      </c>
      <c r="H338" s="25"/>
    </row>
    <row r="339">
      <c r="A339" s="216">
        <v>1.0022014E7</v>
      </c>
      <c r="B339" s="216" t="s">
        <v>2973</v>
      </c>
      <c r="C339" s="216" t="s">
        <v>2959</v>
      </c>
      <c r="D339" s="25"/>
      <c r="E339" s="218">
        <v>-1.25E-7</v>
      </c>
      <c r="F339" s="218">
        <v>-1.25E-7</v>
      </c>
      <c r="G339" s="216" t="s">
        <v>389</v>
      </c>
      <c r="H339" s="25"/>
    </row>
    <row r="340">
      <c r="A340" s="216">
        <v>1.0022015E7</v>
      </c>
      <c r="B340" s="216" t="s">
        <v>2974</v>
      </c>
      <c r="C340" s="216" t="s">
        <v>2959</v>
      </c>
      <c r="D340" s="25"/>
      <c r="E340" s="218">
        <v>-1.25E-7</v>
      </c>
      <c r="F340" s="218">
        <v>-1.25E-7</v>
      </c>
      <c r="G340" s="216" t="s">
        <v>389</v>
      </c>
      <c r="H340" s="25"/>
    </row>
    <row r="341">
      <c r="A341" s="216">
        <v>1.0022016E7</v>
      </c>
      <c r="B341" s="216" t="s">
        <v>2975</v>
      </c>
      <c r="C341" s="216" t="s">
        <v>2959</v>
      </c>
      <c r="D341" s="25"/>
      <c r="E341" s="218">
        <v>-1.25E-7</v>
      </c>
      <c r="F341" s="218">
        <v>-1.25E-7</v>
      </c>
      <c r="G341" s="216" t="s">
        <v>389</v>
      </c>
      <c r="H341" s="25"/>
    </row>
    <row r="342">
      <c r="A342" s="216">
        <v>1.0022017E7</v>
      </c>
      <c r="B342" s="216" t="s">
        <v>2976</v>
      </c>
      <c r="C342" s="216" t="s">
        <v>2959</v>
      </c>
      <c r="D342" s="25"/>
      <c r="E342" s="218">
        <v>-1.25E-7</v>
      </c>
      <c r="F342" s="218">
        <v>-1.25E-7</v>
      </c>
      <c r="G342" s="216" t="s">
        <v>389</v>
      </c>
      <c r="H342" s="25"/>
    </row>
    <row r="343">
      <c r="A343" s="216">
        <v>1.0022018E7</v>
      </c>
      <c r="B343" s="216" t="s">
        <v>2977</v>
      </c>
      <c r="C343" s="216" t="s">
        <v>2959</v>
      </c>
      <c r="D343" s="25"/>
      <c r="E343" s="218">
        <v>-1.25E-7</v>
      </c>
      <c r="F343" s="218">
        <v>-1.25E-7</v>
      </c>
      <c r="G343" s="216" t="s">
        <v>389</v>
      </c>
      <c r="H343" s="25"/>
    </row>
    <row r="344">
      <c r="A344" s="216">
        <v>1.0022019E7</v>
      </c>
      <c r="B344" s="216" t="s">
        <v>2978</v>
      </c>
      <c r="C344" s="216" t="s">
        <v>2959</v>
      </c>
      <c r="D344" s="25"/>
      <c r="E344" s="218">
        <v>-1.25E-7</v>
      </c>
      <c r="F344" s="218">
        <v>-1.25E-7</v>
      </c>
      <c r="G344" s="216" t="s">
        <v>389</v>
      </c>
      <c r="H344" s="25"/>
    </row>
    <row r="345">
      <c r="A345" s="216">
        <v>1.002202E7</v>
      </c>
      <c r="B345" s="216" t="s">
        <v>2979</v>
      </c>
      <c r="C345" s="216" t="s">
        <v>2959</v>
      </c>
      <c r="D345" s="25"/>
      <c r="E345" s="218">
        <v>-1.25E-7</v>
      </c>
      <c r="F345" s="218">
        <v>-1.25E-7</v>
      </c>
      <c r="G345" s="216" t="s">
        <v>389</v>
      </c>
      <c r="H345" s="25"/>
    </row>
    <row r="346">
      <c r="A346" s="216">
        <v>1.0022021E7</v>
      </c>
      <c r="B346" s="216" t="s">
        <v>2980</v>
      </c>
      <c r="C346" s="216" t="s">
        <v>2959</v>
      </c>
      <c r="D346" s="25"/>
      <c r="E346" s="218">
        <v>-1.25E-7</v>
      </c>
      <c r="F346" s="218">
        <v>-1.25E-7</v>
      </c>
      <c r="G346" s="216" t="s">
        <v>389</v>
      </c>
      <c r="H346" s="25"/>
    </row>
    <row r="347">
      <c r="A347" s="216">
        <v>1.0022022E7</v>
      </c>
      <c r="B347" s="216" t="s">
        <v>2981</v>
      </c>
      <c r="C347" s="216" t="s">
        <v>2959</v>
      </c>
      <c r="D347" s="25"/>
      <c r="E347" s="218">
        <v>-1.25E-7</v>
      </c>
      <c r="F347" s="218">
        <v>-1.25E-7</v>
      </c>
      <c r="G347" s="216" t="s">
        <v>389</v>
      </c>
      <c r="H347" s="25"/>
    </row>
    <row r="348">
      <c r="A348" s="216">
        <v>1.0022023E7</v>
      </c>
      <c r="B348" s="216" t="s">
        <v>2982</v>
      </c>
      <c r="C348" s="216" t="s">
        <v>2959</v>
      </c>
      <c r="D348" s="25"/>
      <c r="E348" s="218">
        <v>-1.25E-7</v>
      </c>
      <c r="F348" s="218">
        <v>-1.25E-7</v>
      </c>
      <c r="G348" s="216" t="s">
        <v>389</v>
      </c>
      <c r="H348" s="25"/>
    </row>
    <row r="349">
      <c r="A349" s="216">
        <v>1.0022024E7</v>
      </c>
      <c r="B349" s="216" t="s">
        <v>2983</v>
      </c>
      <c r="C349" s="216" t="s">
        <v>2959</v>
      </c>
      <c r="D349" s="25"/>
      <c r="E349" s="218">
        <v>-1.25E-7</v>
      </c>
      <c r="F349" s="218">
        <v>-1.25E-7</v>
      </c>
      <c r="G349" s="216" t="s">
        <v>389</v>
      </c>
      <c r="H349" s="25"/>
    </row>
    <row r="350">
      <c r="A350" s="216">
        <v>1.0022025E7</v>
      </c>
      <c r="B350" s="216" t="s">
        <v>2984</v>
      </c>
      <c r="C350" s="216" t="s">
        <v>2959</v>
      </c>
      <c r="D350" s="25"/>
      <c r="E350" s="218">
        <v>-1.25E-7</v>
      </c>
      <c r="F350" s="218">
        <v>-1.25E-7</v>
      </c>
      <c r="G350" s="216" t="s">
        <v>389</v>
      </c>
      <c r="H350" s="25"/>
    </row>
    <row r="351">
      <c r="A351" s="216">
        <v>1.0022026E7</v>
      </c>
      <c r="B351" s="216" t="s">
        <v>2985</v>
      </c>
      <c r="C351" s="216" t="s">
        <v>2959</v>
      </c>
      <c r="D351" s="25"/>
      <c r="E351" s="218">
        <v>-1.25E-7</v>
      </c>
      <c r="F351" s="218">
        <v>-1.25E-7</v>
      </c>
      <c r="G351" s="216" t="s">
        <v>389</v>
      </c>
      <c r="H351" s="25"/>
    </row>
    <row r="352">
      <c r="A352" s="216">
        <v>1.0022027E7</v>
      </c>
      <c r="B352" s="216" t="s">
        <v>2986</v>
      </c>
      <c r="C352" s="216" t="s">
        <v>2959</v>
      </c>
      <c r="D352" s="25"/>
      <c r="E352" s="218">
        <v>-1.25E-7</v>
      </c>
      <c r="F352" s="218">
        <v>-1.25E-7</v>
      </c>
      <c r="G352" s="216" t="s">
        <v>389</v>
      </c>
      <c r="H352" s="25"/>
    </row>
    <row r="353">
      <c r="A353" s="216">
        <v>1.0022028E7</v>
      </c>
      <c r="B353" s="216" t="s">
        <v>2987</v>
      </c>
      <c r="C353" s="216" t="s">
        <v>2959</v>
      </c>
      <c r="D353" s="25"/>
      <c r="E353" s="218">
        <v>-1.25E-7</v>
      </c>
      <c r="F353" s="218">
        <v>-1.25E-7</v>
      </c>
      <c r="G353" s="216" t="s">
        <v>389</v>
      </c>
      <c r="H353" s="25"/>
    </row>
    <row r="354">
      <c r="A354" s="216">
        <v>1.0022029E7</v>
      </c>
      <c r="B354" s="216" t="s">
        <v>2988</v>
      </c>
      <c r="C354" s="216" t="s">
        <v>2959</v>
      </c>
      <c r="D354" s="25"/>
      <c r="E354" s="218">
        <v>-1.25E-7</v>
      </c>
      <c r="F354" s="218">
        <v>-1.25E-7</v>
      </c>
      <c r="G354" s="216" t="s">
        <v>389</v>
      </c>
      <c r="H354" s="25"/>
    </row>
    <row r="355">
      <c r="A355" s="216">
        <v>1.002203E7</v>
      </c>
      <c r="B355" s="216" t="s">
        <v>2989</v>
      </c>
      <c r="C355" s="216" t="s">
        <v>2959</v>
      </c>
      <c r="D355" s="25"/>
      <c r="E355" s="218">
        <v>-1.25E-7</v>
      </c>
      <c r="F355" s="218">
        <v>-1.25E-7</v>
      </c>
      <c r="G355" s="216" t="s">
        <v>389</v>
      </c>
      <c r="H355" s="25"/>
    </row>
    <row r="356">
      <c r="A356" s="216">
        <v>1.0022031E7</v>
      </c>
      <c r="B356" s="216" t="s">
        <v>2990</v>
      </c>
      <c r="C356" s="216" t="s">
        <v>2959</v>
      </c>
      <c r="D356" s="25"/>
      <c r="E356" s="218">
        <v>-1.25E-7</v>
      </c>
      <c r="F356" s="218">
        <v>-1.25E-7</v>
      </c>
      <c r="G356" s="216" t="s">
        <v>389</v>
      </c>
      <c r="H356" s="25"/>
    </row>
    <row r="357">
      <c r="A357" s="216">
        <v>1.0022032E7</v>
      </c>
      <c r="B357" s="216" t="s">
        <v>2991</v>
      </c>
      <c r="C357" s="216" t="s">
        <v>2959</v>
      </c>
      <c r="D357" s="25"/>
      <c r="E357" s="218">
        <v>-1.25E-7</v>
      </c>
      <c r="F357" s="218">
        <v>-1.25E-7</v>
      </c>
      <c r="G357" s="216" t="s">
        <v>389</v>
      </c>
      <c r="H357" s="25"/>
    </row>
    <row r="358">
      <c r="A358" s="216">
        <v>1.0022033E7</v>
      </c>
      <c r="B358" s="216" t="s">
        <v>2992</v>
      </c>
      <c r="C358" s="216" t="s">
        <v>2959</v>
      </c>
      <c r="D358" s="25"/>
      <c r="E358" s="218">
        <v>-1.25E-7</v>
      </c>
      <c r="F358" s="218">
        <v>-1.25E-7</v>
      </c>
      <c r="G358" s="216" t="s">
        <v>389</v>
      </c>
      <c r="H358" s="25"/>
    </row>
    <row r="359">
      <c r="A359" s="216">
        <v>1.0022034E7</v>
      </c>
      <c r="B359" s="216" t="s">
        <v>2993</v>
      </c>
      <c r="C359" s="216" t="s">
        <v>2959</v>
      </c>
      <c r="D359" s="25"/>
      <c r="E359" s="218">
        <v>-1.25E-7</v>
      </c>
      <c r="F359" s="218">
        <v>-1.25E-7</v>
      </c>
      <c r="G359" s="216" t="s">
        <v>389</v>
      </c>
      <c r="H359" s="25"/>
    </row>
    <row r="360">
      <c r="A360" s="216">
        <v>1.00221E7</v>
      </c>
      <c r="B360" s="216" t="s">
        <v>2994</v>
      </c>
      <c r="C360" s="216" t="s">
        <v>2959</v>
      </c>
      <c r="D360" s="25"/>
      <c r="E360" s="218">
        <v>-1.25E-7</v>
      </c>
      <c r="F360" s="218">
        <v>-1.25E-7</v>
      </c>
      <c r="G360" s="216" t="s">
        <v>389</v>
      </c>
      <c r="H360" s="25"/>
    </row>
    <row r="361">
      <c r="A361" s="216">
        <v>1.0022101E7</v>
      </c>
      <c r="B361" s="216" t="s">
        <v>2995</v>
      </c>
      <c r="C361" s="216" t="s">
        <v>2959</v>
      </c>
      <c r="D361" s="25"/>
      <c r="E361" s="218">
        <v>-1.25E-7</v>
      </c>
      <c r="F361" s="218">
        <v>-1.25E-7</v>
      </c>
      <c r="G361" s="216" t="s">
        <v>389</v>
      </c>
      <c r="H361" s="25"/>
    </row>
    <row r="362">
      <c r="A362" s="216">
        <v>1.0022102E7</v>
      </c>
      <c r="B362" s="216" t="s">
        <v>2996</v>
      </c>
      <c r="C362" s="216" t="s">
        <v>2959</v>
      </c>
      <c r="D362" s="25"/>
      <c r="E362" s="218">
        <v>-1.25E-7</v>
      </c>
      <c r="F362" s="218">
        <v>-1.25E-7</v>
      </c>
      <c r="G362" s="216" t="s">
        <v>389</v>
      </c>
      <c r="H362" s="25"/>
    </row>
    <row r="363">
      <c r="A363" s="216">
        <v>1.0022103E7</v>
      </c>
      <c r="B363" s="216" t="s">
        <v>2997</v>
      </c>
      <c r="C363" s="216" t="s">
        <v>2959</v>
      </c>
      <c r="D363" s="25"/>
      <c r="E363" s="218">
        <v>-1.25E-7</v>
      </c>
      <c r="F363" s="218">
        <v>-1.25E-7</v>
      </c>
      <c r="G363" s="216" t="s">
        <v>389</v>
      </c>
      <c r="H363" s="25"/>
    </row>
    <row r="364">
      <c r="A364" s="216">
        <v>1.0022104E7</v>
      </c>
      <c r="B364" s="216" t="s">
        <v>2998</v>
      </c>
      <c r="C364" s="216" t="s">
        <v>2959</v>
      </c>
      <c r="D364" s="25"/>
      <c r="E364" s="218">
        <v>-1.25E-7</v>
      </c>
      <c r="F364" s="218">
        <v>-1.25E-7</v>
      </c>
      <c r="G364" s="216" t="s">
        <v>389</v>
      </c>
      <c r="H364" s="25"/>
    </row>
    <row r="365">
      <c r="A365" s="216">
        <v>1.0022105E7</v>
      </c>
      <c r="B365" s="216" t="s">
        <v>2999</v>
      </c>
      <c r="C365" s="216" t="s">
        <v>2959</v>
      </c>
      <c r="D365" s="25"/>
      <c r="E365" s="218">
        <v>-1.25E-7</v>
      </c>
      <c r="F365" s="218">
        <v>-1.25E-7</v>
      </c>
      <c r="G365" s="216" t="s">
        <v>389</v>
      </c>
      <c r="H365" s="25"/>
    </row>
    <row r="366">
      <c r="A366" s="216">
        <v>1.0022106E7</v>
      </c>
      <c r="B366" s="216" t="s">
        <v>3000</v>
      </c>
      <c r="C366" s="216" t="s">
        <v>2959</v>
      </c>
      <c r="D366" s="25"/>
      <c r="E366" s="218">
        <v>-1.25E-7</v>
      </c>
      <c r="F366" s="218">
        <v>-1.25E-7</v>
      </c>
      <c r="G366" s="216" t="s">
        <v>389</v>
      </c>
      <c r="H366" s="25"/>
    </row>
    <row r="367">
      <c r="A367" s="216">
        <v>1.0022107E7</v>
      </c>
      <c r="B367" s="216" t="s">
        <v>3001</v>
      </c>
      <c r="C367" s="216" t="s">
        <v>2959</v>
      </c>
      <c r="D367" s="25"/>
      <c r="E367" s="218">
        <v>-1.25E-7</v>
      </c>
      <c r="F367" s="218">
        <v>-1.25E-7</v>
      </c>
      <c r="G367" s="216" t="s">
        <v>389</v>
      </c>
      <c r="H367" s="25"/>
    </row>
    <row r="368">
      <c r="A368" s="216">
        <v>1.0022108E7</v>
      </c>
      <c r="B368" s="216" t="s">
        <v>3002</v>
      </c>
      <c r="C368" s="216" t="s">
        <v>2959</v>
      </c>
      <c r="D368" s="25"/>
      <c r="E368" s="218">
        <v>-1.25E-7</v>
      </c>
      <c r="F368" s="218">
        <v>-1.25E-7</v>
      </c>
      <c r="G368" s="216" t="s">
        <v>389</v>
      </c>
      <c r="H368" s="25"/>
    </row>
    <row r="369">
      <c r="A369" s="216">
        <v>1.0022109E7</v>
      </c>
      <c r="B369" s="216" t="s">
        <v>3003</v>
      </c>
      <c r="C369" s="216" t="s">
        <v>2959</v>
      </c>
      <c r="D369" s="25"/>
      <c r="E369" s="218">
        <v>-1.25E-7</v>
      </c>
      <c r="F369" s="218">
        <v>-1.25E-7</v>
      </c>
      <c r="G369" s="216" t="s">
        <v>389</v>
      </c>
      <c r="H369" s="25"/>
    </row>
    <row r="370">
      <c r="A370" s="216">
        <v>1.002211E7</v>
      </c>
      <c r="B370" s="216" t="s">
        <v>3004</v>
      </c>
      <c r="C370" s="216" t="s">
        <v>2959</v>
      </c>
      <c r="D370" s="25"/>
      <c r="E370" s="218">
        <v>-1.25E-7</v>
      </c>
      <c r="F370" s="218">
        <v>-1.25E-7</v>
      </c>
      <c r="G370" s="216" t="s">
        <v>389</v>
      </c>
      <c r="H370" s="25"/>
    </row>
    <row r="371">
      <c r="A371" s="216">
        <v>1.0022111E7</v>
      </c>
      <c r="B371" s="216" t="s">
        <v>3005</v>
      </c>
      <c r="C371" s="216" t="s">
        <v>2959</v>
      </c>
      <c r="D371" s="25"/>
      <c r="E371" s="218">
        <v>-1.25E-7</v>
      </c>
      <c r="F371" s="218">
        <v>-1.25E-7</v>
      </c>
      <c r="G371" s="216" t="s">
        <v>389</v>
      </c>
      <c r="H371" s="25"/>
    </row>
    <row r="372">
      <c r="A372" s="216">
        <v>1.0022112E7</v>
      </c>
      <c r="B372" s="216" t="s">
        <v>3006</v>
      </c>
      <c r="C372" s="216" t="s">
        <v>2959</v>
      </c>
      <c r="D372" s="25"/>
      <c r="E372" s="218">
        <v>-1.25E-7</v>
      </c>
      <c r="F372" s="218">
        <v>-1.25E-7</v>
      </c>
      <c r="G372" s="216" t="s">
        <v>389</v>
      </c>
      <c r="H372" s="25"/>
    </row>
    <row r="373">
      <c r="A373" s="216">
        <v>1.0022113E7</v>
      </c>
      <c r="B373" s="216" t="s">
        <v>3007</v>
      </c>
      <c r="C373" s="216" t="s">
        <v>2959</v>
      </c>
      <c r="D373" s="25"/>
      <c r="E373" s="218">
        <v>-1.25E-7</v>
      </c>
      <c r="F373" s="218">
        <v>-1.25E-7</v>
      </c>
      <c r="G373" s="216" t="s">
        <v>389</v>
      </c>
      <c r="H373" s="25"/>
    </row>
    <row r="374">
      <c r="A374" s="216">
        <v>1.0022114E7</v>
      </c>
      <c r="B374" s="216" t="s">
        <v>3008</v>
      </c>
      <c r="C374" s="216" t="s">
        <v>2959</v>
      </c>
      <c r="D374" s="25"/>
      <c r="E374" s="218">
        <v>-1.25E-7</v>
      </c>
      <c r="F374" s="218">
        <v>-1.25E-7</v>
      </c>
      <c r="G374" s="216" t="s">
        <v>389</v>
      </c>
      <c r="H374" s="25"/>
    </row>
    <row r="375">
      <c r="A375" s="216">
        <v>1.0022115E7</v>
      </c>
      <c r="B375" s="216" t="s">
        <v>3009</v>
      </c>
      <c r="C375" s="216" t="s">
        <v>2959</v>
      </c>
      <c r="D375" s="25"/>
      <c r="E375" s="218">
        <v>-1.25E-7</v>
      </c>
      <c r="F375" s="218">
        <v>-1.25E-7</v>
      </c>
      <c r="G375" s="216" t="s">
        <v>389</v>
      </c>
      <c r="H375" s="25"/>
    </row>
    <row r="376">
      <c r="A376" s="216">
        <v>1.0022116E7</v>
      </c>
      <c r="B376" s="216" t="s">
        <v>3010</v>
      </c>
      <c r="C376" s="216" t="s">
        <v>2959</v>
      </c>
      <c r="D376" s="25"/>
      <c r="E376" s="218">
        <v>-1.25E-7</v>
      </c>
      <c r="F376" s="218">
        <v>-1.25E-7</v>
      </c>
      <c r="G376" s="216" t="s">
        <v>389</v>
      </c>
      <c r="H376" s="25"/>
    </row>
    <row r="377">
      <c r="A377" s="216">
        <v>1.0022117E7</v>
      </c>
      <c r="B377" s="216" t="s">
        <v>3011</v>
      </c>
      <c r="C377" s="216" t="s">
        <v>2959</v>
      </c>
      <c r="D377" s="25"/>
      <c r="E377" s="218">
        <v>-1.25E-7</v>
      </c>
      <c r="F377" s="218">
        <v>-1.25E-7</v>
      </c>
      <c r="G377" s="216" t="s">
        <v>389</v>
      </c>
      <c r="H377" s="25"/>
    </row>
    <row r="378">
      <c r="A378" s="216">
        <v>1.0022118E7</v>
      </c>
      <c r="B378" s="216" t="s">
        <v>3012</v>
      </c>
      <c r="C378" s="216" t="s">
        <v>2959</v>
      </c>
      <c r="D378" s="25"/>
      <c r="E378" s="218">
        <v>-1.25E-7</v>
      </c>
      <c r="F378" s="218">
        <v>-1.25E-7</v>
      </c>
      <c r="G378" s="216" t="s">
        <v>389</v>
      </c>
      <c r="H378" s="25"/>
    </row>
    <row r="379">
      <c r="A379" s="216">
        <v>1.0022119E7</v>
      </c>
      <c r="B379" s="216" t="s">
        <v>3013</v>
      </c>
      <c r="C379" s="216" t="s">
        <v>2959</v>
      </c>
      <c r="D379" s="25"/>
      <c r="E379" s="218">
        <v>-1.25E-7</v>
      </c>
      <c r="F379" s="218">
        <v>-1.25E-7</v>
      </c>
      <c r="G379" s="216" t="s">
        <v>389</v>
      </c>
      <c r="H379" s="25"/>
    </row>
    <row r="380">
      <c r="A380" s="216">
        <v>1.002212E7</v>
      </c>
      <c r="B380" s="216" t="s">
        <v>3014</v>
      </c>
      <c r="C380" s="216" t="s">
        <v>2959</v>
      </c>
      <c r="D380" s="25"/>
      <c r="E380" s="218">
        <v>-1.25E-7</v>
      </c>
      <c r="F380" s="218">
        <v>-1.25E-7</v>
      </c>
      <c r="G380" s="216" t="s">
        <v>389</v>
      </c>
      <c r="H380" s="25"/>
    </row>
    <row r="381">
      <c r="A381" s="216">
        <v>1.0022121E7</v>
      </c>
      <c r="B381" s="216" t="s">
        <v>3015</v>
      </c>
      <c r="C381" s="216" t="s">
        <v>2959</v>
      </c>
      <c r="D381" s="25"/>
      <c r="E381" s="218">
        <v>-1.25E-7</v>
      </c>
      <c r="F381" s="218">
        <v>-1.25E-7</v>
      </c>
      <c r="G381" s="216" t="s">
        <v>389</v>
      </c>
      <c r="H381" s="25"/>
    </row>
    <row r="382">
      <c r="A382" s="216">
        <v>1.0022122E7</v>
      </c>
      <c r="B382" s="216" t="s">
        <v>3016</v>
      </c>
      <c r="C382" s="216" t="s">
        <v>2959</v>
      </c>
      <c r="D382" s="25"/>
      <c r="E382" s="218">
        <v>-1.25E-7</v>
      </c>
      <c r="F382" s="218">
        <v>-1.25E-7</v>
      </c>
      <c r="G382" s="216" t="s">
        <v>389</v>
      </c>
      <c r="H382" s="25"/>
    </row>
    <row r="383">
      <c r="A383" s="216">
        <v>1.0022123E7</v>
      </c>
      <c r="B383" s="216" t="s">
        <v>3017</v>
      </c>
      <c r="C383" s="216" t="s">
        <v>2959</v>
      </c>
      <c r="D383" s="25"/>
      <c r="E383" s="218">
        <v>-1.25E-7</v>
      </c>
      <c r="F383" s="218">
        <v>-1.25E-7</v>
      </c>
      <c r="G383" s="216" t="s">
        <v>389</v>
      </c>
      <c r="H383" s="25"/>
    </row>
    <row r="384">
      <c r="A384" s="216">
        <v>1.0022124E7</v>
      </c>
      <c r="B384" s="216" t="s">
        <v>3018</v>
      </c>
      <c r="C384" s="216" t="s">
        <v>2959</v>
      </c>
      <c r="D384" s="25"/>
      <c r="E384" s="218">
        <v>-1.25E-7</v>
      </c>
      <c r="F384" s="218">
        <v>-1.25E-7</v>
      </c>
      <c r="G384" s="216" t="s">
        <v>389</v>
      </c>
      <c r="H384" s="25"/>
    </row>
    <row r="385">
      <c r="A385" s="216">
        <v>1.0022125E7</v>
      </c>
      <c r="B385" s="216" t="s">
        <v>3019</v>
      </c>
      <c r="C385" s="216" t="s">
        <v>2959</v>
      </c>
      <c r="D385" s="25"/>
      <c r="E385" s="218">
        <v>-1.25E-7</v>
      </c>
      <c r="F385" s="218">
        <v>-1.25E-7</v>
      </c>
      <c r="G385" s="216" t="s">
        <v>389</v>
      </c>
      <c r="H385" s="25"/>
    </row>
    <row r="386">
      <c r="A386" s="216">
        <v>1.0022126E7</v>
      </c>
      <c r="B386" s="216" t="s">
        <v>3020</v>
      </c>
      <c r="C386" s="216" t="s">
        <v>2959</v>
      </c>
      <c r="D386" s="25"/>
      <c r="E386" s="218">
        <v>-1.25E-7</v>
      </c>
      <c r="F386" s="218">
        <v>-1.25E-7</v>
      </c>
      <c r="G386" s="216" t="s">
        <v>389</v>
      </c>
      <c r="H386" s="25"/>
    </row>
    <row r="387">
      <c r="A387" s="216">
        <v>1.0022127E7</v>
      </c>
      <c r="B387" s="216" t="s">
        <v>3021</v>
      </c>
      <c r="C387" s="216" t="s">
        <v>2959</v>
      </c>
      <c r="D387" s="25"/>
      <c r="E387" s="218">
        <v>-1.25E-7</v>
      </c>
      <c r="F387" s="218">
        <v>-1.25E-7</v>
      </c>
      <c r="G387" s="216" t="s">
        <v>389</v>
      </c>
      <c r="H387" s="25"/>
    </row>
    <row r="388">
      <c r="A388" s="216">
        <v>1.0022128E7</v>
      </c>
      <c r="B388" s="216" t="s">
        <v>3022</v>
      </c>
      <c r="C388" s="216" t="s">
        <v>2959</v>
      </c>
      <c r="D388" s="25"/>
      <c r="E388" s="218">
        <v>-1.25E-7</v>
      </c>
      <c r="F388" s="218">
        <v>-1.25E-7</v>
      </c>
      <c r="G388" s="216" t="s">
        <v>389</v>
      </c>
      <c r="H388" s="25"/>
    </row>
    <row r="389">
      <c r="A389" s="216">
        <v>1.0022129E7</v>
      </c>
      <c r="B389" s="216" t="s">
        <v>3023</v>
      </c>
      <c r="C389" s="216" t="s">
        <v>2959</v>
      </c>
      <c r="D389" s="25"/>
      <c r="E389" s="218">
        <v>-1.25E-7</v>
      </c>
      <c r="F389" s="218">
        <v>-1.25E-7</v>
      </c>
      <c r="G389" s="216" t="s">
        <v>389</v>
      </c>
      <c r="H389" s="25"/>
    </row>
    <row r="390">
      <c r="A390" s="216">
        <v>1.002213E7</v>
      </c>
      <c r="B390" s="216" t="s">
        <v>3024</v>
      </c>
      <c r="C390" s="216" t="s">
        <v>2959</v>
      </c>
      <c r="D390" s="25"/>
      <c r="E390" s="218">
        <v>-1.25E-7</v>
      </c>
      <c r="F390" s="218">
        <v>-1.25E-7</v>
      </c>
      <c r="G390" s="216" t="s">
        <v>389</v>
      </c>
      <c r="H390" s="25"/>
    </row>
    <row r="391">
      <c r="A391" s="216">
        <v>1.0022131E7</v>
      </c>
      <c r="B391" s="216" t="s">
        <v>3025</v>
      </c>
      <c r="C391" s="216" t="s">
        <v>2959</v>
      </c>
      <c r="D391" s="25"/>
      <c r="E391" s="218">
        <v>-1.25E-7</v>
      </c>
      <c r="F391" s="218">
        <v>-1.25E-7</v>
      </c>
      <c r="G391" s="216" t="s">
        <v>389</v>
      </c>
      <c r="H391" s="25"/>
    </row>
    <row r="392">
      <c r="A392" s="216">
        <v>1.0022132E7</v>
      </c>
      <c r="B392" s="216" t="s">
        <v>3026</v>
      </c>
      <c r="C392" s="216" t="s">
        <v>2959</v>
      </c>
      <c r="D392" s="25"/>
      <c r="E392" s="218">
        <v>-1.25E-7</v>
      </c>
      <c r="F392" s="218">
        <v>-1.25E-7</v>
      </c>
      <c r="G392" s="216" t="s">
        <v>389</v>
      </c>
      <c r="H392" s="25"/>
    </row>
    <row r="393">
      <c r="A393" s="216">
        <v>1.0022133E7</v>
      </c>
      <c r="B393" s="216" t="s">
        <v>3027</v>
      </c>
      <c r="C393" s="216" t="s">
        <v>2959</v>
      </c>
      <c r="D393" s="25"/>
      <c r="E393" s="218">
        <v>-1.25E-7</v>
      </c>
      <c r="F393" s="218">
        <v>-1.25E-7</v>
      </c>
      <c r="G393" s="216" t="s">
        <v>389</v>
      </c>
      <c r="H393" s="25"/>
    </row>
    <row r="394">
      <c r="A394" s="216">
        <v>1.0022134E7</v>
      </c>
      <c r="B394" s="216" t="s">
        <v>3028</v>
      </c>
      <c r="C394" s="216" t="s">
        <v>2959</v>
      </c>
      <c r="D394" s="25"/>
      <c r="E394" s="218">
        <v>-1.25E-7</v>
      </c>
      <c r="F394" s="218">
        <v>-1.25E-7</v>
      </c>
      <c r="G394" s="216" t="s">
        <v>389</v>
      </c>
      <c r="H394" s="25"/>
    </row>
    <row r="395">
      <c r="A395" s="216">
        <v>3.0025001E7</v>
      </c>
      <c r="B395" s="216" t="s">
        <v>3029</v>
      </c>
      <c r="C395" s="216" t="s">
        <v>3030</v>
      </c>
      <c r="D395" s="25"/>
      <c r="E395" s="216" t="s">
        <v>2730</v>
      </c>
      <c r="F395" s="216" t="s">
        <v>2730</v>
      </c>
      <c r="G395" s="217"/>
      <c r="H395" s="25"/>
    </row>
    <row r="396">
      <c r="A396" s="216">
        <v>1.003E7</v>
      </c>
      <c r="B396" s="216" t="s">
        <v>3031</v>
      </c>
      <c r="C396" s="216" t="s">
        <v>3032</v>
      </c>
      <c r="D396" s="25"/>
      <c r="E396" s="216" t="s">
        <v>2730</v>
      </c>
      <c r="F396" s="216" t="s">
        <v>2730</v>
      </c>
      <c r="G396" s="217"/>
      <c r="H396" s="25"/>
    </row>
    <row r="397">
      <c r="A397" s="216">
        <v>1.0030001E7</v>
      </c>
      <c r="B397" s="216" t="s">
        <v>3033</v>
      </c>
      <c r="C397" s="216" t="s">
        <v>3032</v>
      </c>
      <c r="D397" s="25"/>
      <c r="E397" s="216">
        <v>12292.0</v>
      </c>
      <c r="F397" s="216">
        <v>12292.0</v>
      </c>
      <c r="G397" s="216" t="s">
        <v>3034</v>
      </c>
      <c r="H397" s="25"/>
    </row>
    <row r="398">
      <c r="A398" s="216">
        <v>1.0031E7</v>
      </c>
      <c r="B398" s="216" t="s">
        <v>3035</v>
      </c>
      <c r="C398" s="216" t="s">
        <v>3036</v>
      </c>
      <c r="D398" s="25"/>
      <c r="E398" s="216" t="s">
        <v>2730</v>
      </c>
      <c r="F398" s="216" t="s">
        <v>2730</v>
      </c>
      <c r="G398" s="217"/>
      <c r="H398" s="25"/>
    </row>
    <row r="399">
      <c r="A399" s="216">
        <v>1.0032E7</v>
      </c>
      <c r="B399" s="216" t="s">
        <v>3037</v>
      </c>
      <c r="C399" s="216" t="s">
        <v>3038</v>
      </c>
      <c r="D399" s="25"/>
      <c r="E399" s="216" t="s">
        <v>2730</v>
      </c>
      <c r="F399" s="216" t="s">
        <v>2730</v>
      </c>
      <c r="G399" s="217"/>
      <c r="H399" s="25"/>
    </row>
    <row r="400">
      <c r="A400" s="216">
        <v>1.0601E7</v>
      </c>
      <c r="B400" s="216" t="s">
        <v>3039</v>
      </c>
      <c r="C400" s="216" t="s">
        <v>3040</v>
      </c>
      <c r="D400" s="25"/>
      <c r="E400" s="216" t="s">
        <v>2730</v>
      </c>
      <c r="F400" s="216" t="s">
        <v>2730</v>
      </c>
      <c r="G400" s="217"/>
      <c r="H400" s="25"/>
    </row>
    <row r="401">
      <c r="A401" s="216">
        <v>1.06611E7</v>
      </c>
      <c r="B401" s="216" t="s">
        <v>3041</v>
      </c>
      <c r="C401" s="216" t="s">
        <v>3040</v>
      </c>
      <c r="D401" s="25"/>
      <c r="E401" s="216" t="s">
        <v>2730</v>
      </c>
      <c r="F401" s="216" t="s">
        <v>2730</v>
      </c>
      <c r="G401" s="217"/>
      <c r="H401" s="25"/>
    </row>
    <row r="402">
      <c r="A402" s="216">
        <v>1.06011E7</v>
      </c>
      <c r="B402" s="216" t="s">
        <v>3039</v>
      </c>
      <c r="C402" s="216" t="s">
        <v>3040</v>
      </c>
      <c r="D402" s="25"/>
      <c r="E402" s="216" t="s">
        <v>2730</v>
      </c>
      <c r="F402" s="216" t="s">
        <v>2730</v>
      </c>
      <c r="G402" s="217"/>
      <c r="H402" s="25"/>
    </row>
    <row r="403">
      <c r="A403" s="216">
        <v>1.06612E7</v>
      </c>
      <c r="B403" s="216" t="s">
        <v>3041</v>
      </c>
      <c r="C403" s="216" t="s">
        <v>3040</v>
      </c>
      <c r="D403" s="25"/>
      <c r="E403" s="216" t="s">
        <v>2730</v>
      </c>
      <c r="F403" s="216" t="s">
        <v>2730</v>
      </c>
      <c r="G403" s="217"/>
      <c r="H403" s="25"/>
    </row>
    <row r="404">
      <c r="A404" s="216">
        <v>1.06012E7</v>
      </c>
      <c r="B404" s="216" t="s">
        <v>3039</v>
      </c>
      <c r="C404" s="216" t="s">
        <v>3040</v>
      </c>
      <c r="D404" s="25"/>
      <c r="E404" s="216" t="s">
        <v>2730</v>
      </c>
      <c r="F404" s="216" t="s">
        <v>2730</v>
      </c>
      <c r="G404" s="217"/>
      <c r="H404" s="25"/>
    </row>
    <row r="405">
      <c r="A405" s="216">
        <v>1.06613E7</v>
      </c>
      <c r="B405" s="216" t="s">
        <v>3041</v>
      </c>
      <c r="C405" s="216" t="s">
        <v>3040</v>
      </c>
      <c r="D405" s="25"/>
      <c r="E405" s="216" t="s">
        <v>2730</v>
      </c>
      <c r="F405" s="216" t="s">
        <v>2730</v>
      </c>
      <c r="G405" s="217"/>
      <c r="H405" s="25"/>
    </row>
    <row r="406">
      <c r="A406" s="216">
        <v>1.06013E7</v>
      </c>
      <c r="B406" s="216" t="s">
        <v>3039</v>
      </c>
      <c r="C406" s="216" t="s">
        <v>3040</v>
      </c>
      <c r="D406" s="25"/>
      <c r="E406" s="216" t="s">
        <v>2730</v>
      </c>
      <c r="F406" s="216" t="s">
        <v>2730</v>
      </c>
      <c r="G406" s="217"/>
      <c r="H406" s="25"/>
    </row>
    <row r="407">
      <c r="A407" s="216">
        <v>1.06E7</v>
      </c>
      <c r="B407" s="216" t="s">
        <v>3042</v>
      </c>
      <c r="C407" s="216" t="s">
        <v>3040</v>
      </c>
      <c r="D407" s="25"/>
      <c r="E407" s="216">
        <v>-1.0</v>
      </c>
      <c r="F407" s="216">
        <v>-1.0</v>
      </c>
      <c r="G407" s="217"/>
      <c r="H407" s="25"/>
    </row>
    <row r="408">
      <c r="A408" s="216">
        <v>1.0665E7</v>
      </c>
      <c r="B408" s="216" t="s">
        <v>3043</v>
      </c>
      <c r="C408" s="216" t="s">
        <v>3040</v>
      </c>
      <c r="D408" s="25"/>
      <c r="E408" s="216">
        <v>0.0</v>
      </c>
      <c r="F408" s="216">
        <v>0.0</v>
      </c>
      <c r="G408" s="217"/>
      <c r="H408" s="25"/>
    </row>
    <row r="409">
      <c r="A409" s="216">
        <v>1.062001E7</v>
      </c>
      <c r="B409" s="216" t="s">
        <v>3044</v>
      </c>
      <c r="C409" s="216" t="s">
        <v>3040</v>
      </c>
      <c r="D409" s="25"/>
      <c r="E409" s="216">
        <v>-65536.0</v>
      </c>
      <c r="F409" s="216">
        <v>-65536.0</v>
      </c>
      <c r="G409" s="217"/>
      <c r="H409" s="25"/>
    </row>
    <row r="410">
      <c r="A410" s="216">
        <v>1.0620011E7</v>
      </c>
      <c r="B410" s="216" t="s">
        <v>3045</v>
      </c>
      <c r="C410" s="216" t="s">
        <v>3040</v>
      </c>
      <c r="D410" s="25"/>
      <c r="E410" s="216">
        <v>-65536.0</v>
      </c>
      <c r="F410" s="216">
        <v>-65536.0</v>
      </c>
      <c r="G410" s="217"/>
      <c r="H410" s="25"/>
    </row>
    <row r="411">
      <c r="A411" s="216">
        <v>1.0620012E7</v>
      </c>
      <c r="B411" s="216" t="s">
        <v>3046</v>
      </c>
      <c r="C411" s="216" t="s">
        <v>3040</v>
      </c>
      <c r="D411" s="25"/>
      <c r="E411" s="216">
        <v>-65536.0</v>
      </c>
      <c r="F411" s="216">
        <v>-65536.0</v>
      </c>
      <c r="G411" s="217"/>
      <c r="H411" s="25"/>
    </row>
    <row r="412">
      <c r="A412" s="216">
        <v>1.0620013E7</v>
      </c>
      <c r="B412" s="216" t="s">
        <v>3047</v>
      </c>
      <c r="C412" s="216" t="s">
        <v>3040</v>
      </c>
      <c r="D412" s="25"/>
      <c r="E412" s="216">
        <v>-65536.0</v>
      </c>
      <c r="F412" s="216">
        <v>-65536.0</v>
      </c>
      <c r="G412" s="217"/>
      <c r="H412" s="25"/>
    </row>
    <row r="413">
      <c r="A413" s="216">
        <v>1.0620014E7</v>
      </c>
      <c r="B413" s="216" t="s">
        <v>3048</v>
      </c>
      <c r="C413" s="216" t="s">
        <v>3040</v>
      </c>
      <c r="D413" s="25"/>
      <c r="E413" s="216">
        <v>-65536.0</v>
      </c>
      <c r="F413" s="216">
        <v>-65536.0</v>
      </c>
      <c r="G413" s="217"/>
      <c r="H413" s="25"/>
    </row>
    <row r="414">
      <c r="A414" s="216">
        <v>1.0620015E7</v>
      </c>
      <c r="B414" s="216" t="s">
        <v>3049</v>
      </c>
      <c r="C414" s="216" t="s">
        <v>3040</v>
      </c>
      <c r="D414" s="25"/>
      <c r="E414" s="216">
        <v>-65536.0</v>
      </c>
      <c r="F414" s="216">
        <v>-65536.0</v>
      </c>
      <c r="G414" s="217"/>
      <c r="H414" s="25"/>
    </row>
    <row r="415">
      <c r="A415" s="216">
        <v>1.0620006E7</v>
      </c>
      <c r="B415" s="216" t="s">
        <v>3050</v>
      </c>
      <c r="C415" s="216" t="s">
        <v>3040</v>
      </c>
      <c r="D415" s="25"/>
      <c r="E415" s="216">
        <v>-65536.0</v>
      </c>
      <c r="F415" s="216">
        <v>-65536.0</v>
      </c>
      <c r="G415" s="217"/>
      <c r="H415" s="25"/>
    </row>
    <row r="416">
      <c r="A416" s="216">
        <v>1.0620017E7</v>
      </c>
      <c r="B416" s="216" t="s">
        <v>3051</v>
      </c>
      <c r="C416" s="216" t="s">
        <v>3040</v>
      </c>
      <c r="D416" s="25"/>
      <c r="E416" s="216">
        <v>-65536.0</v>
      </c>
      <c r="F416" s="216">
        <v>-65536.0</v>
      </c>
      <c r="G416" s="217"/>
      <c r="H416" s="25"/>
    </row>
    <row r="417">
      <c r="A417" s="216">
        <v>1.0620018E7</v>
      </c>
      <c r="B417" s="216" t="s">
        <v>3052</v>
      </c>
      <c r="C417" s="216" t="s">
        <v>3040</v>
      </c>
      <c r="D417" s="25"/>
      <c r="E417" s="216">
        <v>-65536.0</v>
      </c>
      <c r="F417" s="216">
        <v>-65536.0</v>
      </c>
      <c r="G417" s="217"/>
      <c r="H417" s="25"/>
    </row>
    <row r="418">
      <c r="A418" s="216">
        <v>1.0620019E7</v>
      </c>
      <c r="B418" s="216" t="s">
        <v>3053</v>
      </c>
      <c r="C418" s="216" t="s">
        <v>3040</v>
      </c>
      <c r="D418" s="25"/>
      <c r="E418" s="216">
        <v>-65536.0</v>
      </c>
      <c r="F418" s="216">
        <v>-65536.0</v>
      </c>
      <c r="G418" s="217"/>
      <c r="H418" s="25"/>
    </row>
    <row r="419">
      <c r="A419" s="216">
        <v>1.062002E7</v>
      </c>
      <c r="B419" s="216" t="s">
        <v>3054</v>
      </c>
      <c r="C419" s="216" t="s">
        <v>3040</v>
      </c>
      <c r="D419" s="25"/>
      <c r="E419" s="216">
        <v>-65536.0</v>
      </c>
      <c r="F419" s="216">
        <v>-65536.0</v>
      </c>
      <c r="G419" s="217"/>
      <c r="H419" s="25"/>
    </row>
    <row r="420">
      <c r="A420" s="216">
        <v>1.0620021E7</v>
      </c>
      <c r="B420" s="216" t="s">
        <v>3055</v>
      </c>
      <c r="C420" s="216" t="s">
        <v>3040</v>
      </c>
      <c r="D420" s="25"/>
      <c r="E420" s="216">
        <v>-65536.0</v>
      </c>
      <c r="F420" s="216">
        <v>-65536.0</v>
      </c>
      <c r="G420" s="217"/>
      <c r="H420" s="25"/>
    </row>
    <row r="421">
      <c r="A421" s="216">
        <v>1.0620022E7</v>
      </c>
      <c r="B421" s="216" t="s">
        <v>3056</v>
      </c>
      <c r="C421" s="216" t="s">
        <v>3040</v>
      </c>
      <c r="D421" s="25"/>
      <c r="E421" s="216">
        <v>-65536.0</v>
      </c>
      <c r="F421" s="216">
        <v>-65536.0</v>
      </c>
      <c r="G421" s="217"/>
      <c r="H421" s="25"/>
    </row>
    <row r="422">
      <c r="A422" s="216">
        <v>1.0620023E7</v>
      </c>
      <c r="B422" s="216" t="s">
        <v>3057</v>
      </c>
      <c r="C422" s="216" t="s">
        <v>3040</v>
      </c>
      <c r="D422" s="25"/>
      <c r="E422" s="216">
        <v>-65536.0</v>
      </c>
      <c r="F422" s="216">
        <v>-65536.0</v>
      </c>
      <c r="G422" s="217"/>
      <c r="H422" s="25"/>
    </row>
    <row r="423">
      <c r="A423" s="216">
        <v>1.0620024E7</v>
      </c>
      <c r="B423" s="216" t="s">
        <v>3058</v>
      </c>
      <c r="C423" s="216" t="s">
        <v>3040</v>
      </c>
      <c r="D423" s="25"/>
      <c r="E423" s="216">
        <v>-65536.0</v>
      </c>
      <c r="F423" s="216">
        <v>-65536.0</v>
      </c>
      <c r="G423" s="217"/>
      <c r="H423" s="25"/>
    </row>
    <row r="424">
      <c r="A424" s="216">
        <v>1.0620025E7</v>
      </c>
      <c r="B424" s="216" t="s">
        <v>3059</v>
      </c>
      <c r="C424" s="216" t="s">
        <v>3040</v>
      </c>
      <c r="D424" s="25"/>
      <c r="E424" s="216">
        <v>-65536.0</v>
      </c>
      <c r="F424" s="216">
        <v>-65536.0</v>
      </c>
      <c r="G424" s="217"/>
      <c r="H424" s="25"/>
    </row>
    <row r="425">
      <c r="A425" s="216">
        <v>1.0620026E7</v>
      </c>
      <c r="B425" s="216" t="s">
        <v>3060</v>
      </c>
      <c r="C425" s="216" t="s">
        <v>3040</v>
      </c>
      <c r="D425" s="25"/>
      <c r="E425" s="216">
        <v>-65536.0</v>
      </c>
      <c r="F425" s="216">
        <v>-65536.0</v>
      </c>
      <c r="G425" s="217"/>
      <c r="H425" s="25"/>
    </row>
    <row r="426">
      <c r="A426" s="216">
        <v>1.0620027E7</v>
      </c>
      <c r="B426" s="216" t="s">
        <v>3061</v>
      </c>
      <c r="C426" s="216" t="s">
        <v>3040</v>
      </c>
      <c r="D426" s="25"/>
      <c r="E426" s="216">
        <v>-65536.0</v>
      </c>
      <c r="F426" s="216">
        <v>-65536.0</v>
      </c>
      <c r="G426" s="217"/>
      <c r="H426" s="25"/>
    </row>
    <row r="427">
      <c r="A427" s="216">
        <v>1.0620028E7</v>
      </c>
      <c r="B427" s="216" t="s">
        <v>3062</v>
      </c>
      <c r="C427" s="216" t="s">
        <v>3040</v>
      </c>
      <c r="D427" s="25"/>
      <c r="E427" s="216">
        <v>-65536.0</v>
      </c>
      <c r="F427" s="216">
        <v>-65536.0</v>
      </c>
      <c r="G427" s="217"/>
      <c r="H427" s="25"/>
    </row>
    <row r="428">
      <c r="A428" s="216">
        <v>1.0620029E7</v>
      </c>
      <c r="B428" s="216" t="s">
        <v>3063</v>
      </c>
      <c r="C428" s="216" t="s">
        <v>3040</v>
      </c>
      <c r="D428" s="25"/>
      <c r="E428" s="216">
        <v>-65536.0</v>
      </c>
      <c r="F428" s="216">
        <v>-65536.0</v>
      </c>
      <c r="G428" s="217"/>
      <c r="H428" s="25"/>
    </row>
    <row r="429">
      <c r="A429" s="216">
        <v>1.062003E7</v>
      </c>
      <c r="B429" s="216" t="s">
        <v>3064</v>
      </c>
      <c r="C429" s="216" t="s">
        <v>3040</v>
      </c>
      <c r="D429" s="25"/>
      <c r="E429" s="216">
        <v>-65536.0</v>
      </c>
      <c r="F429" s="216">
        <v>-65536.0</v>
      </c>
      <c r="G429" s="217"/>
      <c r="H429" s="25"/>
    </row>
    <row r="430">
      <c r="A430" s="216">
        <v>1.0620031E7</v>
      </c>
      <c r="B430" s="216" t="s">
        <v>3065</v>
      </c>
      <c r="C430" s="216" t="s">
        <v>3040</v>
      </c>
      <c r="D430" s="25"/>
      <c r="E430" s="216">
        <v>-65536.0</v>
      </c>
      <c r="F430" s="216">
        <v>-65536.0</v>
      </c>
      <c r="G430" s="217"/>
      <c r="H430" s="25"/>
    </row>
    <row r="431">
      <c r="A431" s="216">
        <v>1.0630001E7</v>
      </c>
      <c r="B431" s="216" t="s">
        <v>3066</v>
      </c>
      <c r="C431" s="216" t="s">
        <v>3040</v>
      </c>
      <c r="D431" s="25"/>
      <c r="E431" s="216">
        <v>-65536.0</v>
      </c>
      <c r="F431" s="216">
        <v>-65536.0</v>
      </c>
      <c r="G431" s="217"/>
      <c r="H431" s="25"/>
    </row>
    <row r="432">
      <c r="A432" s="216">
        <v>1.062004E7</v>
      </c>
      <c r="B432" s="216" t="s">
        <v>3067</v>
      </c>
      <c r="C432" s="216" t="s">
        <v>3040</v>
      </c>
      <c r="D432" s="25"/>
      <c r="E432" s="216">
        <v>-65536.0</v>
      </c>
      <c r="F432" s="216">
        <v>-65536.0</v>
      </c>
      <c r="G432" s="217"/>
      <c r="H432" s="25"/>
    </row>
    <row r="433">
      <c r="A433" s="216">
        <v>1.0620041E7</v>
      </c>
      <c r="B433" s="216" t="s">
        <v>3068</v>
      </c>
      <c r="C433" s="216" t="s">
        <v>3040</v>
      </c>
      <c r="D433" s="25"/>
      <c r="E433" s="216">
        <v>-65536.0</v>
      </c>
      <c r="F433" s="216">
        <v>-65536.0</v>
      </c>
      <c r="G433" s="217"/>
      <c r="H433" s="25"/>
    </row>
    <row r="434">
      <c r="A434" s="216">
        <v>1.0620042E7</v>
      </c>
      <c r="B434" s="216" t="s">
        <v>3069</v>
      </c>
      <c r="C434" s="216" t="s">
        <v>3040</v>
      </c>
      <c r="D434" s="25"/>
      <c r="E434" s="216">
        <v>-65536.0</v>
      </c>
      <c r="F434" s="216">
        <v>-65536.0</v>
      </c>
      <c r="G434" s="217"/>
      <c r="H434" s="25"/>
    </row>
    <row r="435">
      <c r="A435" s="216">
        <v>1.0620043E7</v>
      </c>
      <c r="B435" s="216" t="s">
        <v>3070</v>
      </c>
      <c r="C435" s="216" t="s">
        <v>3040</v>
      </c>
      <c r="D435" s="25"/>
      <c r="E435" s="216">
        <v>-65536.0</v>
      </c>
      <c r="F435" s="216">
        <v>-65536.0</v>
      </c>
      <c r="G435" s="217"/>
      <c r="H435" s="25"/>
    </row>
    <row r="436">
      <c r="A436" s="216">
        <v>1.0620044E7</v>
      </c>
      <c r="B436" s="216" t="s">
        <v>3071</v>
      </c>
      <c r="C436" s="216" t="s">
        <v>3040</v>
      </c>
      <c r="D436" s="25"/>
      <c r="E436" s="216">
        <v>-65536.0</v>
      </c>
      <c r="F436" s="216">
        <v>-65536.0</v>
      </c>
      <c r="G436" s="217"/>
      <c r="H436" s="25"/>
    </row>
    <row r="437">
      <c r="A437" s="216">
        <v>1.0620045E7</v>
      </c>
      <c r="B437" s="216" t="s">
        <v>3072</v>
      </c>
      <c r="C437" s="216" t="s">
        <v>3040</v>
      </c>
      <c r="D437" s="25"/>
      <c r="E437" s="216">
        <v>-65536.0</v>
      </c>
      <c r="F437" s="216">
        <v>-65536.0</v>
      </c>
      <c r="G437" s="217"/>
      <c r="H437" s="25"/>
    </row>
    <row r="438">
      <c r="A438" s="216">
        <v>1.0620046E7</v>
      </c>
      <c r="B438" s="216" t="s">
        <v>3073</v>
      </c>
      <c r="C438" s="216" t="s">
        <v>3040</v>
      </c>
      <c r="D438" s="25"/>
      <c r="E438" s="216">
        <v>-65536.0</v>
      </c>
      <c r="F438" s="216">
        <v>-65536.0</v>
      </c>
      <c r="G438" s="217"/>
      <c r="H438" s="25"/>
    </row>
    <row r="439">
      <c r="A439" s="216">
        <v>1.0620047E7</v>
      </c>
      <c r="B439" s="216" t="s">
        <v>3074</v>
      </c>
      <c r="C439" s="216" t="s">
        <v>3040</v>
      </c>
      <c r="D439" s="25"/>
      <c r="E439" s="216">
        <v>-65536.0</v>
      </c>
      <c r="F439" s="216">
        <v>-65536.0</v>
      </c>
      <c r="G439" s="217"/>
      <c r="H439" s="25"/>
    </row>
    <row r="440">
      <c r="A440" s="216">
        <v>1.0620048E7</v>
      </c>
      <c r="B440" s="216" t="s">
        <v>3075</v>
      </c>
      <c r="C440" s="216" t="s">
        <v>3040</v>
      </c>
      <c r="D440" s="25"/>
      <c r="E440" s="216">
        <v>-65536.0</v>
      </c>
      <c r="F440" s="216">
        <v>-65536.0</v>
      </c>
      <c r="G440" s="217"/>
      <c r="H440" s="25"/>
    </row>
    <row r="441">
      <c r="A441" s="216">
        <v>1.0620049E7</v>
      </c>
      <c r="B441" s="216" t="s">
        <v>3076</v>
      </c>
      <c r="C441" s="216" t="s">
        <v>3040</v>
      </c>
      <c r="D441" s="25"/>
      <c r="E441" s="216">
        <v>-65536.0</v>
      </c>
      <c r="F441" s="216">
        <v>-65536.0</v>
      </c>
      <c r="G441" s="217"/>
      <c r="H441" s="25"/>
    </row>
    <row r="442">
      <c r="A442" s="216">
        <v>1.062005E7</v>
      </c>
      <c r="B442" s="216" t="s">
        <v>3077</v>
      </c>
      <c r="C442" s="216" t="s">
        <v>3040</v>
      </c>
      <c r="D442" s="25"/>
      <c r="E442" s="216">
        <v>-65536.0</v>
      </c>
      <c r="F442" s="216">
        <v>-65536.0</v>
      </c>
      <c r="G442" s="217"/>
      <c r="H442" s="25"/>
    </row>
    <row r="443">
      <c r="A443" s="216">
        <v>1.0620051E7</v>
      </c>
      <c r="B443" s="216" t="s">
        <v>3078</v>
      </c>
      <c r="C443" s="216" t="s">
        <v>3040</v>
      </c>
      <c r="D443" s="25"/>
      <c r="E443" s="216">
        <v>-65536.0</v>
      </c>
      <c r="F443" s="216">
        <v>-65536.0</v>
      </c>
      <c r="G443" s="217"/>
      <c r="H443" s="25"/>
    </row>
    <row r="444">
      <c r="A444" s="216">
        <v>1.0620052E7</v>
      </c>
      <c r="B444" s="216" t="s">
        <v>3079</v>
      </c>
      <c r="C444" s="216" t="s">
        <v>3040</v>
      </c>
      <c r="D444" s="25"/>
      <c r="E444" s="216">
        <v>-65536.0</v>
      </c>
      <c r="F444" s="216">
        <v>-65536.0</v>
      </c>
      <c r="G444" s="217"/>
      <c r="H444" s="25"/>
    </row>
    <row r="445">
      <c r="A445" s="216">
        <v>1.0620053E7</v>
      </c>
      <c r="B445" s="216" t="s">
        <v>3080</v>
      </c>
      <c r="C445" s="216" t="s">
        <v>3040</v>
      </c>
      <c r="D445" s="25"/>
      <c r="E445" s="216">
        <v>-65536.0</v>
      </c>
      <c r="F445" s="216">
        <v>-65536.0</v>
      </c>
      <c r="G445" s="217"/>
      <c r="H445" s="25"/>
    </row>
    <row r="446">
      <c r="A446" s="216">
        <v>1.0620054E7</v>
      </c>
      <c r="B446" s="216" t="s">
        <v>3081</v>
      </c>
      <c r="C446" s="216" t="s">
        <v>3040</v>
      </c>
      <c r="D446" s="25"/>
      <c r="E446" s="216">
        <v>-65536.0</v>
      </c>
      <c r="F446" s="216">
        <v>-65536.0</v>
      </c>
      <c r="G446" s="217"/>
      <c r="H446" s="25"/>
    </row>
    <row r="447">
      <c r="A447" s="216">
        <v>1.0620055E7</v>
      </c>
      <c r="B447" s="216" t="s">
        <v>3082</v>
      </c>
      <c r="C447" s="216" t="s">
        <v>3040</v>
      </c>
      <c r="D447" s="25"/>
      <c r="E447" s="216">
        <v>-65536.0</v>
      </c>
      <c r="F447" s="216">
        <v>-65536.0</v>
      </c>
      <c r="G447" s="217"/>
      <c r="H447" s="25"/>
    </row>
    <row r="448">
      <c r="A448" s="216">
        <v>1.0620056E7</v>
      </c>
      <c r="B448" s="216" t="s">
        <v>3083</v>
      </c>
      <c r="C448" s="216" t="s">
        <v>3040</v>
      </c>
      <c r="D448" s="25"/>
      <c r="E448" s="216">
        <v>-65536.0</v>
      </c>
      <c r="F448" s="216">
        <v>-65536.0</v>
      </c>
      <c r="G448" s="217"/>
      <c r="H448" s="25"/>
    </row>
    <row r="449">
      <c r="A449" s="216">
        <v>1.0620057E7</v>
      </c>
      <c r="B449" s="216" t="s">
        <v>3084</v>
      </c>
      <c r="C449" s="216" t="s">
        <v>3040</v>
      </c>
      <c r="D449" s="25"/>
      <c r="E449" s="216">
        <v>-65536.0</v>
      </c>
      <c r="F449" s="216">
        <v>-65536.0</v>
      </c>
      <c r="G449" s="217"/>
      <c r="H449" s="25"/>
    </row>
    <row r="450">
      <c r="A450" s="216">
        <v>1.0620058E7</v>
      </c>
      <c r="B450" s="216" t="s">
        <v>3085</v>
      </c>
      <c r="C450" s="216" t="s">
        <v>3040</v>
      </c>
      <c r="D450" s="25"/>
      <c r="E450" s="216">
        <v>-65536.0</v>
      </c>
      <c r="F450" s="216">
        <v>-65536.0</v>
      </c>
      <c r="G450" s="217"/>
      <c r="H450" s="25"/>
    </row>
    <row r="451">
      <c r="A451" s="216">
        <v>1.0620059E7</v>
      </c>
      <c r="B451" s="216" t="s">
        <v>3086</v>
      </c>
      <c r="C451" s="216" t="s">
        <v>3040</v>
      </c>
      <c r="D451" s="25"/>
      <c r="E451" s="216">
        <v>-65536.0</v>
      </c>
      <c r="F451" s="216">
        <v>-65536.0</v>
      </c>
      <c r="G451" s="217"/>
      <c r="H451" s="25"/>
    </row>
    <row r="452">
      <c r="A452" s="216">
        <v>1.062006E7</v>
      </c>
      <c r="B452" s="216" t="s">
        <v>3087</v>
      </c>
      <c r="C452" s="216" t="s">
        <v>3040</v>
      </c>
      <c r="D452" s="25"/>
      <c r="E452" s="216">
        <v>-65536.0</v>
      </c>
      <c r="F452" s="216">
        <v>-65536.0</v>
      </c>
      <c r="G452" s="217"/>
      <c r="H452" s="25"/>
    </row>
    <row r="453">
      <c r="A453" s="216">
        <v>1.0620061E7</v>
      </c>
      <c r="B453" s="216" t="s">
        <v>3088</v>
      </c>
      <c r="C453" s="216" t="s">
        <v>3040</v>
      </c>
      <c r="D453" s="25"/>
      <c r="E453" s="216">
        <v>-65536.0</v>
      </c>
      <c r="F453" s="216">
        <v>-65536.0</v>
      </c>
      <c r="G453" s="217"/>
      <c r="H453" s="25"/>
    </row>
    <row r="454">
      <c r="A454" s="216">
        <v>1.0630002E7</v>
      </c>
      <c r="B454" s="216" t="s">
        <v>3089</v>
      </c>
      <c r="C454" s="216" t="s">
        <v>3040</v>
      </c>
      <c r="D454" s="25"/>
      <c r="E454" s="216">
        <v>-65536.0</v>
      </c>
      <c r="F454" s="216">
        <v>-65536.0</v>
      </c>
      <c r="G454" s="217"/>
      <c r="H454" s="25"/>
    </row>
    <row r="455">
      <c r="A455" s="216">
        <v>1.062007E7</v>
      </c>
      <c r="B455" s="216" t="s">
        <v>3090</v>
      </c>
      <c r="C455" s="216" t="s">
        <v>3040</v>
      </c>
      <c r="D455" s="25"/>
      <c r="E455" s="216">
        <v>1.0</v>
      </c>
      <c r="F455" s="216">
        <v>1.0</v>
      </c>
      <c r="G455" s="217"/>
      <c r="H455" s="25"/>
    </row>
    <row r="456">
      <c r="A456" s="216">
        <v>1.0620071E7</v>
      </c>
      <c r="B456" s="216" t="s">
        <v>3091</v>
      </c>
      <c r="C456" s="216" t="s">
        <v>3040</v>
      </c>
      <c r="D456" s="25"/>
      <c r="E456" s="216">
        <v>1.0</v>
      </c>
      <c r="F456" s="216">
        <v>1.0</v>
      </c>
      <c r="G456" s="217"/>
      <c r="H456" s="25"/>
    </row>
    <row r="457">
      <c r="A457" s="216">
        <v>1.0620072E7</v>
      </c>
      <c r="B457" s="216" t="s">
        <v>3092</v>
      </c>
      <c r="C457" s="216" t="s">
        <v>3040</v>
      </c>
      <c r="D457" s="25"/>
      <c r="E457" s="216">
        <v>1.0</v>
      </c>
      <c r="F457" s="216">
        <v>1.0</v>
      </c>
      <c r="G457" s="217"/>
      <c r="H457" s="25"/>
    </row>
    <row r="458">
      <c r="A458" s="216">
        <v>1.0620073E7</v>
      </c>
      <c r="B458" s="216" t="s">
        <v>3093</v>
      </c>
      <c r="C458" s="216" t="s">
        <v>3040</v>
      </c>
      <c r="D458" s="25"/>
      <c r="E458" s="216">
        <v>1.0</v>
      </c>
      <c r="F458" s="216">
        <v>1.0</v>
      </c>
      <c r="G458" s="217"/>
      <c r="H458" s="25"/>
    </row>
    <row r="459">
      <c r="A459" s="216">
        <v>1.0620074E7</v>
      </c>
      <c r="B459" s="216" t="s">
        <v>3094</v>
      </c>
      <c r="C459" s="216" t="s">
        <v>3040</v>
      </c>
      <c r="D459" s="25"/>
      <c r="E459" s="216">
        <v>1.0</v>
      </c>
      <c r="F459" s="216">
        <v>1.0</v>
      </c>
      <c r="G459" s="217"/>
      <c r="H459" s="25"/>
    </row>
    <row r="460">
      <c r="A460" s="216">
        <v>1.0620075E7</v>
      </c>
      <c r="B460" s="216" t="s">
        <v>3095</v>
      </c>
      <c r="C460" s="216" t="s">
        <v>3040</v>
      </c>
      <c r="D460" s="25"/>
      <c r="E460" s="216">
        <v>1.0</v>
      </c>
      <c r="F460" s="216">
        <v>1.0</v>
      </c>
      <c r="G460" s="217"/>
      <c r="H460" s="25"/>
    </row>
    <row r="461">
      <c r="A461" s="216">
        <v>1.0620076E7</v>
      </c>
      <c r="B461" s="216" t="s">
        <v>3096</v>
      </c>
      <c r="C461" s="216" t="s">
        <v>3040</v>
      </c>
      <c r="D461" s="25"/>
      <c r="E461" s="216">
        <v>1.0</v>
      </c>
      <c r="F461" s="216">
        <v>1.0</v>
      </c>
      <c r="G461" s="217"/>
      <c r="H461" s="25"/>
    </row>
    <row r="462">
      <c r="A462" s="216">
        <v>1.0620077E7</v>
      </c>
      <c r="B462" s="216" t="s">
        <v>3097</v>
      </c>
      <c r="C462" s="216" t="s">
        <v>3040</v>
      </c>
      <c r="D462" s="25"/>
      <c r="E462" s="216">
        <v>1.0</v>
      </c>
      <c r="F462" s="216">
        <v>1.0</v>
      </c>
      <c r="G462" s="217"/>
      <c r="H462" s="25"/>
    </row>
    <row r="463">
      <c r="A463" s="216">
        <v>1.0620078E7</v>
      </c>
      <c r="B463" s="216" t="s">
        <v>3098</v>
      </c>
      <c r="C463" s="216" t="s">
        <v>3040</v>
      </c>
      <c r="D463" s="25"/>
      <c r="E463" s="216">
        <v>1.0</v>
      </c>
      <c r="F463" s="216">
        <v>1.0</v>
      </c>
      <c r="G463" s="217"/>
      <c r="H463" s="25"/>
    </row>
    <row r="464">
      <c r="A464" s="216">
        <v>1.0620079E7</v>
      </c>
      <c r="B464" s="216" t="s">
        <v>3099</v>
      </c>
      <c r="C464" s="216" t="s">
        <v>3040</v>
      </c>
      <c r="D464" s="25"/>
      <c r="E464" s="216">
        <v>1.0</v>
      </c>
      <c r="F464" s="216">
        <v>1.0</v>
      </c>
      <c r="G464" s="217"/>
      <c r="H464" s="25"/>
    </row>
    <row r="465">
      <c r="A465" s="216">
        <v>1.062008E7</v>
      </c>
      <c r="B465" s="216" t="s">
        <v>3100</v>
      </c>
      <c r="C465" s="216" t="s">
        <v>3040</v>
      </c>
      <c r="D465" s="25"/>
      <c r="E465" s="216">
        <v>1.0</v>
      </c>
      <c r="F465" s="216">
        <v>1.0</v>
      </c>
      <c r="G465" s="217"/>
      <c r="H465" s="25"/>
    </row>
    <row r="466">
      <c r="A466" s="216">
        <v>1.0620081E7</v>
      </c>
      <c r="B466" s="216" t="s">
        <v>3101</v>
      </c>
      <c r="C466" s="216" t="s">
        <v>3040</v>
      </c>
      <c r="D466" s="25"/>
      <c r="E466" s="216">
        <v>1.0</v>
      </c>
      <c r="F466" s="216">
        <v>1.0</v>
      </c>
      <c r="G466" s="217"/>
      <c r="H466" s="25"/>
    </row>
    <row r="467">
      <c r="A467" s="216">
        <v>1.0620082E7</v>
      </c>
      <c r="B467" s="216" t="s">
        <v>3102</v>
      </c>
      <c r="C467" s="216" t="s">
        <v>3040</v>
      </c>
      <c r="D467" s="25"/>
      <c r="E467" s="216">
        <v>1.0</v>
      </c>
      <c r="F467" s="216">
        <v>1.0</v>
      </c>
      <c r="G467" s="217"/>
      <c r="H467" s="25"/>
    </row>
    <row r="468">
      <c r="A468" s="216">
        <v>1.0620083E7</v>
      </c>
      <c r="B468" s="216" t="s">
        <v>3103</v>
      </c>
      <c r="C468" s="216" t="s">
        <v>3040</v>
      </c>
      <c r="D468" s="25"/>
      <c r="E468" s="216">
        <v>1.0</v>
      </c>
      <c r="F468" s="216">
        <v>1.0</v>
      </c>
      <c r="G468" s="217"/>
      <c r="H468" s="25"/>
    </row>
    <row r="469">
      <c r="A469" s="216">
        <v>1.0620084E7</v>
      </c>
      <c r="B469" s="216" t="s">
        <v>3104</v>
      </c>
      <c r="C469" s="216" t="s">
        <v>3040</v>
      </c>
      <c r="D469" s="25"/>
      <c r="E469" s="216">
        <v>1.0</v>
      </c>
      <c r="F469" s="216">
        <v>1.0</v>
      </c>
      <c r="G469" s="217"/>
      <c r="H469" s="25"/>
    </row>
    <row r="470">
      <c r="A470" s="216">
        <v>1.0620085E7</v>
      </c>
      <c r="B470" s="216" t="s">
        <v>3105</v>
      </c>
      <c r="C470" s="216" t="s">
        <v>3040</v>
      </c>
      <c r="D470" s="25"/>
      <c r="E470" s="216">
        <v>1.0</v>
      </c>
      <c r="F470" s="216">
        <v>1.0</v>
      </c>
      <c r="G470" s="217"/>
      <c r="H470" s="25"/>
    </row>
    <row r="471">
      <c r="A471" s="216">
        <v>1.0620086E7</v>
      </c>
      <c r="B471" s="216" t="s">
        <v>3106</v>
      </c>
      <c r="C471" s="216" t="s">
        <v>3040</v>
      </c>
      <c r="D471" s="25"/>
      <c r="E471" s="216">
        <v>1.0</v>
      </c>
      <c r="F471" s="216">
        <v>1.0</v>
      </c>
      <c r="G471" s="217"/>
      <c r="H471" s="25"/>
    </row>
    <row r="472">
      <c r="A472" s="216">
        <v>1.0620087E7</v>
      </c>
      <c r="B472" s="216" t="s">
        <v>3107</v>
      </c>
      <c r="C472" s="216" t="s">
        <v>3040</v>
      </c>
      <c r="D472" s="25"/>
      <c r="E472" s="216">
        <v>1.0</v>
      </c>
      <c r="F472" s="216">
        <v>1.0</v>
      </c>
      <c r="G472" s="217"/>
      <c r="H472" s="25"/>
    </row>
    <row r="473">
      <c r="A473" s="216">
        <v>1.0620088E7</v>
      </c>
      <c r="B473" s="216" t="s">
        <v>3108</v>
      </c>
      <c r="C473" s="216" t="s">
        <v>3040</v>
      </c>
      <c r="D473" s="25"/>
      <c r="E473" s="216">
        <v>1.0</v>
      </c>
      <c r="F473" s="216">
        <v>1.0</v>
      </c>
      <c r="G473" s="217"/>
      <c r="H473" s="25"/>
    </row>
    <row r="474">
      <c r="A474" s="216">
        <v>1.0620089E7</v>
      </c>
      <c r="B474" s="216" t="s">
        <v>3109</v>
      </c>
      <c r="C474" s="216" t="s">
        <v>3040</v>
      </c>
      <c r="D474" s="25"/>
      <c r="E474" s="216">
        <v>1.0</v>
      </c>
      <c r="F474" s="216">
        <v>1.0</v>
      </c>
      <c r="G474" s="217"/>
      <c r="H474" s="25"/>
    </row>
    <row r="475">
      <c r="A475" s="216">
        <v>1.062009E7</v>
      </c>
      <c r="B475" s="216" t="s">
        <v>3110</v>
      </c>
      <c r="C475" s="216" t="s">
        <v>3040</v>
      </c>
      <c r="D475" s="25"/>
      <c r="E475" s="216">
        <v>1.0</v>
      </c>
      <c r="F475" s="216">
        <v>1.0</v>
      </c>
      <c r="G475" s="217"/>
      <c r="H475" s="25"/>
    </row>
    <row r="476">
      <c r="A476" s="216">
        <v>1.0620091E7</v>
      </c>
      <c r="B476" s="216" t="s">
        <v>3111</v>
      </c>
      <c r="C476" s="216" t="s">
        <v>3040</v>
      </c>
      <c r="D476" s="25"/>
      <c r="E476" s="216">
        <v>1.0</v>
      </c>
      <c r="F476" s="216">
        <v>1.0</v>
      </c>
      <c r="G476" s="217"/>
      <c r="H476" s="25"/>
    </row>
    <row r="477">
      <c r="A477" s="216">
        <v>1.0630003E7</v>
      </c>
      <c r="B477" s="216" t="s">
        <v>3112</v>
      </c>
      <c r="C477" s="216" t="s">
        <v>3040</v>
      </c>
      <c r="D477" s="25"/>
      <c r="E477" s="216">
        <v>1.0</v>
      </c>
      <c r="F477" s="216">
        <v>1.0</v>
      </c>
      <c r="G477" s="217"/>
      <c r="H477" s="25"/>
    </row>
    <row r="478">
      <c r="A478" s="216">
        <v>1.0601E7</v>
      </c>
      <c r="B478" s="216" t="s">
        <v>3039</v>
      </c>
      <c r="C478" s="216" t="s">
        <v>3113</v>
      </c>
      <c r="D478" s="25"/>
      <c r="E478" s="216" t="s">
        <v>2730</v>
      </c>
      <c r="F478" s="216" t="s">
        <v>2730</v>
      </c>
      <c r="G478" s="217"/>
      <c r="H478" s="25"/>
    </row>
    <row r="479">
      <c r="A479" s="216">
        <v>1.06611E7</v>
      </c>
      <c r="B479" s="216" t="s">
        <v>3041</v>
      </c>
      <c r="C479" s="216" t="s">
        <v>3113</v>
      </c>
      <c r="D479" s="25"/>
      <c r="E479" s="216" t="s">
        <v>2730</v>
      </c>
      <c r="F479" s="216" t="s">
        <v>2730</v>
      </c>
      <c r="G479" s="217"/>
      <c r="H479" s="25"/>
    </row>
    <row r="480">
      <c r="A480" s="216">
        <v>1.06011E7</v>
      </c>
      <c r="B480" s="216" t="s">
        <v>3039</v>
      </c>
      <c r="C480" s="216" t="s">
        <v>3113</v>
      </c>
      <c r="D480" s="25"/>
      <c r="E480" s="216" t="s">
        <v>2730</v>
      </c>
      <c r="F480" s="216" t="s">
        <v>2730</v>
      </c>
      <c r="G480" s="217"/>
      <c r="H480" s="25"/>
    </row>
    <row r="481">
      <c r="A481" s="216">
        <v>1.06612E7</v>
      </c>
      <c r="B481" s="216" t="s">
        <v>3041</v>
      </c>
      <c r="C481" s="216" t="s">
        <v>3113</v>
      </c>
      <c r="D481" s="25"/>
      <c r="E481" s="216" t="s">
        <v>2730</v>
      </c>
      <c r="F481" s="216" t="s">
        <v>2730</v>
      </c>
      <c r="G481" s="217"/>
      <c r="H481" s="25"/>
    </row>
    <row r="482">
      <c r="A482" s="216">
        <v>1.06012E7</v>
      </c>
      <c r="B482" s="216" t="s">
        <v>3039</v>
      </c>
      <c r="C482" s="216" t="s">
        <v>3113</v>
      </c>
      <c r="D482" s="25"/>
      <c r="E482" s="216" t="s">
        <v>2730</v>
      </c>
      <c r="F482" s="216" t="s">
        <v>2730</v>
      </c>
      <c r="G482" s="217"/>
      <c r="H482" s="25"/>
    </row>
    <row r="483">
      <c r="A483" s="216">
        <v>1.06613E7</v>
      </c>
      <c r="B483" s="216" t="s">
        <v>3041</v>
      </c>
      <c r="C483" s="216" t="s">
        <v>3113</v>
      </c>
      <c r="D483" s="25"/>
      <c r="E483" s="216" t="s">
        <v>2730</v>
      </c>
      <c r="F483" s="216" t="s">
        <v>2730</v>
      </c>
      <c r="G483" s="217"/>
      <c r="H483" s="25"/>
    </row>
    <row r="484">
      <c r="A484" s="216">
        <v>1.06013E7</v>
      </c>
      <c r="B484" s="216" t="s">
        <v>3039</v>
      </c>
      <c r="C484" s="216" t="s">
        <v>3113</v>
      </c>
      <c r="D484" s="25"/>
      <c r="E484" s="216" t="s">
        <v>2730</v>
      </c>
      <c r="F484" s="216" t="s">
        <v>2730</v>
      </c>
      <c r="G484" s="217"/>
      <c r="H484" s="25"/>
    </row>
    <row r="485">
      <c r="A485" s="216">
        <v>1.06E7</v>
      </c>
      <c r="B485" s="216" t="s">
        <v>3042</v>
      </c>
      <c r="C485" s="216" t="s">
        <v>3113</v>
      </c>
      <c r="D485" s="25"/>
      <c r="E485" s="216">
        <v>-1.0</v>
      </c>
      <c r="F485" s="216">
        <v>-1.0</v>
      </c>
      <c r="G485" s="217"/>
      <c r="H485" s="25"/>
    </row>
    <row r="486">
      <c r="A486" s="216">
        <v>1.0665E7</v>
      </c>
      <c r="B486" s="216" t="s">
        <v>3043</v>
      </c>
      <c r="C486" s="216" t="s">
        <v>3113</v>
      </c>
      <c r="D486" s="25"/>
      <c r="E486" s="216">
        <v>0.0</v>
      </c>
      <c r="F486" s="216">
        <v>0.0</v>
      </c>
      <c r="G486" s="217"/>
      <c r="H486" s="25"/>
    </row>
    <row r="487">
      <c r="A487" s="216">
        <v>1.062001E7</v>
      </c>
      <c r="B487" s="216" t="s">
        <v>3044</v>
      </c>
      <c r="C487" s="216" t="s">
        <v>3113</v>
      </c>
      <c r="D487" s="25"/>
      <c r="E487" s="216">
        <v>-65536.0</v>
      </c>
      <c r="F487" s="216">
        <v>-65536.0</v>
      </c>
      <c r="G487" s="217"/>
      <c r="H487" s="25"/>
    </row>
    <row r="488">
      <c r="A488" s="216">
        <v>1.0620011E7</v>
      </c>
      <c r="B488" s="216" t="s">
        <v>3045</v>
      </c>
      <c r="C488" s="216" t="s">
        <v>3113</v>
      </c>
      <c r="D488" s="25"/>
      <c r="E488" s="216">
        <v>-65536.0</v>
      </c>
      <c r="F488" s="216">
        <v>-65536.0</v>
      </c>
      <c r="G488" s="217"/>
      <c r="H488" s="25"/>
    </row>
    <row r="489">
      <c r="A489" s="216">
        <v>1.0620012E7</v>
      </c>
      <c r="B489" s="216" t="s">
        <v>3046</v>
      </c>
      <c r="C489" s="216" t="s">
        <v>3113</v>
      </c>
      <c r="D489" s="25"/>
      <c r="E489" s="216">
        <v>-65536.0</v>
      </c>
      <c r="F489" s="216">
        <v>-65536.0</v>
      </c>
      <c r="G489" s="217"/>
      <c r="H489" s="25"/>
    </row>
    <row r="490">
      <c r="A490" s="216">
        <v>1.0620013E7</v>
      </c>
      <c r="B490" s="216" t="s">
        <v>3047</v>
      </c>
      <c r="C490" s="216" t="s">
        <v>3113</v>
      </c>
      <c r="D490" s="25"/>
      <c r="E490" s="216">
        <v>-65536.0</v>
      </c>
      <c r="F490" s="216">
        <v>-65536.0</v>
      </c>
      <c r="G490" s="217"/>
      <c r="H490" s="25"/>
    </row>
    <row r="491">
      <c r="A491" s="216">
        <v>1.0620014E7</v>
      </c>
      <c r="B491" s="216" t="s">
        <v>3048</v>
      </c>
      <c r="C491" s="216" t="s">
        <v>3113</v>
      </c>
      <c r="D491" s="25"/>
      <c r="E491" s="216">
        <v>-65536.0</v>
      </c>
      <c r="F491" s="216">
        <v>-65536.0</v>
      </c>
      <c r="G491" s="217"/>
      <c r="H491" s="25"/>
    </row>
    <row r="492">
      <c r="A492" s="216">
        <v>1.0620015E7</v>
      </c>
      <c r="B492" s="216" t="s">
        <v>3049</v>
      </c>
      <c r="C492" s="216" t="s">
        <v>3113</v>
      </c>
      <c r="D492" s="25"/>
      <c r="E492" s="216">
        <v>-65536.0</v>
      </c>
      <c r="F492" s="216">
        <v>-65536.0</v>
      </c>
      <c r="G492" s="217"/>
      <c r="H492" s="25"/>
    </row>
    <row r="493">
      <c r="A493" s="216">
        <v>1.0620006E7</v>
      </c>
      <c r="B493" s="216" t="s">
        <v>3050</v>
      </c>
      <c r="C493" s="216" t="s">
        <v>3113</v>
      </c>
      <c r="D493" s="25"/>
      <c r="E493" s="216">
        <v>-65536.0</v>
      </c>
      <c r="F493" s="216">
        <v>-65536.0</v>
      </c>
      <c r="G493" s="217"/>
      <c r="H493" s="25"/>
    </row>
    <row r="494">
      <c r="A494" s="216">
        <v>1.0620017E7</v>
      </c>
      <c r="B494" s="216" t="s">
        <v>3051</v>
      </c>
      <c r="C494" s="216" t="s">
        <v>3113</v>
      </c>
      <c r="D494" s="25"/>
      <c r="E494" s="216">
        <v>-65536.0</v>
      </c>
      <c r="F494" s="216">
        <v>-65536.0</v>
      </c>
      <c r="G494" s="217"/>
      <c r="H494" s="25"/>
    </row>
    <row r="495">
      <c r="A495" s="216">
        <v>1.0620018E7</v>
      </c>
      <c r="B495" s="216" t="s">
        <v>3052</v>
      </c>
      <c r="C495" s="216" t="s">
        <v>3113</v>
      </c>
      <c r="D495" s="25"/>
      <c r="E495" s="216">
        <v>-65536.0</v>
      </c>
      <c r="F495" s="216">
        <v>-65536.0</v>
      </c>
      <c r="G495" s="217"/>
      <c r="H495" s="25"/>
    </row>
    <row r="496">
      <c r="A496" s="216">
        <v>1.0620019E7</v>
      </c>
      <c r="B496" s="216" t="s">
        <v>3053</v>
      </c>
      <c r="C496" s="216" t="s">
        <v>3113</v>
      </c>
      <c r="D496" s="25"/>
      <c r="E496" s="216">
        <v>-65536.0</v>
      </c>
      <c r="F496" s="216">
        <v>-65536.0</v>
      </c>
      <c r="G496" s="217"/>
      <c r="H496" s="25"/>
    </row>
    <row r="497">
      <c r="A497" s="216">
        <v>1.062002E7</v>
      </c>
      <c r="B497" s="216" t="s">
        <v>3054</v>
      </c>
      <c r="C497" s="216" t="s">
        <v>3113</v>
      </c>
      <c r="D497" s="25"/>
      <c r="E497" s="216">
        <v>-65536.0</v>
      </c>
      <c r="F497" s="216">
        <v>-65536.0</v>
      </c>
      <c r="G497" s="217"/>
      <c r="H497" s="25"/>
    </row>
    <row r="498">
      <c r="A498" s="216">
        <v>1.0620021E7</v>
      </c>
      <c r="B498" s="216" t="s">
        <v>3055</v>
      </c>
      <c r="C498" s="216" t="s">
        <v>3113</v>
      </c>
      <c r="D498" s="25"/>
      <c r="E498" s="216">
        <v>-65536.0</v>
      </c>
      <c r="F498" s="216">
        <v>-65536.0</v>
      </c>
      <c r="G498" s="217"/>
      <c r="H498" s="25"/>
    </row>
    <row r="499">
      <c r="A499" s="216">
        <v>1.0620022E7</v>
      </c>
      <c r="B499" s="216" t="s">
        <v>3056</v>
      </c>
      <c r="C499" s="216" t="s">
        <v>3113</v>
      </c>
      <c r="D499" s="25"/>
      <c r="E499" s="216">
        <v>-65536.0</v>
      </c>
      <c r="F499" s="216">
        <v>-65536.0</v>
      </c>
      <c r="G499" s="217"/>
      <c r="H499" s="25"/>
    </row>
    <row r="500">
      <c r="A500" s="216">
        <v>1.0620023E7</v>
      </c>
      <c r="B500" s="216" t="s">
        <v>3057</v>
      </c>
      <c r="C500" s="216" t="s">
        <v>3113</v>
      </c>
      <c r="D500" s="25"/>
      <c r="E500" s="216">
        <v>-65536.0</v>
      </c>
      <c r="F500" s="216">
        <v>-65536.0</v>
      </c>
      <c r="G500" s="217"/>
      <c r="H500" s="25"/>
    </row>
    <row r="501">
      <c r="A501" s="216">
        <v>1.0620024E7</v>
      </c>
      <c r="B501" s="216" t="s">
        <v>3058</v>
      </c>
      <c r="C501" s="216" t="s">
        <v>3113</v>
      </c>
      <c r="D501" s="25"/>
      <c r="E501" s="216">
        <v>-65536.0</v>
      </c>
      <c r="F501" s="216">
        <v>-65536.0</v>
      </c>
      <c r="G501" s="217"/>
      <c r="H501" s="25"/>
    </row>
    <row r="502">
      <c r="A502" s="216">
        <v>1.0620025E7</v>
      </c>
      <c r="B502" s="216" t="s">
        <v>3059</v>
      </c>
      <c r="C502" s="216" t="s">
        <v>3113</v>
      </c>
      <c r="D502" s="25"/>
      <c r="E502" s="216">
        <v>-65536.0</v>
      </c>
      <c r="F502" s="216">
        <v>-65536.0</v>
      </c>
      <c r="G502" s="217"/>
      <c r="H502" s="25"/>
    </row>
    <row r="503">
      <c r="A503" s="216">
        <v>1.0620026E7</v>
      </c>
      <c r="B503" s="216" t="s">
        <v>3060</v>
      </c>
      <c r="C503" s="216" t="s">
        <v>3113</v>
      </c>
      <c r="D503" s="25"/>
      <c r="E503" s="216">
        <v>-65536.0</v>
      </c>
      <c r="F503" s="216">
        <v>-65536.0</v>
      </c>
      <c r="G503" s="217"/>
      <c r="H503" s="25"/>
    </row>
    <row r="504">
      <c r="A504" s="216">
        <v>1.0620027E7</v>
      </c>
      <c r="B504" s="216" t="s">
        <v>3061</v>
      </c>
      <c r="C504" s="216" t="s">
        <v>3113</v>
      </c>
      <c r="D504" s="25"/>
      <c r="E504" s="216">
        <v>-65536.0</v>
      </c>
      <c r="F504" s="216">
        <v>-65536.0</v>
      </c>
      <c r="G504" s="217"/>
      <c r="H504" s="25"/>
    </row>
    <row r="505">
      <c r="A505" s="216">
        <v>1.0620028E7</v>
      </c>
      <c r="B505" s="216" t="s">
        <v>3062</v>
      </c>
      <c r="C505" s="216" t="s">
        <v>3113</v>
      </c>
      <c r="D505" s="25"/>
      <c r="E505" s="216">
        <v>-65536.0</v>
      </c>
      <c r="F505" s="216">
        <v>-65536.0</v>
      </c>
      <c r="G505" s="217"/>
      <c r="H505" s="25"/>
    </row>
    <row r="506">
      <c r="A506" s="216">
        <v>1.0620029E7</v>
      </c>
      <c r="B506" s="216" t="s">
        <v>3063</v>
      </c>
      <c r="C506" s="216" t="s">
        <v>3113</v>
      </c>
      <c r="D506" s="25"/>
      <c r="E506" s="216">
        <v>-65536.0</v>
      </c>
      <c r="F506" s="216">
        <v>-65536.0</v>
      </c>
      <c r="G506" s="217"/>
      <c r="H506" s="25"/>
    </row>
    <row r="507">
      <c r="A507" s="216">
        <v>1.062003E7</v>
      </c>
      <c r="B507" s="216" t="s">
        <v>3064</v>
      </c>
      <c r="C507" s="216" t="s">
        <v>3113</v>
      </c>
      <c r="D507" s="25"/>
      <c r="E507" s="216">
        <v>-65536.0</v>
      </c>
      <c r="F507" s="216">
        <v>-65536.0</v>
      </c>
      <c r="G507" s="217"/>
      <c r="H507" s="25"/>
    </row>
    <row r="508">
      <c r="A508" s="216">
        <v>1.0620031E7</v>
      </c>
      <c r="B508" s="216" t="s">
        <v>3065</v>
      </c>
      <c r="C508" s="216" t="s">
        <v>3113</v>
      </c>
      <c r="D508" s="25"/>
      <c r="E508" s="216">
        <v>-65536.0</v>
      </c>
      <c r="F508" s="216">
        <v>-65536.0</v>
      </c>
      <c r="G508" s="217"/>
      <c r="H508" s="25"/>
    </row>
    <row r="509">
      <c r="A509" s="216">
        <v>1.0630001E7</v>
      </c>
      <c r="B509" s="216" t="s">
        <v>3066</v>
      </c>
      <c r="C509" s="216" t="s">
        <v>3113</v>
      </c>
      <c r="D509" s="25"/>
      <c r="E509" s="216">
        <v>-65536.0</v>
      </c>
      <c r="F509" s="216">
        <v>-65536.0</v>
      </c>
      <c r="G509" s="217"/>
      <c r="H509" s="25"/>
    </row>
    <row r="510">
      <c r="A510" s="216">
        <v>1.0630002E7</v>
      </c>
      <c r="B510" s="216" t="s">
        <v>3114</v>
      </c>
      <c r="C510" s="216" t="s">
        <v>3113</v>
      </c>
      <c r="D510" s="25"/>
      <c r="E510" s="216">
        <v>-65536.0</v>
      </c>
      <c r="F510" s="216">
        <v>-65536.0</v>
      </c>
      <c r="G510" s="217"/>
      <c r="H510" s="25"/>
    </row>
    <row r="511">
      <c r="A511" s="216">
        <v>1.0630003E7</v>
      </c>
      <c r="B511" s="216" t="s">
        <v>3115</v>
      </c>
      <c r="C511" s="216" t="s">
        <v>3113</v>
      </c>
      <c r="D511" s="25"/>
      <c r="E511" s="216">
        <v>-65536.0</v>
      </c>
      <c r="F511" s="216">
        <v>-65536.0</v>
      </c>
      <c r="G511" s="217"/>
      <c r="H511" s="25"/>
    </row>
    <row r="512">
      <c r="A512" s="216">
        <v>1.0630004E7</v>
      </c>
      <c r="B512" s="216" t="s">
        <v>3116</v>
      </c>
      <c r="C512" s="216" t="s">
        <v>3113</v>
      </c>
      <c r="D512" s="25"/>
      <c r="E512" s="216">
        <v>-65536.0</v>
      </c>
      <c r="F512" s="216">
        <v>-65536.0</v>
      </c>
      <c r="G512" s="217"/>
      <c r="H512" s="25"/>
    </row>
    <row r="513">
      <c r="A513" s="216">
        <v>1.062004E7</v>
      </c>
      <c r="B513" s="216" t="s">
        <v>3067</v>
      </c>
      <c r="C513" s="216" t="s">
        <v>3113</v>
      </c>
      <c r="D513" s="25"/>
      <c r="E513" s="216">
        <v>-65536.0</v>
      </c>
      <c r="F513" s="216">
        <v>-65536.0</v>
      </c>
      <c r="G513" s="217"/>
      <c r="H513" s="25"/>
    </row>
    <row r="514">
      <c r="A514" s="216">
        <v>1.0620041E7</v>
      </c>
      <c r="B514" s="216" t="s">
        <v>3068</v>
      </c>
      <c r="C514" s="216" t="s">
        <v>3113</v>
      </c>
      <c r="D514" s="25"/>
      <c r="E514" s="216">
        <v>-65536.0</v>
      </c>
      <c r="F514" s="216">
        <v>-65536.0</v>
      </c>
      <c r="G514" s="217"/>
      <c r="H514" s="25"/>
    </row>
    <row r="515">
      <c r="A515" s="216">
        <v>1.0620042E7</v>
      </c>
      <c r="B515" s="216" t="s">
        <v>3069</v>
      </c>
      <c r="C515" s="216" t="s">
        <v>3113</v>
      </c>
      <c r="D515" s="25"/>
      <c r="E515" s="216">
        <v>-65536.0</v>
      </c>
      <c r="F515" s="216">
        <v>-65536.0</v>
      </c>
      <c r="G515" s="217"/>
      <c r="H515" s="25"/>
    </row>
    <row r="516">
      <c r="A516" s="216">
        <v>1.0620043E7</v>
      </c>
      <c r="B516" s="216" t="s">
        <v>3070</v>
      </c>
      <c r="C516" s="216" t="s">
        <v>3113</v>
      </c>
      <c r="D516" s="25"/>
      <c r="E516" s="216">
        <v>-65536.0</v>
      </c>
      <c r="F516" s="216">
        <v>-65536.0</v>
      </c>
      <c r="G516" s="217"/>
      <c r="H516" s="25"/>
    </row>
    <row r="517">
      <c r="A517" s="216">
        <v>1.0620044E7</v>
      </c>
      <c r="B517" s="216" t="s">
        <v>3071</v>
      </c>
      <c r="C517" s="216" t="s">
        <v>3113</v>
      </c>
      <c r="D517" s="25"/>
      <c r="E517" s="216">
        <v>-65536.0</v>
      </c>
      <c r="F517" s="216">
        <v>-65536.0</v>
      </c>
      <c r="G517" s="217"/>
      <c r="H517" s="25"/>
    </row>
    <row r="518">
      <c r="A518" s="216">
        <v>1.0620045E7</v>
      </c>
      <c r="B518" s="216" t="s">
        <v>3072</v>
      </c>
      <c r="C518" s="216" t="s">
        <v>3113</v>
      </c>
      <c r="D518" s="25"/>
      <c r="E518" s="216">
        <v>-65536.0</v>
      </c>
      <c r="F518" s="216">
        <v>-65536.0</v>
      </c>
      <c r="G518" s="217"/>
      <c r="H518" s="25"/>
    </row>
    <row r="519">
      <c r="A519" s="216">
        <v>1.0620046E7</v>
      </c>
      <c r="B519" s="216" t="s">
        <v>3073</v>
      </c>
      <c r="C519" s="216" t="s">
        <v>3113</v>
      </c>
      <c r="D519" s="25"/>
      <c r="E519" s="216">
        <v>-65536.0</v>
      </c>
      <c r="F519" s="216">
        <v>-65536.0</v>
      </c>
      <c r="G519" s="217"/>
      <c r="H519" s="25"/>
    </row>
    <row r="520">
      <c r="A520" s="216">
        <v>1.0620047E7</v>
      </c>
      <c r="B520" s="216" t="s">
        <v>3074</v>
      </c>
      <c r="C520" s="216" t="s">
        <v>3113</v>
      </c>
      <c r="D520" s="25"/>
      <c r="E520" s="216">
        <v>-65536.0</v>
      </c>
      <c r="F520" s="216">
        <v>-65536.0</v>
      </c>
      <c r="G520" s="217"/>
      <c r="H520" s="25"/>
    </row>
    <row r="521">
      <c r="A521" s="216">
        <v>1.0620048E7</v>
      </c>
      <c r="B521" s="216" t="s">
        <v>3075</v>
      </c>
      <c r="C521" s="216" t="s">
        <v>3113</v>
      </c>
      <c r="D521" s="25"/>
      <c r="E521" s="216">
        <v>-65536.0</v>
      </c>
      <c r="F521" s="216">
        <v>-65536.0</v>
      </c>
      <c r="G521" s="217"/>
      <c r="H521" s="25"/>
    </row>
    <row r="522">
      <c r="A522" s="216">
        <v>1.0620049E7</v>
      </c>
      <c r="B522" s="216" t="s">
        <v>3076</v>
      </c>
      <c r="C522" s="216" t="s">
        <v>3113</v>
      </c>
      <c r="D522" s="25"/>
      <c r="E522" s="216">
        <v>-65536.0</v>
      </c>
      <c r="F522" s="216">
        <v>-65536.0</v>
      </c>
      <c r="G522" s="217"/>
      <c r="H522" s="25"/>
    </row>
    <row r="523">
      <c r="A523" s="216">
        <v>1.062005E7</v>
      </c>
      <c r="B523" s="216" t="s">
        <v>3077</v>
      </c>
      <c r="C523" s="216" t="s">
        <v>3113</v>
      </c>
      <c r="D523" s="25"/>
      <c r="E523" s="216">
        <v>-65536.0</v>
      </c>
      <c r="F523" s="216">
        <v>-65536.0</v>
      </c>
      <c r="G523" s="217"/>
      <c r="H523" s="25"/>
    </row>
    <row r="524">
      <c r="A524" s="216">
        <v>1.0620051E7</v>
      </c>
      <c r="B524" s="216" t="s">
        <v>3078</v>
      </c>
      <c r="C524" s="216" t="s">
        <v>3113</v>
      </c>
      <c r="D524" s="25"/>
      <c r="E524" s="216">
        <v>-65536.0</v>
      </c>
      <c r="F524" s="216">
        <v>-65536.0</v>
      </c>
      <c r="G524" s="217"/>
      <c r="H524" s="25"/>
    </row>
    <row r="525">
      <c r="A525" s="216">
        <v>1.0620052E7</v>
      </c>
      <c r="B525" s="216" t="s">
        <v>3079</v>
      </c>
      <c r="C525" s="216" t="s">
        <v>3113</v>
      </c>
      <c r="D525" s="25"/>
      <c r="E525" s="216">
        <v>-65536.0</v>
      </c>
      <c r="F525" s="216">
        <v>-65536.0</v>
      </c>
      <c r="G525" s="217"/>
      <c r="H525" s="25"/>
    </row>
    <row r="526">
      <c r="A526" s="216">
        <v>1.0620053E7</v>
      </c>
      <c r="B526" s="216" t="s">
        <v>3080</v>
      </c>
      <c r="C526" s="216" t="s">
        <v>3113</v>
      </c>
      <c r="D526" s="25"/>
      <c r="E526" s="216">
        <v>-65536.0</v>
      </c>
      <c r="F526" s="216">
        <v>-65536.0</v>
      </c>
      <c r="G526" s="217"/>
      <c r="H526" s="25"/>
    </row>
    <row r="527">
      <c r="A527" s="216">
        <v>1.0620054E7</v>
      </c>
      <c r="B527" s="216" t="s">
        <v>3081</v>
      </c>
      <c r="C527" s="216" t="s">
        <v>3113</v>
      </c>
      <c r="D527" s="25"/>
      <c r="E527" s="216">
        <v>-65536.0</v>
      </c>
      <c r="F527" s="216">
        <v>-65536.0</v>
      </c>
      <c r="G527" s="217"/>
      <c r="H527" s="25"/>
    </row>
    <row r="528">
      <c r="A528" s="216">
        <v>1.0620055E7</v>
      </c>
      <c r="B528" s="216" t="s">
        <v>3082</v>
      </c>
      <c r="C528" s="216" t="s">
        <v>3113</v>
      </c>
      <c r="D528" s="25"/>
      <c r="E528" s="216">
        <v>-65536.0</v>
      </c>
      <c r="F528" s="216">
        <v>-65536.0</v>
      </c>
      <c r="G528" s="217"/>
      <c r="H528" s="25"/>
    </row>
    <row r="529">
      <c r="A529" s="216">
        <v>1.0620056E7</v>
      </c>
      <c r="B529" s="216" t="s">
        <v>3083</v>
      </c>
      <c r="C529" s="216" t="s">
        <v>3113</v>
      </c>
      <c r="D529" s="25"/>
      <c r="E529" s="216">
        <v>-65536.0</v>
      </c>
      <c r="F529" s="216">
        <v>-65536.0</v>
      </c>
      <c r="G529" s="217"/>
      <c r="H529" s="25"/>
    </row>
    <row r="530">
      <c r="A530" s="216">
        <v>1.0620057E7</v>
      </c>
      <c r="B530" s="216" t="s">
        <v>3084</v>
      </c>
      <c r="C530" s="216" t="s">
        <v>3113</v>
      </c>
      <c r="D530" s="25"/>
      <c r="E530" s="216">
        <v>-65536.0</v>
      </c>
      <c r="F530" s="216">
        <v>-65536.0</v>
      </c>
      <c r="G530" s="217"/>
      <c r="H530" s="25"/>
    </row>
    <row r="531">
      <c r="A531" s="216">
        <v>1.0620058E7</v>
      </c>
      <c r="B531" s="216" t="s">
        <v>3085</v>
      </c>
      <c r="C531" s="216" t="s">
        <v>3113</v>
      </c>
      <c r="D531" s="25"/>
      <c r="E531" s="216">
        <v>-65536.0</v>
      </c>
      <c r="F531" s="216">
        <v>-65536.0</v>
      </c>
      <c r="G531" s="217"/>
      <c r="H531" s="25"/>
    </row>
    <row r="532">
      <c r="A532" s="216">
        <v>1.0620059E7</v>
      </c>
      <c r="B532" s="216" t="s">
        <v>3086</v>
      </c>
      <c r="C532" s="216" t="s">
        <v>3113</v>
      </c>
      <c r="D532" s="25"/>
      <c r="E532" s="216">
        <v>-65536.0</v>
      </c>
      <c r="F532" s="216">
        <v>-65536.0</v>
      </c>
      <c r="G532" s="217"/>
      <c r="H532" s="25"/>
    </row>
    <row r="533">
      <c r="A533" s="216">
        <v>1.062006E7</v>
      </c>
      <c r="B533" s="216" t="s">
        <v>3087</v>
      </c>
      <c r="C533" s="216" t="s">
        <v>3113</v>
      </c>
      <c r="D533" s="25"/>
      <c r="E533" s="216">
        <v>-65536.0</v>
      </c>
      <c r="F533" s="216">
        <v>-65536.0</v>
      </c>
      <c r="G533" s="217"/>
      <c r="H533" s="25"/>
    </row>
    <row r="534">
      <c r="A534" s="216">
        <v>1.0620061E7</v>
      </c>
      <c r="B534" s="216" t="s">
        <v>3088</v>
      </c>
      <c r="C534" s="216" t="s">
        <v>3113</v>
      </c>
      <c r="D534" s="25"/>
      <c r="E534" s="216">
        <v>-65536.0</v>
      </c>
      <c r="F534" s="216">
        <v>-65536.0</v>
      </c>
      <c r="G534" s="217"/>
      <c r="H534" s="25"/>
    </row>
    <row r="535">
      <c r="A535" s="216">
        <v>1.0630011E7</v>
      </c>
      <c r="B535" s="216" t="s">
        <v>3089</v>
      </c>
      <c r="C535" s="216" t="s">
        <v>3113</v>
      </c>
      <c r="D535" s="25"/>
      <c r="E535" s="216">
        <v>-65536.0</v>
      </c>
      <c r="F535" s="216">
        <v>-65536.0</v>
      </c>
      <c r="G535" s="217"/>
      <c r="H535" s="25"/>
    </row>
    <row r="536">
      <c r="A536" s="216">
        <v>1.0630012E7</v>
      </c>
      <c r="B536" s="216" t="s">
        <v>3117</v>
      </c>
      <c r="C536" s="216" t="s">
        <v>3113</v>
      </c>
      <c r="D536" s="25"/>
      <c r="E536" s="216">
        <v>-65536.0</v>
      </c>
      <c r="F536" s="216">
        <v>-65536.0</v>
      </c>
      <c r="G536" s="217"/>
      <c r="H536" s="25"/>
    </row>
    <row r="537">
      <c r="A537" s="216">
        <v>1.0630013E7</v>
      </c>
      <c r="B537" s="216" t="s">
        <v>3118</v>
      </c>
      <c r="C537" s="216" t="s">
        <v>3113</v>
      </c>
      <c r="D537" s="25"/>
      <c r="E537" s="216">
        <v>-65536.0</v>
      </c>
      <c r="F537" s="216">
        <v>-65536.0</v>
      </c>
      <c r="G537" s="217"/>
      <c r="H537" s="25"/>
    </row>
    <row r="538">
      <c r="A538" s="216">
        <v>1.0630014E7</v>
      </c>
      <c r="B538" s="216" t="s">
        <v>3119</v>
      </c>
      <c r="C538" s="216" t="s">
        <v>3113</v>
      </c>
      <c r="D538" s="25"/>
      <c r="E538" s="216">
        <v>-65536.0</v>
      </c>
      <c r="F538" s="216">
        <v>-65536.0</v>
      </c>
      <c r="G538" s="217"/>
      <c r="H538" s="25"/>
    </row>
    <row r="539">
      <c r="A539" s="216">
        <v>1.062007E7</v>
      </c>
      <c r="B539" s="216" t="s">
        <v>3090</v>
      </c>
      <c r="C539" s="216" t="s">
        <v>3113</v>
      </c>
      <c r="D539" s="25"/>
      <c r="E539" s="216">
        <v>1.0</v>
      </c>
      <c r="F539" s="216">
        <v>1.0</v>
      </c>
      <c r="G539" s="217"/>
      <c r="H539" s="25"/>
    </row>
    <row r="540">
      <c r="A540" s="216">
        <v>1.0620071E7</v>
      </c>
      <c r="B540" s="216" t="s">
        <v>3091</v>
      </c>
      <c r="C540" s="216" t="s">
        <v>3113</v>
      </c>
      <c r="D540" s="25"/>
      <c r="E540" s="216">
        <v>1.0</v>
      </c>
      <c r="F540" s="216">
        <v>1.0</v>
      </c>
      <c r="G540" s="217"/>
      <c r="H540" s="25"/>
    </row>
    <row r="541">
      <c r="A541" s="216">
        <v>1.0620072E7</v>
      </c>
      <c r="B541" s="216" t="s">
        <v>3092</v>
      </c>
      <c r="C541" s="216" t="s">
        <v>3113</v>
      </c>
      <c r="D541" s="25"/>
      <c r="E541" s="216">
        <v>1.0</v>
      </c>
      <c r="F541" s="216">
        <v>1.0</v>
      </c>
      <c r="G541" s="217"/>
      <c r="H541" s="25"/>
    </row>
    <row r="542">
      <c r="A542" s="216">
        <v>1.0620073E7</v>
      </c>
      <c r="B542" s="216" t="s">
        <v>3093</v>
      </c>
      <c r="C542" s="216" t="s">
        <v>3113</v>
      </c>
      <c r="D542" s="25"/>
      <c r="E542" s="216">
        <v>1.0</v>
      </c>
      <c r="F542" s="216">
        <v>1.0</v>
      </c>
      <c r="G542" s="217"/>
      <c r="H542" s="25"/>
    </row>
    <row r="543">
      <c r="A543" s="216">
        <v>1.0620074E7</v>
      </c>
      <c r="B543" s="216" t="s">
        <v>3094</v>
      </c>
      <c r="C543" s="216" t="s">
        <v>3113</v>
      </c>
      <c r="D543" s="25"/>
      <c r="E543" s="216">
        <v>1.0</v>
      </c>
      <c r="F543" s="216">
        <v>1.0</v>
      </c>
      <c r="G543" s="217"/>
      <c r="H543" s="25"/>
    </row>
    <row r="544">
      <c r="A544" s="216">
        <v>1.0620075E7</v>
      </c>
      <c r="B544" s="216" t="s">
        <v>3095</v>
      </c>
      <c r="C544" s="216" t="s">
        <v>3113</v>
      </c>
      <c r="D544" s="25"/>
      <c r="E544" s="216">
        <v>1.0</v>
      </c>
      <c r="F544" s="216">
        <v>1.0</v>
      </c>
      <c r="G544" s="217"/>
      <c r="H544" s="25"/>
    </row>
    <row r="545">
      <c r="A545" s="216">
        <v>1.0620076E7</v>
      </c>
      <c r="B545" s="216" t="s">
        <v>3096</v>
      </c>
      <c r="C545" s="216" t="s">
        <v>3113</v>
      </c>
      <c r="D545" s="25"/>
      <c r="E545" s="216">
        <v>1.0</v>
      </c>
      <c r="F545" s="216">
        <v>1.0</v>
      </c>
      <c r="G545" s="217"/>
      <c r="H545" s="25"/>
    </row>
    <row r="546">
      <c r="A546" s="216">
        <v>1.0620077E7</v>
      </c>
      <c r="B546" s="216" t="s">
        <v>3097</v>
      </c>
      <c r="C546" s="216" t="s">
        <v>3113</v>
      </c>
      <c r="D546" s="25"/>
      <c r="E546" s="216">
        <v>1.0</v>
      </c>
      <c r="F546" s="216">
        <v>1.0</v>
      </c>
      <c r="G546" s="217"/>
      <c r="H546" s="25"/>
    </row>
    <row r="547">
      <c r="A547" s="216">
        <v>1.0620078E7</v>
      </c>
      <c r="B547" s="216" t="s">
        <v>3098</v>
      </c>
      <c r="C547" s="216" t="s">
        <v>3113</v>
      </c>
      <c r="D547" s="25"/>
      <c r="E547" s="216">
        <v>1.0</v>
      </c>
      <c r="F547" s="216">
        <v>1.0</v>
      </c>
      <c r="G547" s="217"/>
      <c r="H547" s="25"/>
    </row>
    <row r="548">
      <c r="A548" s="216">
        <v>1.0620079E7</v>
      </c>
      <c r="B548" s="216" t="s">
        <v>3099</v>
      </c>
      <c r="C548" s="216" t="s">
        <v>3113</v>
      </c>
      <c r="D548" s="25"/>
      <c r="E548" s="216">
        <v>1.0</v>
      </c>
      <c r="F548" s="216">
        <v>1.0</v>
      </c>
      <c r="G548" s="217"/>
      <c r="H548" s="25"/>
    </row>
    <row r="549">
      <c r="A549" s="216">
        <v>1.062008E7</v>
      </c>
      <c r="B549" s="216" t="s">
        <v>3100</v>
      </c>
      <c r="C549" s="216" t="s">
        <v>3113</v>
      </c>
      <c r="D549" s="25"/>
      <c r="E549" s="216">
        <v>1.0</v>
      </c>
      <c r="F549" s="216">
        <v>1.0</v>
      </c>
      <c r="G549" s="217"/>
      <c r="H549" s="25"/>
    </row>
    <row r="550">
      <c r="A550" s="216">
        <v>1.0620081E7</v>
      </c>
      <c r="B550" s="216" t="s">
        <v>3101</v>
      </c>
      <c r="C550" s="216" t="s">
        <v>3113</v>
      </c>
      <c r="D550" s="25"/>
      <c r="E550" s="216">
        <v>1.0</v>
      </c>
      <c r="F550" s="216">
        <v>1.0</v>
      </c>
      <c r="G550" s="217"/>
      <c r="H550" s="25"/>
    </row>
    <row r="551">
      <c r="A551" s="216">
        <v>1.0620082E7</v>
      </c>
      <c r="B551" s="216" t="s">
        <v>3102</v>
      </c>
      <c r="C551" s="216" t="s">
        <v>3113</v>
      </c>
      <c r="D551" s="25"/>
      <c r="E551" s="216">
        <v>1.0</v>
      </c>
      <c r="F551" s="216">
        <v>1.0</v>
      </c>
      <c r="G551" s="217"/>
      <c r="H551" s="25"/>
    </row>
    <row r="552">
      <c r="A552" s="216">
        <v>1.0620083E7</v>
      </c>
      <c r="B552" s="216" t="s">
        <v>3103</v>
      </c>
      <c r="C552" s="216" t="s">
        <v>3113</v>
      </c>
      <c r="D552" s="25"/>
      <c r="E552" s="216">
        <v>1.0</v>
      </c>
      <c r="F552" s="216">
        <v>1.0</v>
      </c>
      <c r="G552" s="217"/>
      <c r="H552" s="25"/>
    </row>
    <row r="553">
      <c r="A553" s="216">
        <v>1.0620084E7</v>
      </c>
      <c r="B553" s="216" t="s">
        <v>3104</v>
      </c>
      <c r="C553" s="216" t="s">
        <v>3113</v>
      </c>
      <c r="D553" s="25"/>
      <c r="E553" s="216">
        <v>1.0</v>
      </c>
      <c r="F553" s="216">
        <v>1.0</v>
      </c>
      <c r="G553" s="217"/>
      <c r="H553" s="25"/>
    </row>
    <row r="554">
      <c r="A554" s="216">
        <v>1.0620085E7</v>
      </c>
      <c r="B554" s="216" t="s">
        <v>3105</v>
      </c>
      <c r="C554" s="216" t="s">
        <v>3113</v>
      </c>
      <c r="D554" s="25"/>
      <c r="E554" s="216">
        <v>1.0</v>
      </c>
      <c r="F554" s="216">
        <v>1.0</v>
      </c>
      <c r="G554" s="217"/>
      <c r="H554" s="25"/>
    </row>
    <row r="555">
      <c r="A555" s="216">
        <v>1.0620086E7</v>
      </c>
      <c r="B555" s="216" t="s">
        <v>3106</v>
      </c>
      <c r="C555" s="216" t="s">
        <v>3113</v>
      </c>
      <c r="D555" s="25"/>
      <c r="E555" s="216">
        <v>1.0</v>
      </c>
      <c r="F555" s="216">
        <v>1.0</v>
      </c>
      <c r="G555" s="217"/>
      <c r="H555" s="25"/>
    </row>
    <row r="556">
      <c r="A556" s="216">
        <v>1.0620087E7</v>
      </c>
      <c r="B556" s="216" t="s">
        <v>3107</v>
      </c>
      <c r="C556" s="216" t="s">
        <v>3113</v>
      </c>
      <c r="D556" s="25"/>
      <c r="E556" s="216">
        <v>1.0</v>
      </c>
      <c r="F556" s="216">
        <v>1.0</v>
      </c>
      <c r="G556" s="217"/>
      <c r="H556" s="25"/>
    </row>
    <row r="557">
      <c r="A557" s="216">
        <v>1.0620088E7</v>
      </c>
      <c r="B557" s="216" t="s">
        <v>3108</v>
      </c>
      <c r="C557" s="216" t="s">
        <v>3113</v>
      </c>
      <c r="D557" s="25"/>
      <c r="E557" s="216">
        <v>1.0</v>
      </c>
      <c r="F557" s="216">
        <v>1.0</v>
      </c>
      <c r="G557" s="217"/>
      <c r="H557" s="25"/>
    </row>
    <row r="558">
      <c r="A558" s="216">
        <v>1.0620089E7</v>
      </c>
      <c r="B558" s="216" t="s">
        <v>3109</v>
      </c>
      <c r="C558" s="216" t="s">
        <v>3113</v>
      </c>
      <c r="D558" s="25"/>
      <c r="E558" s="216">
        <v>1.0</v>
      </c>
      <c r="F558" s="216">
        <v>1.0</v>
      </c>
      <c r="G558" s="217"/>
      <c r="H558" s="25"/>
    </row>
    <row r="559">
      <c r="A559" s="216">
        <v>1.062009E7</v>
      </c>
      <c r="B559" s="216" t="s">
        <v>3110</v>
      </c>
      <c r="C559" s="216" t="s">
        <v>3113</v>
      </c>
      <c r="D559" s="25"/>
      <c r="E559" s="216">
        <v>1.0</v>
      </c>
      <c r="F559" s="216">
        <v>1.0</v>
      </c>
      <c r="G559" s="217"/>
      <c r="H559" s="25"/>
    </row>
    <row r="560">
      <c r="A560" s="216">
        <v>1.0620091E7</v>
      </c>
      <c r="B560" s="216" t="s">
        <v>3111</v>
      </c>
      <c r="C560" s="216" t="s">
        <v>3113</v>
      </c>
      <c r="D560" s="25"/>
      <c r="E560" s="216">
        <v>1.0</v>
      </c>
      <c r="F560" s="216">
        <v>1.0</v>
      </c>
      <c r="G560" s="217"/>
      <c r="H560" s="25"/>
    </row>
    <row r="561">
      <c r="A561" s="216">
        <v>1.0630021E7</v>
      </c>
      <c r="B561" s="216" t="s">
        <v>3112</v>
      </c>
      <c r="C561" s="216" t="s">
        <v>3113</v>
      </c>
      <c r="D561" s="25"/>
      <c r="E561" s="216">
        <v>1.0</v>
      </c>
      <c r="F561" s="216">
        <v>1.0</v>
      </c>
      <c r="G561" s="217"/>
      <c r="H561" s="25"/>
    </row>
    <row r="562">
      <c r="A562" s="216">
        <v>1.0630022E7</v>
      </c>
      <c r="B562" s="216" t="s">
        <v>3120</v>
      </c>
      <c r="C562" s="216" t="s">
        <v>3113</v>
      </c>
      <c r="D562" s="25"/>
      <c r="E562" s="216">
        <v>1.0</v>
      </c>
      <c r="F562" s="216">
        <v>1.0</v>
      </c>
      <c r="G562" s="217"/>
      <c r="H562" s="25"/>
    </row>
    <row r="563">
      <c r="A563" s="216">
        <v>1.0630023E7</v>
      </c>
      <c r="B563" s="216" t="s">
        <v>3121</v>
      </c>
      <c r="C563" s="216" t="s">
        <v>3113</v>
      </c>
      <c r="D563" s="25"/>
      <c r="E563" s="216">
        <v>1.0</v>
      </c>
      <c r="F563" s="216">
        <v>1.0</v>
      </c>
      <c r="G563" s="217"/>
      <c r="H563" s="25"/>
    </row>
    <row r="564">
      <c r="A564" s="216">
        <v>1.0630024E7</v>
      </c>
      <c r="B564" s="216" t="s">
        <v>3122</v>
      </c>
      <c r="C564" s="216" t="s">
        <v>3113</v>
      </c>
      <c r="D564" s="25"/>
      <c r="E564" s="216">
        <v>1.0</v>
      </c>
      <c r="F564" s="216">
        <v>1.0</v>
      </c>
      <c r="G564" s="217"/>
      <c r="H564" s="25"/>
    </row>
    <row r="565">
      <c r="A565" s="216">
        <v>1.004E7</v>
      </c>
      <c r="B565" s="216" t="s">
        <v>3123</v>
      </c>
      <c r="C565" s="216" t="s">
        <v>3124</v>
      </c>
      <c r="D565" s="25"/>
      <c r="E565" s="216" t="s">
        <v>2730</v>
      </c>
      <c r="F565" s="216" t="s">
        <v>2730</v>
      </c>
      <c r="G565" s="217"/>
      <c r="H565" s="25"/>
    </row>
    <row r="566">
      <c r="A566" s="216">
        <v>3.0025002E7</v>
      </c>
      <c r="B566" s="216" t="s">
        <v>3125</v>
      </c>
      <c r="C566" s="216" t="s">
        <v>3126</v>
      </c>
      <c r="D566" s="25"/>
      <c r="E566" s="216" t="s">
        <v>2730</v>
      </c>
      <c r="F566" s="216" t="s">
        <v>2730</v>
      </c>
      <c r="G566" s="217"/>
      <c r="H566" s="25"/>
    </row>
    <row r="567">
      <c r="A567" s="217"/>
      <c r="B567" s="217"/>
      <c r="C567" s="217"/>
      <c r="D567" s="25"/>
      <c r="E567" s="217"/>
      <c r="F567" s="217"/>
      <c r="G567" s="217"/>
      <c r="H567" s="25"/>
    </row>
    <row r="568">
      <c r="A568" s="216">
        <v>1.15E7</v>
      </c>
      <c r="B568" s="216" t="s">
        <v>3127</v>
      </c>
      <c r="C568" s="216" t="s">
        <v>3128</v>
      </c>
      <c r="D568" s="25"/>
      <c r="E568" s="216" t="s">
        <v>2730</v>
      </c>
      <c r="F568" s="216" t="s">
        <v>2730</v>
      </c>
      <c r="G568" s="217"/>
      <c r="H568" s="25"/>
    </row>
    <row r="569">
      <c r="A569" s="216">
        <v>1.1500001E7</v>
      </c>
      <c r="B569" s="216" t="s">
        <v>3129</v>
      </c>
      <c r="C569" s="216" t="s">
        <v>3128</v>
      </c>
      <c r="D569" s="25"/>
      <c r="E569" s="216">
        <v>0.95</v>
      </c>
      <c r="F569" s="216">
        <v>0.95</v>
      </c>
      <c r="G569" s="216" t="s">
        <v>1124</v>
      </c>
      <c r="H569" s="25"/>
    </row>
    <row r="570">
      <c r="A570" s="216">
        <v>1.1500003E7</v>
      </c>
      <c r="B570" s="216" t="s">
        <v>3130</v>
      </c>
      <c r="C570" s="216" t="s">
        <v>3128</v>
      </c>
      <c r="D570" s="25"/>
      <c r="E570" s="216">
        <v>0.0</v>
      </c>
      <c r="F570" s="216">
        <v>0.0</v>
      </c>
      <c r="G570" s="216" t="s">
        <v>3034</v>
      </c>
      <c r="H570" s="25"/>
    </row>
    <row r="571">
      <c r="A571" s="216">
        <v>1.15E7</v>
      </c>
      <c r="B571" s="216" t="s">
        <v>3127</v>
      </c>
      <c r="C571" s="216" t="s">
        <v>3131</v>
      </c>
      <c r="D571" s="25"/>
      <c r="E571" s="216" t="s">
        <v>2730</v>
      </c>
      <c r="F571" s="216" t="s">
        <v>2730</v>
      </c>
      <c r="G571" s="217"/>
      <c r="H571" s="25"/>
    </row>
    <row r="572">
      <c r="A572" s="216">
        <v>1.1500001E7</v>
      </c>
      <c r="B572" s="216" t="s">
        <v>3129</v>
      </c>
      <c r="C572" s="216" t="s">
        <v>3131</v>
      </c>
      <c r="D572" s="25"/>
      <c r="E572" s="216">
        <v>0.95</v>
      </c>
      <c r="F572" s="216">
        <v>0.95</v>
      </c>
      <c r="G572" s="216" t="s">
        <v>1124</v>
      </c>
      <c r="H572" s="25"/>
    </row>
    <row r="573">
      <c r="A573" s="216">
        <v>1.1500003E7</v>
      </c>
      <c r="B573" s="216" t="s">
        <v>3130</v>
      </c>
      <c r="C573" s="216" t="s">
        <v>3131</v>
      </c>
      <c r="D573" s="25"/>
      <c r="E573" s="216">
        <v>0.0</v>
      </c>
      <c r="F573" s="216">
        <v>0.0</v>
      </c>
      <c r="G573" s="216" t="s">
        <v>3034</v>
      </c>
      <c r="H573" s="25"/>
    </row>
    <row r="574">
      <c r="A574" s="216">
        <v>1.162E7</v>
      </c>
      <c r="B574" s="216" t="s">
        <v>3132</v>
      </c>
      <c r="C574" s="216" t="s">
        <v>3133</v>
      </c>
      <c r="D574" s="25"/>
      <c r="E574" s="216" t="s">
        <v>2730</v>
      </c>
      <c r="F574" s="216" t="s">
        <v>2730</v>
      </c>
      <c r="G574" s="217"/>
      <c r="H574" s="25"/>
    </row>
    <row r="575">
      <c r="A575" s="216">
        <v>1.1620001E7</v>
      </c>
      <c r="B575" s="216" t="s">
        <v>3134</v>
      </c>
      <c r="C575" s="216" t="s">
        <v>3133</v>
      </c>
      <c r="D575" s="25"/>
      <c r="E575" s="216">
        <v>-250.0</v>
      </c>
      <c r="F575" s="216">
        <v>-250.0</v>
      </c>
      <c r="G575" s="216" t="s">
        <v>3034</v>
      </c>
      <c r="H575" s="25"/>
    </row>
    <row r="576">
      <c r="A576" s="216">
        <v>1.1620002E7</v>
      </c>
      <c r="B576" s="216" t="s">
        <v>3135</v>
      </c>
      <c r="C576" s="216" t="s">
        <v>3133</v>
      </c>
      <c r="D576" s="25"/>
      <c r="E576" s="216">
        <v>0.0</v>
      </c>
      <c r="F576" s="216">
        <v>0.0</v>
      </c>
      <c r="G576" s="216" t="s">
        <v>3034</v>
      </c>
      <c r="H576" s="25"/>
    </row>
    <row r="577">
      <c r="A577" s="216">
        <v>1.1620003E7</v>
      </c>
      <c r="B577" s="216" t="s">
        <v>3136</v>
      </c>
      <c r="C577" s="216" t="s">
        <v>3133</v>
      </c>
      <c r="D577" s="25"/>
      <c r="E577" s="216">
        <v>0.0</v>
      </c>
      <c r="F577" s="216">
        <v>0.0</v>
      </c>
      <c r="G577" s="216" t="s">
        <v>3034</v>
      </c>
      <c r="H577" s="25"/>
    </row>
    <row r="578">
      <c r="A578" s="216">
        <v>1.1620004E7</v>
      </c>
      <c r="B578" s="216" t="s">
        <v>3137</v>
      </c>
      <c r="C578" s="216" t="s">
        <v>3133</v>
      </c>
      <c r="D578" s="25"/>
      <c r="E578" s="216">
        <v>-0.1</v>
      </c>
      <c r="F578" s="216">
        <v>-0.1</v>
      </c>
      <c r="G578" s="216" t="s">
        <v>1124</v>
      </c>
      <c r="H578" s="25"/>
    </row>
    <row r="579">
      <c r="A579" s="216">
        <v>1.1620005E7</v>
      </c>
      <c r="B579" s="216" t="s">
        <v>3138</v>
      </c>
      <c r="C579" s="216" t="s">
        <v>3133</v>
      </c>
      <c r="D579" s="25"/>
      <c r="E579" s="216">
        <v>0.92</v>
      </c>
      <c r="F579" s="216">
        <v>0.92</v>
      </c>
      <c r="G579" s="216" t="s">
        <v>1124</v>
      </c>
      <c r="H579" s="25"/>
    </row>
    <row r="580">
      <c r="A580" s="216">
        <v>1.1620006E7</v>
      </c>
      <c r="B580" s="216" t="s">
        <v>3139</v>
      </c>
      <c r="C580" s="216" t="s">
        <v>3133</v>
      </c>
      <c r="D580" s="25"/>
      <c r="E580" s="216">
        <v>5.0E-4</v>
      </c>
      <c r="F580" s="216">
        <v>5.0E-4</v>
      </c>
      <c r="G580" s="216" t="s">
        <v>1124</v>
      </c>
      <c r="H580" s="25"/>
    </row>
    <row r="581">
      <c r="A581" s="216">
        <v>1.1620007E7</v>
      </c>
      <c r="B581" s="216" t="s">
        <v>3140</v>
      </c>
      <c r="C581" s="216" t="s">
        <v>3133</v>
      </c>
      <c r="D581" s="25"/>
      <c r="E581" s="216">
        <v>0.75</v>
      </c>
      <c r="F581" s="216">
        <v>0.75</v>
      </c>
      <c r="G581" s="216" t="s">
        <v>1124</v>
      </c>
      <c r="H581" s="25"/>
    </row>
    <row r="582">
      <c r="A582" s="216">
        <v>1.1620008E7</v>
      </c>
      <c r="B582" s="216" t="s">
        <v>3141</v>
      </c>
      <c r="C582" s="216" t="s">
        <v>3133</v>
      </c>
      <c r="D582" s="25"/>
      <c r="E582" s="216">
        <v>-0.1</v>
      </c>
      <c r="F582" s="216">
        <v>-0.1</v>
      </c>
      <c r="G582" s="216" t="s">
        <v>1124</v>
      </c>
      <c r="H582" s="25"/>
    </row>
    <row r="583">
      <c r="A583" s="216">
        <v>1.1620009E7</v>
      </c>
      <c r="B583" s="216" t="s">
        <v>3142</v>
      </c>
      <c r="C583" s="216" t="s">
        <v>3133</v>
      </c>
      <c r="D583" s="25"/>
      <c r="E583" s="216">
        <v>-0.1</v>
      </c>
      <c r="F583" s="216">
        <v>-0.1</v>
      </c>
      <c r="G583" s="216" t="s">
        <v>1124</v>
      </c>
      <c r="H583" s="25"/>
    </row>
    <row r="584">
      <c r="A584" s="216">
        <v>1.162001E7</v>
      </c>
      <c r="B584" s="216" t="s">
        <v>3143</v>
      </c>
      <c r="C584" s="216" t="s">
        <v>3133</v>
      </c>
      <c r="D584" s="25"/>
      <c r="E584" s="216">
        <v>0.0</v>
      </c>
      <c r="F584" s="216">
        <v>0.0</v>
      </c>
      <c r="G584" s="216" t="s">
        <v>3144</v>
      </c>
      <c r="H584" s="25"/>
    </row>
    <row r="585">
      <c r="A585" s="216">
        <v>1.1620011E7</v>
      </c>
      <c r="B585" s="216" t="s">
        <v>3145</v>
      </c>
      <c r="C585" s="216" t="s">
        <v>3133</v>
      </c>
      <c r="D585" s="25"/>
      <c r="E585" s="216">
        <v>0.0</v>
      </c>
      <c r="F585" s="216">
        <v>0.0</v>
      </c>
      <c r="G585" s="216" t="s">
        <v>3144</v>
      </c>
      <c r="H585" s="25"/>
    </row>
    <row r="586">
      <c r="A586" s="216">
        <v>1.1620012E7</v>
      </c>
      <c r="B586" s="216" t="s">
        <v>3146</v>
      </c>
      <c r="C586" s="216" t="s">
        <v>3133</v>
      </c>
      <c r="D586" s="25"/>
      <c r="E586" s="216">
        <v>0.0</v>
      </c>
      <c r="F586" s="216">
        <v>0.0</v>
      </c>
      <c r="G586" s="216" t="s">
        <v>3034</v>
      </c>
      <c r="H586" s="25"/>
    </row>
    <row r="587">
      <c r="A587" s="216">
        <v>1.1620013E7</v>
      </c>
      <c r="B587" s="216" t="s">
        <v>3147</v>
      </c>
      <c r="C587" s="216" t="s">
        <v>3133</v>
      </c>
      <c r="D587" s="25"/>
      <c r="E587" s="216">
        <v>512.0</v>
      </c>
      <c r="F587" s="216">
        <v>512.0</v>
      </c>
      <c r="G587" s="216" t="s">
        <v>3034</v>
      </c>
      <c r="H587" s="25"/>
    </row>
    <row r="588">
      <c r="A588" s="216">
        <v>1.1620014E7</v>
      </c>
      <c r="B588" s="216" t="s">
        <v>3148</v>
      </c>
      <c r="C588" s="216" t="s">
        <v>3133</v>
      </c>
      <c r="D588" s="25"/>
      <c r="E588" s="216">
        <v>255.0</v>
      </c>
      <c r="F588" s="216">
        <v>255.0</v>
      </c>
      <c r="G588" s="216" t="s">
        <v>3034</v>
      </c>
      <c r="H588" s="25"/>
    </row>
    <row r="589">
      <c r="A589" s="216">
        <v>1.1620015E7</v>
      </c>
      <c r="B589" s="216" t="s">
        <v>3149</v>
      </c>
      <c r="C589" s="216" t="s">
        <v>3133</v>
      </c>
      <c r="D589" s="25"/>
      <c r="E589" s="216">
        <v>0.0</v>
      </c>
      <c r="F589" s="216">
        <v>0.0</v>
      </c>
      <c r="G589" s="216" t="s">
        <v>3034</v>
      </c>
      <c r="H589" s="25"/>
    </row>
    <row r="590">
      <c r="A590" s="216">
        <v>1.1620016E7</v>
      </c>
      <c r="B590" s="216" t="s">
        <v>3150</v>
      </c>
      <c r="C590" s="216" t="s">
        <v>3133</v>
      </c>
      <c r="D590" s="25"/>
      <c r="E590" s="216">
        <v>0.0</v>
      </c>
      <c r="F590" s="216">
        <v>0.0</v>
      </c>
      <c r="G590" s="216" t="s">
        <v>3034</v>
      </c>
      <c r="H590" s="25"/>
    </row>
    <row r="591">
      <c r="A591" s="216">
        <v>1.162E7</v>
      </c>
      <c r="B591" s="216" t="s">
        <v>3132</v>
      </c>
      <c r="C591" s="216" t="s">
        <v>3151</v>
      </c>
      <c r="D591" s="25"/>
      <c r="E591" s="216" t="s">
        <v>2730</v>
      </c>
      <c r="F591" s="216" t="s">
        <v>2730</v>
      </c>
      <c r="G591" s="217"/>
      <c r="H591" s="25"/>
    </row>
    <row r="592">
      <c r="A592" s="216">
        <v>1.1620001E7</v>
      </c>
      <c r="B592" s="216" t="s">
        <v>3134</v>
      </c>
      <c r="C592" s="216" t="s">
        <v>3151</v>
      </c>
      <c r="D592" s="25"/>
      <c r="E592" s="216">
        <v>-250.0</v>
      </c>
      <c r="F592" s="216">
        <v>-250.0</v>
      </c>
      <c r="G592" s="216" t="s">
        <v>3034</v>
      </c>
      <c r="H592" s="25"/>
    </row>
    <row r="593">
      <c r="A593" s="216">
        <v>1.1620002E7</v>
      </c>
      <c r="B593" s="216" t="s">
        <v>3135</v>
      </c>
      <c r="C593" s="216" t="s">
        <v>3151</v>
      </c>
      <c r="D593" s="25"/>
      <c r="E593" s="216">
        <v>0.0</v>
      </c>
      <c r="F593" s="216">
        <v>0.0</v>
      </c>
      <c r="G593" s="216" t="s">
        <v>3034</v>
      </c>
      <c r="H593" s="25"/>
    </row>
    <row r="594">
      <c r="A594" s="216">
        <v>1.1620003E7</v>
      </c>
      <c r="B594" s="216" t="s">
        <v>3136</v>
      </c>
      <c r="C594" s="216" t="s">
        <v>3151</v>
      </c>
      <c r="D594" s="25"/>
      <c r="E594" s="216">
        <v>0.0</v>
      </c>
      <c r="F594" s="216">
        <v>0.0</v>
      </c>
      <c r="G594" s="216" t="s">
        <v>3034</v>
      </c>
      <c r="H594" s="25"/>
    </row>
    <row r="595">
      <c r="A595" s="216">
        <v>1.1620004E7</v>
      </c>
      <c r="B595" s="216" t="s">
        <v>3137</v>
      </c>
      <c r="C595" s="216" t="s">
        <v>3151</v>
      </c>
      <c r="D595" s="25"/>
      <c r="E595" s="216">
        <v>-0.1</v>
      </c>
      <c r="F595" s="216">
        <v>-0.1</v>
      </c>
      <c r="G595" s="216" t="s">
        <v>1124</v>
      </c>
      <c r="H595" s="25"/>
    </row>
    <row r="596">
      <c r="A596" s="216">
        <v>1.1620005E7</v>
      </c>
      <c r="B596" s="216" t="s">
        <v>3138</v>
      </c>
      <c r="C596" s="216" t="s">
        <v>3151</v>
      </c>
      <c r="D596" s="25"/>
      <c r="E596" s="216">
        <v>0.92</v>
      </c>
      <c r="F596" s="216">
        <v>0.92</v>
      </c>
      <c r="G596" s="216" t="s">
        <v>1124</v>
      </c>
      <c r="H596" s="25"/>
    </row>
    <row r="597">
      <c r="A597" s="216">
        <v>1.1620006E7</v>
      </c>
      <c r="B597" s="216" t="s">
        <v>3139</v>
      </c>
      <c r="C597" s="216" t="s">
        <v>3151</v>
      </c>
      <c r="D597" s="25"/>
      <c r="E597" s="216">
        <v>5.0E-4</v>
      </c>
      <c r="F597" s="216">
        <v>5.0E-4</v>
      </c>
      <c r="G597" s="216" t="s">
        <v>1124</v>
      </c>
      <c r="H597" s="25"/>
    </row>
    <row r="598">
      <c r="A598" s="216">
        <v>1.1620007E7</v>
      </c>
      <c r="B598" s="216" t="s">
        <v>3140</v>
      </c>
      <c r="C598" s="216" t="s">
        <v>3151</v>
      </c>
      <c r="D598" s="25"/>
      <c r="E598" s="216">
        <v>0.75</v>
      </c>
      <c r="F598" s="216">
        <v>0.75</v>
      </c>
      <c r="G598" s="216" t="s">
        <v>1124</v>
      </c>
      <c r="H598" s="25"/>
    </row>
    <row r="599">
      <c r="A599" s="216">
        <v>1.1620008E7</v>
      </c>
      <c r="B599" s="216" t="s">
        <v>3141</v>
      </c>
      <c r="C599" s="216" t="s">
        <v>3151</v>
      </c>
      <c r="D599" s="25"/>
      <c r="E599" s="216">
        <v>-0.1</v>
      </c>
      <c r="F599" s="216">
        <v>-0.1</v>
      </c>
      <c r="G599" s="216" t="s">
        <v>1124</v>
      </c>
      <c r="H599" s="25"/>
    </row>
    <row r="600">
      <c r="A600" s="216">
        <v>1.1620009E7</v>
      </c>
      <c r="B600" s="216" t="s">
        <v>3142</v>
      </c>
      <c r="C600" s="216" t="s">
        <v>3151</v>
      </c>
      <c r="D600" s="25"/>
      <c r="E600" s="216">
        <v>-0.1</v>
      </c>
      <c r="F600" s="216">
        <v>-0.1</v>
      </c>
      <c r="G600" s="216" t="s">
        <v>1124</v>
      </c>
      <c r="H600" s="25"/>
    </row>
    <row r="601">
      <c r="A601" s="216">
        <v>1.162001E7</v>
      </c>
      <c r="B601" s="216" t="s">
        <v>3143</v>
      </c>
      <c r="C601" s="216" t="s">
        <v>3151</v>
      </c>
      <c r="D601" s="25"/>
      <c r="E601" s="216">
        <v>0.0</v>
      </c>
      <c r="F601" s="216">
        <v>0.0</v>
      </c>
      <c r="G601" s="216" t="s">
        <v>3144</v>
      </c>
      <c r="H601" s="25"/>
    </row>
    <row r="602">
      <c r="A602" s="216">
        <v>1.1620011E7</v>
      </c>
      <c r="B602" s="216" t="s">
        <v>3145</v>
      </c>
      <c r="C602" s="216" t="s">
        <v>3151</v>
      </c>
      <c r="D602" s="25"/>
      <c r="E602" s="216">
        <v>0.0</v>
      </c>
      <c r="F602" s="216">
        <v>0.0</v>
      </c>
      <c r="G602" s="216" t="s">
        <v>3144</v>
      </c>
      <c r="H602" s="25"/>
    </row>
    <row r="603">
      <c r="A603" s="216">
        <v>1.1620012E7</v>
      </c>
      <c r="B603" s="216" t="s">
        <v>3146</v>
      </c>
      <c r="C603" s="216" t="s">
        <v>3151</v>
      </c>
      <c r="D603" s="25"/>
      <c r="E603" s="216">
        <v>0.0</v>
      </c>
      <c r="F603" s="216">
        <v>0.0</v>
      </c>
      <c r="G603" s="216" t="s">
        <v>3034</v>
      </c>
      <c r="H603" s="25"/>
    </row>
    <row r="604">
      <c r="A604" s="216">
        <v>1.1620013E7</v>
      </c>
      <c r="B604" s="216" t="s">
        <v>3147</v>
      </c>
      <c r="C604" s="216" t="s">
        <v>3151</v>
      </c>
      <c r="D604" s="25"/>
      <c r="E604" s="216">
        <v>512.0</v>
      </c>
      <c r="F604" s="216">
        <v>512.0</v>
      </c>
      <c r="G604" s="216" t="s">
        <v>3034</v>
      </c>
      <c r="H604" s="25"/>
    </row>
    <row r="605">
      <c r="A605" s="216">
        <v>1.1620014E7</v>
      </c>
      <c r="B605" s="216" t="s">
        <v>3148</v>
      </c>
      <c r="C605" s="216" t="s">
        <v>3151</v>
      </c>
      <c r="D605" s="25"/>
      <c r="E605" s="216">
        <v>255.0</v>
      </c>
      <c r="F605" s="216">
        <v>255.0</v>
      </c>
      <c r="G605" s="216" t="s">
        <v>3034</v>
      </c>
      <c r="H605" s="25"/>
    </row>
    <row r="606">
      <c r="A606" s="216">
        <v>1.1620015E7</v>
      </c>
      <c r="B606" s="216" t="s">
        <v>3149</v>
      </c>
      <c r="C606" s="216" t="s">
        <v>3151</v>
      </c>
      <c r="D606" s="25"/>
      <c r="E606" s="216">
        <v>0.0</v>
      </c>
      <c r="F606" s="216">
        <v>0.0</v>
      </c>
      <c r="G606" s="216" t="s">
        <v>3034</v>
      </c>
      <c r="H606" s="25"/>
    </row>
    <row r="607">
      <c r="A607" s="216">
        <v>1.1620016E7</v>
      </c>
      <c r="B607" s="216" t="s">
        <v>3150</v>
      </c>
      <c r="C607" s="216" t="s">
        <v>3151</v>
      </c>
      <c r="D607" s="25"/>
      <c r="E607" s="216">
        <v>0.0</v>
      </c>
      <c r="F607" s="216">
        <v>0.0</v>
      </c>
      <c r="G607" s="216" t="s">
        <v>3034</v>
      </c>
      <c r="H607" s="25"/>
    </row>
    <row r="608">
      <c r="A608" s="216">
        <v>1.16201E7</v>
      </c>
      <c r="B608" s="216" t="s">
        <v>3132</v>
      </c>
      <c r="C608" s="216" t="s">
        <v>3152</v>
      </c>
      <c r="D608" s="25"/>
      <c r="E608" s="216" t="s">
        <v>2730</v>
      </c>
      <c r="F608" s="216" t="s">
        <v>2730</v>
      </c>
      <c r="G608" s="217"/>
      <c r="H608" s="25"/>
    </row>
    <row r="609">
      <c r="A609" s="216">
        <v>1.1620101E7</v>
      </c>
      <c r="B609" s="216" t="s">
        <v>3146</v>
      </c>
      <c r="C609" s="216" t="s">
        <v>3152</v>
      </c>
      <c r="D609" s="25"/>
      <c r="E609" s="216">
        <v>0.0</v>
      </c>
      <c r="F609" s="216">
        <v>0.0</v>
      </c>
      <c r="G609" s="216" t="s">
        <v>3034</v>
      </c>
      <c r="H609" s="25"/>
    </row>
    <row r="610">
      <c r="A610" s="216">
        <v>1.1620102E7</v>
      </c>
      <c r="B610" s="216" t="s">
        <v>3147</v>
      </c>
      <c r="C610" s="216" t="s">
        <v>3152</v>
      </c>
      <c r="D610" s="25"/>
      <c r="E610" s="216">
        <v>512.0</v>
      </c>
      <c r="F610" s="216">
        <v>512.0</v>
      </c>
      <c r="G610" s="216" t="s">
        <v>3034</v>
      </c>
      <c r="H610" s="25"/>
    </row>
    <row r="611">
      <c r="A611" s="216">
        <v>1.1503E7</v>
      </c>
      <c r="B611" s="216" t="s">
        <v>3153</v>
      </c>
      <c r="C611" s="216" t="s">
        <v>3154</v>
      </c>
      <c r="D611" s="25"/>
      <c r="E611" s="216" t="s">
        <v>2730</v>
      </c>
      <c r="F611" s="216" t="s">
        <v>2730</v>
      </c>
      <c r="G611" s="217"/>
      <c r="H611" s="25"/>
    </row>
    <row r="612">
      <c r="A612" s="216">
        <v>1.1503001E7</v>
      </c>
      <c r="B612" s="216" t="s">
        <v>3155</v>
      </c>
      <c r="C612" s="216" t="s">
        <v>3154</v>
      </c>
      <c r="D612" s="25"/>
      <c r="E612" s="216">
        <v>-100.0</v>
      </c>
      <c r="F612" s="216">
        <v>-100.0</v>
      </c>
      <c r="G612" s="216" t="s">
        <v>3034</v>
      </c>
      <c r="H612" s="25"/>
    </row>
    <row r="613">
      <c r="A613" s="216">
        <v>1.1503002E7</v>
      </c>
      <c r="B613" s="216" t="s">
        <v>3156</v>
      </c>
      <c r="C613" s="216" t="s">
        <v>3154</v>
      </c>
      <c r="D613" s="25"/>
      <c r="E613" s="216">
        <v>0.0</v>
      </c>
      <c r="F613" s="216">
        <v>0.0</v>
      </c>
      <c r="G613" s="216" t="s">
        <v>3034</v>
      </c>
      <c r="H613" s="25"/>
    </row>
    <row r="614">
      <c r="A614" s="216">
        <v>1.1503003E7</v>
      </c>
      <c r="B614" s="216" t="s">
        <v>3157</v>
      </c>
      <c r="C614" s="216" t="s">
        <v>3154</v>
      </c>
      <c r="D614" s="25"/>
      <c r="E614" s="216">
        <v>0.0</v>
      </c>
      <c r="F614" s="216">
        <v>0.0</v>
      </c>
      <c r="G614" s="216" t="s">
        <v>3034</v>
      </c>
      <c r="H614" s="25"/>
    </row>
    <row r="615">
      <c r="A615" s="216">
        <v>1.1503004E7</v>
      </c>
      <c r="B615" s="216" t="s">
        <v>3158</v>
      </c>
      <c r="C615" s="216" t="s">
        <v>3154</v>
      </c>
      <c r="D615" s="25"/>
      <c r="E615" s="216">
        <v>-3.5</v>
      </c>
      <c r="F615" s="216">
        <v>-3.5</v>
      </c>
      <c r="G615" s="216" t="s">
        <v>1124</v>
      </c>
      <c r="H615" s="25"/>
    </row>
    <row r="616">
      <c r="A616" s="216">
        <v>1.1503005E7</v>
      </c>
      <c r="B616" s="216" t="s">
        <v>3159</v>
      </c>
      <c r="C616" s="216" t="s">
        <v>3154</v>
      </c>
      <c r="D616" s="25"/>
      <c r="E616" s="216">
        <v>0.8</v>
      </c>
      <c r="F616" s="216">
        <v>0.8</v>
      </c>
      <c r="G616" s="216" t="s">
        <v>1124</v>
      </c>
      <c r="H616" s="25"/>
    </row>
    <row r="617">
      <c r="A617" s="216">
        <v>1.1503006E7</v>
      </c>
      <c r="B617" s="216" t="s">
        <v>3160</v>
      </c>
      <c r="C617" s="216" t="s">
        <v>3154</v>
      </c>
      <c r="D617" s="25"/>
      <c r="E617" s="216">
        <v>0.003</v>
      </c>
      <c r="F617" s="216">
        <v>0.003</v>
      </c>
      <c r="G617" s="216" t="s">
        <v>1124</v>
      </c>
      <c r="H617" s="25"/>
    </row>
    <row r="618">
      <c r="A618" s="216">
        <v>1.1503007E7</v>
      </c>
      <c r="B618" s="216" t="s">
        <v>3161</v>
      </c>
      <c r="C618" s="216" t="s">
        <v>3154</v>
      </c>
      <c r="D618" s="25"/>
      <c r="E618" s="216">
        <v>3.433</v>
      </c>
      <c r="F618" s="216">
        <v>3.433</v>
      </c>
      <c r="G618" s="216" t="s">
        <v>1124</v>
      </c>
      <c r="H618" s="25"/>
    </row>
    <row r="619">
      <c r="A619" s="216">
        <v>1.1503008E7</v>
      </c>
      <c r="B619" s="216" t="s">
        <v>3162</v>
      </c>
      <c r="C619" s="216" t="s">
        <v>3154</v>
      </c>
      <c r="D619" s="25"/>
      <c r="E619" s="216">
        <v>-0.5</v>
      </c>
      <c r="F619" s="216">
        <v>-0.5</v>
      </c>
      <c r="G619" s="216" t="s">
        <v>1124</v>
      </c>
      <c r="H619" s="25"/>
    </row>
    <row r="620">
      <c r="A620" s="216">
        <v>1.1503009E7</v>
      </c>
      <c r="B620" s="216" t="s">
        <v>3163</v>
      </c>
      <c r="C620" s="216" t="s">
        <v>3154</v>
      </c>
      <c r="D620" s="25"/>
      <c r="E620" s="216">
        <v>-0.25</v>
      </c>
      <c r="F620" s="216">
        <v>-0.25</v>
      </c>
      <c r="G620" s="216" t="s">
        <v>1124</v>
      </c>
      <c r="H620" s="25"/>
    </row>
    <row r="621">
      <c r="A621" s="216">
        <v>1.150301E7</v>
      </c>
      <c r="B621" s="216" t="s">
        <v>3164</v>
      </c>
      <c r="C621" s="216" t="s">
        <v>3154</v>
      </c>
      <c r="D621" s="25"/>
      <c r="E621" s="216">
        <v>0.0</v>
      </c>
      <c r="F621" s="216">
        <v>0.0</v>
      </c>
      <c r="G621" s="216" t="s">
        <v>3144</v>
      </c>
      <c r="H621" s="25"/>
    </row>
    <row r="622">
      <c r="A622" s="216">
        <v>1.1503011E7</v>
      </c>
      <c r="B622" s="216" t="s">
        <v>3165</v>
      </c>
      <c r="C622" s="216" t="s">
        <v>3154</v>
      </c>
      <c r="D622" s="25"/>
      <c r="E622" s="216">
        <v>0.0</v>
      </c>
      <c r="F622" s="216">
        <v>0.0</v>
      </c>
      <c r="G622" s="216" t="s">
        <v>3144</v>
      </c>
      <c r="H622" s="25"/>
    </row>
    <row r="623">
      <c r="A623" s="216">
        <v>1.1503012E7</v>
      </c>
      <c r="B623" s="216" t="s">
        <v>3166</v>
      </c>
      <c r="C623" s="216" t="s">
        <v>3154</v>
      </c>
      <c r="D623" s="25"/>
      <c r="E623" s="216">
        <v>0.0</v>
      </c>
      <c r="F623" s="216">
        <v>0.0</v>
      </c>
      <c r="G623" s="216" t="s">
        <v>3034</v>
      </c>
      <c r="H623" s="25"/>
    </row>
    <row r="624">
      <c r="A624" s="216">
        <v>1.1503013E7</v>
      </c>
      <c r="B624" s="216" t="s">
        <v>3167</v>
      </c>
      <c r="C624" s="216" t="s">
        <v>3154</v>
      </c>
      <c r="D624" s="25"/>
      <c r="E624" s="216">
        <v>512.0</v>
      </c>
      <c r="F624" s="216">
        <v>512.0</v>
      </c>
      <c r="G624" s="216" t="s">
        <v>3034</v>
      </c>
      <c r="H624" s="25"/>
    </row>
    <row r="625">
      <c r="A625" s="216">
        <v>1.1503014E7</v>
      </c>
      <c r="B625" s="216" t="s">
        <v>3168</v>
      </c>
      <c r="C625" s="216" t="s">
        <v>3154</v>
      </c>
      <c r="D625" s="25"/>
      <c r="E625" s="216">
        <v>255.0</v>
      </c>
      <c r="F625" s="216">
        <v>255.0</v>
      </c>
      <c r="G625" s="216" t="s">
        <v>3034</v>
      </c>
      <c r="H625" s="25"/>
    </row>
    <row r="626">
      <c r="A626" s="216">
        <v>1.1503015E7</v>
      </c>
      <c r="B626" s="216" t="s">
        <v>3169</v>
      </c>
      <c r="C626" s="216" t="s">
        <v>3154</v>
      </c>
      <c r="D626" s="25"/>
      <c r="E626" s="216">
        <v>0.0</v>
      </c>
      <c r="F626" s="216">
        <v>0.0</v>
      </c>
      <c r="G626" s="216" t="s">
        <v>3034</v>
      </c>
      <c r="H626" s="25"/>
    </row>
    <row r="627">
      <c r="A627" s="216">
        <v>1.1503016E7</v>
      </c>
      <c r="B627" s="216" t="s">
        <v>3170</v>
      </c>
      <c r="C627" s="216" t="s">
        <v>3154</v>
      </c>
      <c r="D627" s="25"/>
      <c r="E627" s="216">
        <v>0.0</v>
      </c>
      <c r="F627" s="216">
        <v>0.0</v>
      </c>
      <c r="G627" s="216" t="s">
        <v>3034</v>
      </c>
      <c r="H627" s="25"/>
    </row>
    <row r="628">
      <c r="A628" s="216">
        <v>1.1503E7</v>
      </c>
      <c r="B628" s="216" t="s">
        <v>3153</v>
      </c>
      <c r="C628" s="216" t="s">
        <v>3171</v>
      </c>
      <c r="D628" s="25"/>
      <c r="E628" s="216" t="s">
        <v>2730</v>
      </c>
      <c r="F628" s="216" t="s">
        <v>2730</v>
      </c>
      <c r="G628" s="217"/>
      <c r="H628" s="25"/>
    </row>
    <row r="629">
      <c r="A629" s="216">
        <v>1.1503001E7</v>
      </c>
      <c r="B629" s="216" t="s">
        <v>3155</v>
      </c>
      <c r="C629" s="216" t="s">
        <v>3171</v>
      </c>
      <c r="D629" s="25"/>
      <c r="E629" s="216">
        <v>-100.0</v>
      </c>
      <c r="F629" s="216">
        <v>-100.0</v>
      </c>
      <c r="G629" s="216" t="s">
        <v>3034</v>
      </c>
      <c r="H629" s="25"/>
    </row>
    <row r="630">
      <c r="A630" s="216">
        <v>1.1503002E7</v>
      </c>
      <c r="B630" s="216" t="s">
        <v>3156</v>
      </c>
      <c r="C630" s="216" t="s">
        <v>3171</v>
      </c>
      <c r="D630" s="25"/>
      <c r="E630" s="216">
        <v>0.0</v>
      </c>
      <c r="F630" s="216">
        <v>0.0</v>
      </c>
      <c r="G630" s="216" t="s">
        <v>3034</v>
      </c>
      <c r="H630" s="25"/>
    </row>
    <row r="631">
      <c r="A631" s="216">
        <v>1.1503003E7</v>
      </c>
      <c r="B631" s="216" t="s">
        <v>3157</v>
      </c>
      <c r="C631" s="216" t="s">
        <v>3171</v>
      </c>
      <c r="D631" s="25"/>
      <c r="E631" s="216">
        <v>0.0</v>
      </c>
      <c r="F631" s="216">
        <v>0.0</v>
      </c>
      <c r="G631" s="216" t="s">
        <v>3034</v>
      </c>
      <c r="H631" s="25"/>
    </row>
    <row r="632">
      <c r="A632" s="216">
        <v>1.1503004E7</v>
      </c>
      <c r="B632" s="216" t="s">
        <v>3158</v>
      </c>
      <c r="C632" s="216" t="s">
        <v>3171</v>
      </c>
      <c r="D632" s="25"/>
      <c r="E632" s="216">
        <v>-3.5</v>
      </c>
      <c r="F632" s="216">
        <v>-3.5</v>
      </c>
      <c r="G632" s="216" t="s">
        <v>1124</v>
      </c>
      <c r="H632" s="25"/>
    </row>
    <row r="633">
      <c r="A633" s="216">
        <v>1.1503005E7</v>
      </c>
      <c r="B633" s="216" t="s">
        <v>3159</v>
      </c>
      <c r="C633" s="216" t="s">
        <v>3171</v>
      </c>
      <c r="D633" s="25"/>
      <c r="E633" s="216">
        <v>0.8</v>
      </c>
      <c r="F633" s="216">
        <v>0.8</v>
      </c>
      <c r="G633" s="216" t="s">
        <v>1124</v>
      </c>
      <c r="H633" s="25"/>
    </row>
    <row r="634">
      <c r="A634" s="216">
        <v>1.1503006E7</v>
      </c>
      <c r="B634" s="216" t="s">
        <v>3160</v>
      </c>
      <c r="C634" s="216" t="s">
        <v>3171</v>
      </c>
      <c r="D634" s="25"/>
      <c r="E634" s="216">
        <v>0.003</v>
      </c>
      <c r="F634" s="216">
        <v>0.003</v>
      </c>
      <c r="G634" s="216" t="s">
        <v>1124</v>
      </c>
      <c r="H634" s="25"/>
    </row>
    <row r="635">
      <c r="A635" s="216">
        <v>1.1503007E7</v>
      </c>
      <c r="B635" s="216" t="s">
        <v>3161</v>
      </c>
      <c r="C635" s="216" t="s">
        <v>3171</v>
      </c>
      <c r="D635" s="25"/>
      <c r="E635" s="216">
        <v>3.433</v>
      </c>
      <c r="F635" s="216">
        <v>3.433</v>
      </c>
      <c r="G635" s="216" t="s">
        <v>1124</v>
      </c>
      <c r="H635" s="25"/>
    </row>
    <row r="636">
      <c r="A636" s="216">
        <v>1.1503008E7</v>
      </c>
      <c r="B636" s="216" t="s">
        <v>3162</v>
      </c>
      <c r="C636" s="216" t="s">
        <v>3171</v>
      </c>
      <c r="D636" s="25"/>
      <c r="E636" s="216">
        <v>-0.5</v>
      </c>
      <c r="F636" s="216">
        <v>-0.5</v>
      </c>
      <c r="G636" s="216" t="s">
        <v>1124</v>
      </c>
      <c r="H636" s="25"/>
    </row>
    <row r="637">
      <c r="A637" s="216">
        <v>1.1503009E7</v>
      </c>
      <c r="B637" s="216" t="s">
        <v>3163</v>
      </c>
      <c r="C637" s="216" t="s">
        <v>3171</v>
      </c>
      <c r="D637" s="25"/>
      <c r="E637" s="216">
        <v>-0.25</v>
      </c>
      <c r="F637" s="216">
        <v>-0.25</v>
      </c>
      <c r="G637" s="216" t="s">
        <v>1124</v>
      </c>
      <c r="H637" s="25"/>
    </row>
    <row r="638">
      <c r="A638" s="216">
        <v>1.150301E7</v>
      </c>
      <c r="B638" s="216" t="s">
        <v>3164</v>
      </c>
      <c r="C638" s="216" t="s">
        <v>3171</v>
      </c>
      <c r="D638" s="25"/>
      <c r="E638" s="216">
        <v>0.0</v>
      </c>
      <c r="F638" s="216">
        <v>0.0</v>
      </c>
      <c r="G638" s="216" t="s">
        <v>3144</v>
      </c>
      <c r="H638" s="25"/>
    </row>
    <row r="639">
      <c r="A639" s="216">
        <v>1.1503011E7</v>
      </c>
      <c r="B639" s="216" t="s">
        <v>3165</v>
      </c>
      <c r="C639" s="216" t="s">
        <v>3171</v>
      </c>
      <c r="D639" s="25"/>
      <c r="E639" s="216">
        <v>0.0</v>
      </c>
      <c r="F639" s="216">
        <v>0.0</v>
      </c>
      <c r="G639" s="216" t="s">
        <v>3144</v>
      </c>
      <c r="H639" s="25"/>
    </row>
    <row r="640">
      <c r="A640" s="216">
        <v>1.1503012E7</v>
      </c>
      <c r="B640" s="216" t="s">
        <v>3166</v>
      </c>
      <c r="C640" s="216" t="s">
        <v>3171</v>
      </c>
      <c r="D640" s="25"/>
      <c r="E640" s="216">
        <v>0.0</v>
      </c>
      <c r="F640" s="216">
        <v>0.0</v>
      </c>
      <c r="G640" s="216" t="s">
        <v>3034</v>
      </c>
      <c r="H640" s="25"/>
    </row>
    <row r="641">
      <c r="A641" s="216">
        <v>1.1503013E7</v>
      </c>
      <c r="B641" s="216" t="s">
        <v>3167</v>
      </c>
      <c r="C641" s="216" t="s">
        <v>3171</v>
      </c>
      <c r="D641" s="25"/>
      <c r="E641" s="216">
        <v>512.0</v>
      </c>
      <c r="F641" s="216">
        <v>512.0</v>
      </c>
      <c r="G641" s="216" t="s">
        <v>3034</v>
      </c>
      <c r="H641" s="25"/>
    </row>
    <row r="642">
      <c r="A642" s="216">
        <v>1.1503014E7</v>
      </c>
      <c r="B642" s="216" t="s">
        <v>3168</v>
      </c>
      <c r="C642" s="216" t="s">
        <v>3171</v>
      </c>
      <c r="D642" s="25"/>
      <c r="E642" s="216">
        <v>255.0</v>
      </c>
      <c r="F642" s="216">
        <v>255.0</v>
      </c>
      <c r="G642" s="216" t="s">
        <v>3034</v>
      </c>
      <c r="H642" s="25"/>
    </row>
    <row r="643">
      <c r="A643" s="216">
        <v>1.1503015E7</v>
      </c>
      <c r="B643" s="216" t="s">
        <v>3169</v>
      </c>
      <c r="C643" s="216" t="s">
        <v>3171</v>
      </c>
      <c r="D643" s="25"/>
      <c r="E643" s="216">
        <v>0.0</v>
      </c>
      <c r="F643" s="216">
        <v>0.0</v>
      </c>
      <c r="G643" s="216" t="s">
        <v>3034</v>
      </c>
      <c r="H643" s="25"/>
    </row>
    <row r="644">
      <c r="A644" s="216">
        <v>1.1503016E7</v>
      </c>
      <c r="B644" s="216" t="s">
        <v>3170</v>
      </c>
      <c r="C644" s="216" t="s">
        <v>3171</v>
      </c>
      <c r="D644" s="25"/>
      <c r="E644" s="216">
        <v>0.0</v>
      </c>
      <c r="F644" s="216">
        <v>0.0</v>
      </c>
      <c r="G644" s="216" t="s">
        <v>3034</v>
      </c>
      <c r="H644" s="25"/>
    </row>
    <row r="645">
      <c r="A645" s="216">
        <v>1.161E7</v>
      </c>
      <c r="B645" s="216" t="s">
        <v>3172</v>
      </c>
      <c r="C645" s="216" t="s">
        <v>3173</v>
      </c>
      <c r="D645" s="25"/>
      <c r="E645" s="216" t="s">
        <v>2730</v>
      </c>
      <c r="F645" s="216" t="s">
        <v>2730</v>
      </c>
      <c r="G645" s="217"/>
      <c r="H645" s="25"/>
    </row>
    <row r="646">
      <c r="A646" s="216">
        <v>1.1610001E7</v>
      </c>
      <c r="B646" s="216" t="s">
        <v>3174</v>
      </c>
      <c r="C646" s="216" t="s">
        <v>3173</v>
      </c>
      <c r="D646" s="25"/>
      <c r="E646" s="216">
        <v>0.65</v>
      </c>
      <c r="F646" s="216">
        <v>0.65</v>
      </c>
      <c r="G646" s="216" t="s">
        <v>1124</v>
      </c>
      <c r="H646" s="25"/>
    </row>
    <row r="647">
      <c r="A647" s="216">
        <v>1.1610002E7</v>
      </c>
      <c r="B647" s="216" t="s">
        <v>3175</v>
      </c>
      <c r="C647" s="216" t="s">
        <v>3173</v>
      </c>
      <c r="D647" s="25"/>
      <c r="E647" s="216">
        <v>0.65</v>
      </c>
      <c r="F647" s="216">
        <v>0.65</v>
      </c>
      <c r="G647" s="216" t="s">
        <v>1124</v>
      </c>
      <c r="H647" s="25"/>
    </row>
    <row r="648">
      <c r="A648" s="216">
        <v>1.1610003E7</v>
      </c>
      <c r="B648" s="216" t="s">
        <v>3176</v>
      </c>
      <c r="C648" s="216" t="s">
        <v>3173</v>
      </c>
      <c r="D648" s="25"/>
      <c r="E648" s="216">
        <v>600.0</v>
      </c>
      <c r="F648" s="216">
        <v>600.0</v>
      </c>
      <c r="G648" s="216" t="s">
        <v>3034</v>
      </c>
      <c r="H648" s="25"/>
    </row>
    <row r="649">
      <c r="A649" s="216">
        <v>1.1610004E7</v>
      </c>
      <c r="B649" s="216" t="s">
        <v>3177</v>
      </c>
      <c r="C649" s="216" t="s">
        <v>3173</v>
      </c>
      <c r="D649" s="25"/>
      <c r="E649" s="216">
        <v>600.0</v>
      </c>
      <c r="F649" s="216">
        <v>600.0</v>
      </c>
      <c r="G649" s="216" t="s">
        <v>3034</v>
      </c>
      <c r="H649" s="25"/>
    </row>
    <row r="650">
      <c r="A650" s="216">
        <v>1.1610005E7</v>
      </c>
      <c r="B650" s="216" t="s">
        <v>3178</v>
      </c>
      <c r="C650" s="216" t="s">
        <v>3173</v>
      </c>
      <c r="D650" s="25"/>
      <c r="E650" s="216">
        <v>0.65</v>
      </c>
      <c r="F650" s="216">
        <v>0.65</v>
      </c>
      <c r="G650" s="216" t="s">
        <v>1124</v>
      </c>
      <c r="H650" s="25"/>
    </row>
    <row r="651">
      <c r="A651" s="216">
        <v>1.1610006E7</v>
      </c>
      <c r="B651" s="216" t="s">
        <v>3179</v>
      </c>
      <c r="C651" s="216" t="s">
        <v>3173</v>
      </c>
      <c r="D651" s="25"/>
      <c r="E651" s="216">
        <v>0.65</v>
      </c>
      <c r="F651" s="216">
        <v>0.65</v>
      </c>
      <c r="G651" s="216" t="s">
        <v>1124</v>
      </c>
      <c r="H651" s="25"/>
    </row>
    <row r="652">
      <c r="A652" s="216">
        <v>1.1610007E7</v>
      </c>
      <c r="B652" s="216" t="s">
        <v>3180</v>
      </c>
      <c r="C652" s="216" t="s">
        <v>3173</v>
      </c>
      <c r="D652" s="25"/>
      <c r="E652" s="216">
        <v>600.0</v>
      </c>
      <c r="F652" s="216">
        <v>600.0</v>
      </c>
      <c r="G652" s="216" t="s">
        <v>3034</v>
      </c>
      <c r="H652" s="25"/>
    </row>
    <row r="653">
      <c r="A653" s="216">
        <v>1.1610008E7</v>
      </c>
      <c r="B653" s="216" t="s">
        <v>3181</v>
      </c>
      <c r="C653" s="216" t="s">
        <v>3173</v>
      </c>
      <c r="D653" s="25"/>
      <c r="E653" s="216">
        <v>600.0</v>
      </c>
      <c r="F653" s="216">
        <v>600.0</v>
      </c>
      <c r="G653" s="216" t="s">
        <v>3034</v>
      </c>
      <c r="H653" s="25"/>
    </row>
    <row r="654">
      <c r="A654" s="216">
        <v>1.1501E7</v>
      </c>
      <c r="B654" s="216" t="s">
        <v>3182</v>
      </c>
      <c r="C654" s="216" t="s">
        <v>134</v>
      </c>
      <c r="D654" s="25"/>
      <c r="E654" s="216" t="s">
        <v>2730</v>
      </c>
      <c r="F654" s="216" t="s">
        <v>2730</v>
      </c>
      <c r="G654" s="217"/>
      <c r="H654" s="25"/>
    </row>
    <row r="655">
      <c r="A655" s="216">
        <v>1.1501001E7</v>
      </c>
      <c r="B655" s="216" t="s">
        <v>3183</v>
      </c>
      <c r="C655" s="216" t="s">
        <v>134</v>
      </c>
      <c r="D655" s="25"/>
      <c r="E655" s="216">
        <v>0.0</v>
      </c>
      <c r="F655" s="216">
        <v>0.0</v>
      </c>
      <c r="G655" s="216" t="s">
        <v>3034</v>
      </c>
      <c r="H655" s="25"/>
    </row>
    <row r="656">
      <c r="A656" s="216">
        <v>1.1501002E7</v>
      </c>
      <c r="B656" s="216" t="s">
        <v>3184</v>
      </c>
      <c r="C656" s="216" t="s">
        <v>134</v>
      </c>
      <c r="D656" s="25"/>
      <c r="E656" s="216">
        <v>-4.0</v>
      </c>
      <c r="F656" s="216">
        <v>-4.0</v>
      </c>
      <c r="G656" s="216" t="s">
        <v>1124</v>
      </c>
      <c r="H656" s="25"/>
    </row>
    <row r="657">
      <c r="A657" s="216">
        <v>1.1501003E7</v>
      </c>
      <c r="B657" s="216" t="s">
        <v>3185</v>
      </c>
      <c r="C657" s="216" t="s">
        <v>134</v>
      </c>
      <c r="D657" s="25"/>
      <c r="E657" s="216">
        <v>1.0</v>
      </c>
      <c r="F657" s="216">
        <v>1.0</v>
      </c>
      <c r="G657" s="216" t="s">
        <v>3034</v>
      </c>
      <c r="H657" s="25"/>
    </row>
    <row r="658">
      <c r="A658" s="216">
        <v>1.1501004E7</v>
      </c>
      <c r="B658" s="216" t="s">
        <v>3186</v>
      </c>
      <c r="C658" s="216" t="s">
        <v>134</v>
      </c>
      <c r="D658" s="25"/>
      <c r="E658" s="216">
        <v>-3.6</v>
      </c>
      <c r="F658" s="216">
        <v>-3.6</v>
      </c>
      <c r="G658" s="216" t="s">
        <v>1124</v>
      </c>
      <c r="H658" s="25"/>
    </row>
    <row r="659">
      <c r="A659" s="216">
        <v>1.1501005E7</v>
      </c>
      <c r="B659" s="216" t="s">
        <v>3187</v>
      </c>
      <c r="C659" s="216" t="s">
        <v>134</v>
      </c>
      <c r="D659" s="25"/>
      <c r="E659" s="216">
        <v>2.0</v>
      </c>
      <c r="F659" s="216">
        <v>2.0</v>
      </c>
      <c r="G659" s="216" t="s">
        <v>3034</v>
      </c>
      <c r="H659" s="25"/>
    </row>
    <row r="660">
      <c r="A660" s="216">
        <v>1.1501006E7</v>
      </c>
      <c r="B660" s="216" t="s">
        <v>3188</v>
      </c>
      <c r="C660" s="216" t="s">
        <v>134</v>
      </c>
      <c r="D660" s="25"/>
      <c r="E660" s="216">
        <v>-3.1</v>
      </c>
      <c r="F660" s="216">
        <v>-3.1</v>
      </c>
      <c r="G660" s="216" t="s">
        <v>1124</v>
      </c>
      <c r="H660" s="25"/>
    </row>
    <row r="661">
      <c r="A661" s="216">
        <v>1.1501007E7</v>
      </c>
      <c r="B661" s="216" t="s">
        <v>3189</v>
      </c>
      <c r="C661" s="216" t="s">
        <v>134</v>
      </c>
      <c r="D661" s="25"/>
      <c r="E661" s="216">
        <v>3.0</v>
      </c>
      <c r="F661" s="216">
        <v>3.0</v>
      </c>
      <c r="G661" s="216" t="s">
        <v>3034</v>
      </c>
      <c r="H661" s="25"/>
    </row>
    <row r="662">
      <c r="A662" s="216">
        <v>1.1501008E7</v>
      </c>
      <c r="B662" s="216" t="s">
        <v>3190</v>
      </c>
      <c r="C662" s="216" t="s">
        <v>134</v>
      </c>
      <c r="D662" s="25"/>
      <c r="E662" s="216">
        <v>-2.55</v>
      </c>
      <c r="F662" s="216">
        <v>-2.55</v>
      </c>
      <c r="G662" s="216" t="s">
        <v>1124</v>
      </c>
      <c r="H662" s="25"/>
    </row>
    <row r="663">
      <c r="A663" s="216">
        <v>1.1504E7</v>
      </c>
      <c r="B663" s="216" t="s">
        <v>3191</v>
      </c>
      <c r="C663" s="216" t="s">
        <v>3192</v>
      </c>
      <c r="D663" s="25"/>
      <c r="E663" s="216" t="s">
        <v>2730</v>
      </c>
      <c r="F663" s="216" t="s">
        <v>2730</v>
      </c>
      <c r="G663" s="217"/>
      <c r="H663" s="25"/>
    </row>
    <row r="664">
      <c r="A664" s="216">
        <v>1.1504001E7</v>
      </c>
      <c r="B664" s="216" t="s">
        <v>3193</v>
      </c>
      <c r="C664" s="216" t="s">
        <v>3192</v>
      </c>
      <c r="D664" s="25"/>
      <c r="E664" s="216">
        <v>1.0E-5</v>
      </c>
      <c r="F664" s="216">
        <v>1.0E-5</v>
      </c>
      <c r="G664" s="216" t="s">
        <v>389</v>
      </c>
      <c r="H664" s="25"/>
    </row>
    <row r="665">
      <c r="A665" s="216">
        <v>1.1504002E7</v>
      </c>
      <c r="B665" s="216" t="s">
        <v>3194</v>
      </c>
      <c r="C665" s="216" t="s">
        <v>3192</v>
      </c>
      <c r="D665" s="25"/>
      <c r="E665" s="216">
        <v>0.0</v>
      </c>
      <c r="F665" s="216">
        <v>0.0</v>
      </c>
      <c r="G665" s="216" t="s">
        <v>3034</v>
      </c>
      <c r="H665" s="25"/>
    </row>
    <row r="666">
      <c r="A666" s="216">
        <v>1.1504003E7</v>
      </c>
      <c r="B666" s="216" t="s">
        <v>3195</v>
      </c>
      <c r="C666" s="216" t="s">
        <v>3192</v>
      </c>
      <c r="D666" s="25"/>
      <c r="E666" s="216">
        <v>5.0E-6</v>
      </c>
      <c r="F666" s="216">
        <v>5.0E-6</v>
      </c>
      <c r="G666" s="216" t="s">
        <v>389</v>
      </c>
      <c r="H666" s="25"/>
    </row>
    <row r="667">
      <c r="A667" s="216">
        <v>1.1504004E7</v>
      </c>
      <c r="B667" s="216" t="s">
        <v>3196</v>
      </c>
      <c r="C667" s="216" t="s">
        <v>3192</v>
      </c>
      <c r="D667" s="25"/>
      <c r="E667" s="216">
        <v>-0.5</v>
      </c>
      <c r="F667" s="216">
        <v>-0.5</v>
      </c>
      <c r="G667" s="216" t="s">
        <v>1124</v>
      </c>
      <c r="H667" s="25"/>
    </row>
    <row r="668">
      <c r="A668" s="216">
        <v>1.1504E7</v>
      </c>
      <c r="B668" s="216" t="s">
        <v>3197</v>
      </c>
      <c r="C668" s="216" t="s">
        <v>3198</v>
      </c>
      <c r="D668" s="25"/>
      <c r="E668" s="216" t="s">
        <v>2730</v>
      </c>
      <c r="F668" s="216" t="s">
        <v>2730</v>
      </c>
      <c r="G668" s="217"/>
      <c r="H668" s="25"/>
    </row>
    <row r="669">
      <c r="A669" s="216">
        <v>1.1504001E7</v>
      </c>
      <c r="B669" s="216" t="s">
        <v>3199</v>
      </c>
      <c r="C669" s="216" t="s">
        <v>3198</v>
      </c>
      <c r="D669" s="25"/>
      <c r="E669" s="216">
        <v>0.0</v>
      </c>
      <c r="F669" s="216">
        <v>0.0</v>
      </c>
      <c r="G669" s="216" t="s">
        <v>3034</v>
      </c>
      <c r="H669" s="25"/>
    </row>
    <row r="670">
      <c r="A670" s="216">
        <v>1.1504002E7</v>
      </c>
      <c r="B670" s="216" t="s">
        <v>3200</v>
      </c>
      <c r="C670" s="216" t="s">
        <v>3198</v>
      </c>
      <c r="D670" s="25"/>
      <c r="E670" s="216">
        <v>0.0</v>
      </c>
      <c r="F670" s="216">
        <v>0.0</v>
      </c>
      <c r="G670" s="216" t="s">
        <v>389</v>
      </c>
      <c r="H670" s="25"/>
    </row>
    <row r="671">
      <c r="A671" s="216">
        <v>1.1504003E7</v>
      </c>
      <c r="B671" s="216" t="s">
        <v>3201</v>
      </c>
      <c r="C671" s="216" t="s">
        <v>3198</v>
      </c>
      <c r="D671" s="25"/>
      <c r="E671" s="216">
        <v>0.0</v>
      </c>
      <c r="F671" s="216">
        <v>0.0</v>
      </c>
      <c r="G671" s="216" t="s">
        <v>389</v>
      </c>
      <c r="H671" s="25"/>
    </row>
    <row r="672">
      <c r="A672" s="216">
        <v>1.1504004E7</v>
      </c>
      <c r="B672" s="216" t="s">
        <v>3202</v>
      </c>
      <c r="C672" s="216" t="s">
        <v>3198</v>
      </c>
      <c r="D672" s="25"/>
      <c r="E672" s="216">
        <v>0.0</v>
      </c>
      <c r="F672" s="216">
        <v>0.0</v>
      </c>
      <c r="G672" s="216" t="s">
        <v>389</v>
      </c>
      <c r="H672" s="25"/>
    </row>
    <row r="673">
      <c r="A673" s="216">
        <v>1.1504E7</v>
      </c>
      <c r="B673" s="216" t="s">
        <v>3197</v>
      </c>
      <c r="C673" s="216" t="s">
        <v>3203</v>
      </c>
      <c r="D673" s="25"/>
      <c r="E673" s="216" t="s">
        <v>2730</v>
      </c>
      <c r="F673" s="216" t="s">
        <v>2730</v>
      </c>
      <c r="G673" s="217"/>
      <c r="H673" s="25"/>
    </row>
    <row r="674">
      <c r="A674" s="216">
        <v>1.1504001E7</v>
      </c>
      <c r="B674" s="216" t="s">
        <v>3199</v>
      </c>
      <c r="C674" s="216" t="s">
        <v>3203</v>
      </c>
      <c r="D674" s="25"/>
      <c r="E674" s="216">
        <v>0.0</v>
      </c>
      <c r="F674" s="216">
        <v>0.0</v>
      </c>
      <c r="G674" s="216" t="s">
        <v>3034</v>
      </c>
      <c r="H674" s="25"/>
    </row>
    <row r="675">
      <c r="A675" s="216">
        <v>1.1504002E7</v>
      </c>
      <c r="B675" s="216" t="s">
        <v>3200</v>
      </c>
      <c r="C675" s="216" t="s">
        <v>3203</v>
      </c>
      <c r="D675" s="25"/>
      <c r="E675" s="216">
        <v>6.0E-9</v>
      </c>
      <c r="F675" s="216">
        <v>6.0E-9</v>
      </c>
      <c r="G675" s="216" t="s">
        <v>389</v>
      </c>
      <c r="H675" s="25"/>
    </row>
    <row r="676">
      <c r="A676" s="216">
        <v>1.1504003E7</v>
      </c>
      <c r="B676" s="216" t="s">
        <v>3201</v>
      </c>
      <c r="C676" s="216" t="s">
        <v>3203</v>
      </c>
      <c r="D676" s="25"/>
      <c r="E676" s="216">
        <v>0.0</v>
      </c>
      <c r="F676" s="216">
        <v>0.0</v>
      </c>
      <c r="G676" s="216" t="s">
        <v>389</v>
      </c>
      <c r="H676" s="25"/>
    </row>
    <row r="677">
      <c r="A677" s="216">
        <v>1.1504004E7</v>
      </c>
      <c r="B677" s="216" t="s">
        <v>3202</v>
      </c>
      <c r="C677" s="216" t="s">
        <v>3203</v>
      </c>
      <c r="D677" s="25"/>
      <c r="E677" s="216">
        <v>0.0</v>
      </c>
      <c r="F677" s="216">
        <v>0.0</v>
      </c>
      <c r="G677" s="216" t="s">
        <v>389</v>
      </c>
      <c r="H677" s="25"/>
    </row>
    <row r="678">
      <c r="A678" s="216">
        <v>1.15041E7</v>
      </c>
      <c r="B678" s="216" t="s">
        <v>3204</v>
      </c>
      <c r="C678" s="216" t="s">
        <v>3205</v>
      </c>
      <c r="D678" s="25"/>
      <c r="E678" s="216" t="s">
        <v>2730</v>
      </c>
      <c r="F678" s="216" t="s">
        <v>2730</v>
      </c>
      <c r="G678" s="217"/>
      <c r="H678" s="25"/>
    </row>
    <row r="679">
      <c r="A679" s="216">
        <v>1.1504101E7</v>
      </c>
      <c r="B679" s="216" t="s">
        <v>3206</v>
      </c>
      <c r="C679" s="216" t="s">
        <v>3205</v>
      </c>
      <c r="D679" s="25"/>
      <c r="E679" s="216">
        <v>1.0E-5</v>
      </c>
      <c r="F679" s="216">
        <v>1.0E-5</v>
      </c>
      <c r="G679" s="216" t="s">
        <v>389</v>
      </c>
      <c r="H679" s="25"/>
    </row>
    <row r="680">
      <c r="A680" s="216">
        <v>1.1504102E7</v>
      </c>
      <c r="B680" s="216" t="s">
        <v>3207</v>
      </c>
      <c r="C680" s="216" t="s">
        <v>3205</v>
      </c>
      <c r="D680" s="25"/>
      <c r="E680" s="216">
        <v>0.0</v>
      </c>
      <c r="F680" s="216">
        <v>0.0</v>
      </c>
      <c r="G680" s="216" t="s">
        <v>3034</v>
      </c>
      <c r="H680" s="25"/>
    </row>
    <row r="681">
      <c r="A681" s="216">
        <v>1.1504103E7</v>
      </c>
      <c r="B681" s="216" t="s">
        <v>3208</v>
      </c>
      <c r="C681" s="216" t="s">
        <v>3205</v>
      </c>
      <c r="D681" s="25"/>
      <c r="E681" s="216">
        <v>5.0E-6</v>
      </c>
      <c r="F681" s="216">
        <v>5.0E-6</v>
      </c>
      <c r="G681" s="216" t="s">
        <v>389</v>
      </c>
      <c r="H681" s="25"/>
    </row>
    <row r="682">
      <c r="A682" s="216">
        <v>1.1504104E7</v>
      </c>
      <c r="B682" s="216" t="s">
        <v>3209</v>
      </c>
      <c r="C682" s="216" t="s">
        <v>3205</v>
      </c>
      <c r="D682" s="25"/>
      <c r="E682" s="216">
        <v>-0.5</v>
      </c>
      <c r="F682" s="216">
        <v>-0.5</v>
      </c>
      <c r="G682" s="216" t="s">
        <v>1124</v>
      </c>
      <c r="H682" s="25"/>
    </row>
    <row r="683">
      <c r="A683" s="216">
        <v>1.15042E7</v>
      </c>
      <c r="B683" s="216" t="s">
        <v>3210</v>
      </c>
      <c r="C683" s="216" t="s">
        <v>3211</v>
      </c>
      <c r="D683" s="25"/>
      <c r="E683" s="216" t="s">
        <v>2730</v>
      </c>
      <c r="F683" s="216" t="s">
        <v>2730</v>
      </c>
      <c r="G683" s="217"/>
      <c r="H683" s="25"/>
    </row>
    <row r="684">
      <c r="A684" s="216">
        <v>1.1504201E7</v>
      </c>
      <c r="B684" s="216" t="s">
        <v>3212</v>
      </c>
      <c r="C684" s="216" t="s">
        <v>3211</v>
      </c>
      <c r="D684" s="25"/>
      <c r="E684" s="216">
        <v>1.0E-5</v>
      </c>
      <c r="F684" s="216">
        <v>1.0E-5</v>
      </c>
      <c r="G684" s="216" t="s">
        <v>389</v>
      </c>
      <c r="H684" s="25"/>
    </row>
    <row r="685">
      <c r="A685" s="216">
        <v>1.1504202E7</v>
      </c>
      <c r="B685" s="216" t="s">
        <v>3213</v>
      </c>
      <c r="C685" s="216" t="s">
        <v>3211</v>
      </c>
      <c r="D685" s="25"/>
      <c r="E685" s="216">
        <v>0.0</v>
      </c>
      <c r="F685" s="216">
        <v>0.0</v>
      </c>
      <c r="G685" s="216" t="s">
        <v>3034</v>
      </c>
      <c r="H685" s="25"/>
    </row>
    <row r="686">
      <c r="A686" s="216">
        <v>1.1504203E7</v>
      </c>
      <c r="B686" s="216" t="s">
        <v>3214</v>
      </c>
      <c r="C686" s="216" t="s">
        <v>3211</v>
      </c>
      <c r="D686" s="25"/>
      <c r="E686" s="216">
        <v>5.0E-6</v>
      </c>
      <c r="F686" s="216">
        <v>5.0E-6</v>
      </c>
      <c r="G686" s="216" t="s">
        <v>389</v>
      </c>
      <c r="H686" s="25"/>
    </row>
    <row r="687">
      <c r="A687" s="216">
        <v>1.1504204E7</v>
      </c>
      <c r="B687" s="216" t="s">
        <v>3215</v>
      </c>
      <c r="C687" s="216" t="s">
        <v>3211</v>
      </c>
      <c r="D687" s="25"/>
      <c r="E687" s="216">
        <v>-0.5</v>
      </c>
      <c r="F687" s="216">
        <v>-0.5</v>
      </c>
      <c r="G687" s="216" t="s">
        <v>1124</v>
      </c>
      <c r="H687" s="25"/>
    </row>
    <row r="688">
      <c r="A688" s="216">
        <v>1.15043E7</v>
      </c>
      <c r="B688" s="216" t="s">
        <v>3216</v>
      </c>
      <c r="C688" s="216" t="s">
        <v>3217</v>
      </c>
      <c r="D688" s="25"/>
      <c r="E688" s="216" t="s">
        <v>2730</v>
      </c>
      <c r="F688" s="216" t="s">
        <v>2730</v>
      </c>
      <c r="G688" s="217"/>
      <c r="H688" s="25"/>
    </row>
    <row r="689">
      <c r="A689" s="216">
        <v>1.1504301E7</v>
      </c>
      <c r="B689" s="216" t="s">
        <v>3218</v>
      </c>
      <c r="C689" s="216" t="s">
        <v>3217</v>
      </c>
      <c r="D689" s="25"/>
      <c r="E689" s="216">
        <v>1.0E-5</v>
      </c>
      <c r="F689" s="216">
        <v>1.0E-5</v>
      </c>
      <c r="G689" s="216" t="s">
        <v>389</v>
      </c>
      <c r="H689" s="25"/>
    </row>
    <row r="690">
      <c r="A690" s="216">
        <v>1.1504302E7</v>
      </c>
      <c r="B690" s="216" t="s">
        <v>3219</v>
      </c>
      <c r="C690" s="216" t="s">
        <v>3217</v>
      </c>
      <c r="D690" s="25"/>
      <c r="E690" s="216">
        <v>0.0</v>
      </c>
      <c r="F690" s="216">
        <v>0.0</v>
      </c>
      <c r="G690" s="216" t="s">
        <v>3034</v>
      </c>
      <c r="H690" s="25"/>
    </row>
    <row r="691">
      <c r="A691" s="216">
        <v>1.1504303E7</v>
      </c>
      <c r="B691" s="216" t="s">
        <v>3220</v>
      </c>
      <c r="C691" s="216" t="s">
        <v>3217</v>
      </c>
      <c r="D691" s="25"/>
      <c r="E691" s="216">
        <v>5.0E-6</v>
      </c>
      <c r="F691" s="216">
        <v>5.0E-6</v>
      </c>
      <c r="G691" s="216" t="s">
        <v>389</v>
      </c>
      <c r="H691" s="25"/>
    </row>
    <row r="692">
      <c r="A692" s="216">
        <v>1.1504304E7</v>
      </c>
      <c r="B692" s="216" t="s">
        <v>3221</v>
      </c>
      <c r="C692" s="216" t="s">
        <v>3217</v>
      </c>
      <c r="D692" s="25"/>
      <c r="E692" s="216">
        <v>-0.5</v>
      </c>
      <c r="F692" s="216">
        <v>-0.5</v>
      </c>
      <c r="G692" s="216" t="s">
        <v>1124</v>
      </c>
      <c r="H692" s="25"/>
    </row>
    <row r="693">
      <c r="A693" s="216">
        <v>1.15045E7</v>
      </c>
      <c r="B693" s="216" t="s">
        <v>3222</v>
      </c>
      <c r="C693" s="216" t="s">
        <v>3223</v>
      </c>
      <c r="D693" s="25"/>
      <c r="E693" s="216" t="s">
        <v>2730</v>
      </c>
      <c r="F693" s="216" t="s">
        <v>2730</v>
      </c>
      <c r="G693" s="217"/>
      <c r="H693" s="25"/>
    </row>
    <row r="694">
      <c r="A694" s="216">
        <v>1.1504501E7</v>
      </c>
      <c r="B694" s="216" t="s">
        <v>3224</v>
      </c>
      <c r="C694" s="216" t="s">
        <v>3223</v>
      </c>
      <c r="D694" s="25"/>
      <c r="E694" s="216">
        <v>0.0</v>
      </c>
      <c r="F694" s="216">
        <v>0.0</v>
      </c>
      <c r="G694" s="216" t="s">
        <v>3034</v>
      </c>
      <c r="H694" s="25"/>
    </row>
    <row r="695">
      <c r="A695" s="216">
        <v>1.1504502E7</v>
      </c>
      <c r="B695" s="216" t="s">
        <v>3225</v>
      </c>
      <c r="C695" s="216" t="s">
        <v>3223</v>
      </c>
      <c r="D695" s="25"/>
      <c r="E695" s="216">
        <v>0.0</v>
      </c>
      <c r="F695" s="216">
        <v>0.0</v>
      </c>
      <c r="G695" s="216" t="s">
        <v>389</v>
      </c>
      <c r="H695" s="25"/>
    </row>
    <row r="696">
      <c r="A696" s="216">
        <v>1.1504503E7</v>
      </c>
      <c r="B696" s="216" t="s">
        <v>3226</v>
      </c>
      <c r="C696" s="216" t="s">
        <v>3223</v>
      </c>
      <c r="D696" s="25"/>
      <c r="E696" s="216">
        <v>0.0</v>
      </c>
      <c r="F696" s="216">
        <v>0.0</v>
      </c>
      <c r="G696" s="216" t="s">
        <v>389</v>
      </c>
      <c r="H696" s="25"/>
    </row>
    <row r="697">
      <c r="A697" s="216">
        <v>1.1504504E7</v>
      </c>
      <c r="B697" s="216" t="s">
        <v>3227</v>
      </c>
      <c r="C697" s="216" t="s">
        <v>3223</v>
      </c>
      <c r="D697" s="25"/>
      <c r="E697" s="216">
        <v>0.0</v>
      </c>
      <c r="F697" s="216">
        <v>0.0</v>
      </c>
      <c r="G697" s="216" t="s">
        <v>389</v>
      </c>
      <c r="H697" s="25"/>
    </row>
    <row r="698">
      <c r="A698" s="216">
        <v>1.15046E7</v>
      </c>
      <c r="B698" s="216" t="s">
        <v>3228</v>
      </c>
      <c r="C698" s="216" t="s">
        <v>3229</v>
      </c>
      <c r="D698" s="25"/>
      <c r="E698" s="216" t="s">
        <v>2730</v>
      </c>
      <c r="F698" s="216" t="s">
        <v>2730</v>
      </c>
      <c r="G698" s="217"/>
      <c r="H698" s="25"/>
    </row>
    <row r="699">
      <c r="A699" s="216">
        <v>1.1504601E7</v>
      </c>
      <c r="B699" s="216" t="s">
        <v>3230</v>
      </c>
      <c r="C699" s="216" t="s">
        <v>3229</v>
      </c>
      <c r="D699" s="25"/>
      <c r="E699" s="216">
        <v>0.0</v>
      </c>
      <c r="F699" s="216">
        <v>0.0</v>
      </c>
      <c r="G699" s="216" t="s">
        <v>3034</v>
      </c>
      <c r="H699" s="25"/>
    </row>
    <row r="700">
      <c r="A700" s="216">
        <v>1.1504602E7</v>
      </c>
      <c r="B700" s="216" t="s">
        <v>3231</v>
      </c>
      <c r="C700" s="216" t="s">
        <v>3229</v>
      </c>
      <c r="D700" s="25"/>
      <c r="E700" s="216">
        <v>0.0</v>
      </c>
      <c r="F700" s="216">
        <v>0.0</v>
      </c>
      <c r="G700" s="216" t="s">
        <v>389</v>
      </c>
      <c r="H700" s="25"/>
    </row>
    <row r="701">
      <c r="A701" s="216">
        <v>1.1504603E7</v>
      </c>
      <c r="B701" s="216" t="s">
        <v>3232</v>
      </c>
      <c r="C701" s="216" t="s">
        <v>3229</v>
      </c>
      <c r="D701" s="25"/>
      <c r="E701" s="216">
        <v>0.0</v>
      </c>
      <c r="F701" s="216">
        <v>0.0</v>
      </c>
      <c r="G701" s="216" t="s">
        <v>389</v>
      </c>
      <c r="H701" s="25"/>
    </row>
    <row r="702">
      <c r="A702" s="216">
        <v>1.1504604E7</v>
      </c>
      <c r="B702" s="216" t="s">
        <v>3233</v>
      </c>
      <c r="C702" s="216" t="s">
        <v>3229</v>
      </c>
      <c r="D702" s="25"/>
      <c r="E702" s="216">
        <v>0.0</v>
      </c>
      <c r="F702" s="216">
        <v>0.0</v>
      </c>
      <c r="G702" s="216" t="s">
        <v>389</v>
      </c>
      <c r="H702" s="25"/>
    </row>
    <row r="703">
      <c r="A703" s="216">
        <v>1.15047E7</v>
      </c>
      <c r="B703" s="216" t="s">
        <v>3234</v>
      </c>
      <c r="C703" s="216" t="s">
        <v>3235</v>
      </c>
      <c r="D703" s="25"/>
      <c r="E703" s="216" t="s">
        <v>2730</v>
      </c>
      <c r="F703" s="216" t="s">
        <v>2730</v>
      </c>
      <c r="G703" s="217"/>
      <c r="H703" s="25"/>
    </row>
    <row r="704">
      <c r="A704" s="216">
        <v>1.1504701E7</v>
      </c>
      <c r="B704" s="216" t="s">
        <v>3236</v>
      </c>
      <c r="C704" s="216" t="s">
        <v>3235</v>
      </c>
      <c r="D704" s="25"/>
      <c r="E704" s="216">
        <v>0.0</v>
      </c>
      <c r="F704" s="216">
        <v>0.0</v>
      </c>
      <c r="G704" s="216" t="s">
        <v>3034</v>
      </c>
      <c r="H704" s="25"/>
    </row>
    <row r="705">
      <c r="A705" s="216">
        <v>1.1504702E7</v>
      </c>
      <c r="B705" s="216" t="s">
        <v>3237</v>
      </c>
      <c r="C705" s="216" t="s">
        <v>3235</v>
      </c>
      <c r="D705" s="25"/>
      <c r="E705" s="216">
        <v>0.0</v>
      </c>
      <c r="F705" s="216">
        <v>0.0</v>
      </c>
      <c r="G705" s="216" t="s">
        <v>389</v>
      </c>
      <c r="H705" s="25"/>
    </row>
    <row r="706">
      <c r="A706" s="216">
        <v>1.1504703E7</v>
      </c>
      <c r="B706" s="216" t="s">
        <v>3238</v>
      </c>
      <c r="C706" s="216" t="s">
        <v>3235</v>
      </c>
      <c r="D706" s="25"/>
      <c r="E706" s="216">
        <v>0.0</v>
      </c>
      <c r="F706" s="216">
        <v>0.0</v>
      </c>
      <c r="G706" s="216" t="s">
        <v>389</v>
      </c>
      <c r="H706" s="25"/>
    </row>
    <row r="707">
      <c r="A707" s="216">
        <v>1.1504704E7</v>
      </c>
      <c r="B707" s="216" t="s">
        <v>3239</v>
      </c>
      <c r="C707" s="216" t="s">
        <v>3235</v>
      </c>
      <c r="D707" s="25"/>
      <c r="E707" s="216">
        <v>0.0</v>
      </c>
      <c r="F707" s="216">
        <v>0.0</v>
      </c>
      <c r="G707" s="216" t="s">
        <v>389</v>
      </c>
      <c r="H707" s="25"/>
    </row>
    <row r="708">
      <c r="A708" s="216">
        <v>1.150451E7</v>
      </c>
      <c r="B708" s="216" t="s">
        <v>3240</v>
      </c>
      <c r="C708" s="216" t="s">
        <v>3241</v>
      </c>
      <c r="D708" s="25"/>
      <c r="E708" s="216" t="s">
        <v>2730</v>
      </c>
      <c r="F708" s="216" t="s">
        <v>2730</v>
      </c>
      <c r="G708" s="217"/>
      <c r="H708" s="25"/>
    </row>
    <row r="709">
      <c r="A709" s="216">
        <v>1.1504511E7</v>
      </c>
      <c r="B709" s="216" t="s">
        <v>3242</v>
      </c>
      <c r="C709" s="216" t="s">
        <v>3241</v>
      </c>
      <c r="D709" s="25"/>
      <c r="E709" s="216">
        <v>0.0</v>
      </c>
      <c r="F709" s="216">
        <v>0.0</v>
      </c>
      <c r="G709" s="216" t="s">
        <v>389</v>
      </c>
      <c r="H709" s="25"/>
    </row>
    <row r="710">
      <c r="A710" s="216">
        <v>1.1504512E7</v>
      </c>
      <c r="B710" s="216" t="s">
        <v>3243</v>
      </c>
      <c r="C710" s="216" t="s">
        <v>3241</v>
      </c>
      <c r="D710" s="25"/>
      <c r="E710" s="216">
        <v>0.0</v>
      </c>
      <c r="F710" s="216">
        <v>0.0</v>
      </c>
      <c r="G710" s="216" t="s">
        <v>389</v>
      </c>
      <c r="H710" s="25"/>
    </row>
    <row r="711">
      <c r="A711" s="216">
        <v>1.150461E7</v>
      </c>
      <c r="B711" s="216" t="s">
        <v>3244</v>
      </c>
      <c r="C711" s="216" t="s">
        <v>3245</v>
      </c>
      <c r="D711" s="25"/>
      <c r="E711" s="216" t="s">
        <v>2730</v>
      </c>
      <c r="F711" s="216" t="s">
        <v>2730</v>
      </c>
      <c r="G711" s="217"/>
      <c r="H711" s="25"/>
    </row>
    <row r="712">
      <c r="A712" s="216">
        <v>1.1504611E7</v>
      </c>
      <c r="B712" s="216" t="s">
        <v>3246</v>
      </c>
      <c r="C712" s="216" t="s">
        <v>3245</v>
      </c>
      <c r="D712" s="25"/>
      <c r="E712" s="216">
        <v>0.0</v>
      </c>
      <c r="F712" s="216">
        <v>0.0</v>
      </c>
      <c r="G712" s="216" t="s">
        <v>389</v>
      </c>
      <c r="H712" s="25"/>
    </row>
    <row r="713">
      <c r="A713" s="216">
        <v>1.1504612E7</v>
      </c>
      <c r="B713" s="216" t="s">
        <v>3247</v>
      </c>
      <c r="C713" s="216" t="s">
        <v>3245</v>
      </c>
      <c r="D713" s="25"/>
      <c r="E713" s="216">
        <v>0.0</v>
      </c>
      <c r="F713" s="216">
        <v>0.0</v>
      </c>
      <c r="G713" s="216" t="s">
        <v>389</v>
      </c>
      <c r="H713" s="25"/>
    </row>
    <row r="714">
      <c r="A714" s="216">
        <v>1.150471E7</v>
      </c>
      <c r="B714" s="216" t="s">
        <v>3248</v>
      </c>
      <c r="C714" s="216" t="s">
        <v>3249</v>
      </c>
      <c r="D714" s="25"/>
      <c r="E714" s="216" t="s">
        <v>2730</v>
      </c>
      <c r="F714" s="216" t="s">
        <v>2730</v>
      </c>
      <c r="G714" s="217"/>
      <c r="H714" s="25"/>
    </row>
    <row r="715">
      <c r="A715" s="216">
        <v>1.1504711E7</v>
      </c>
      <c r="B715" s="216" t="s">
        <v>3250</v>
      </c>
      <c r="C715" s="216" t="s">
        <v>3249</v>
      </c>
      <c r="D715" s="25"/>
      <c r="E715" s="216">
        <v>0.0</v>
      </c>
      <c r="F715" s="216">
        <v>0.0</v>
      </c>
      <c r="G715" s="216" t="s">
        <v>389</v>
      </c>
      <c r="H715" s="25"/>
    </row>
    <row r="716">
      <c r="A716" s="216">
        <v>1.1504712E7</v>
      </c>
      <c r="B716" s="216" t="s">
        <v>3251</v>
      </c>
      <c r="C716" s="216" t="s">
        <v>3249</v>
      </c>
      <c r="D716" s="25"/>
      <c r="E716" s="216">
        <v>0.0</v>
      </c>
      <c r="F716" s="216">
        <v>0.0</v>
      </c>
      <c r="G716" s="216" t="s">
        <v>389</v>
      </c>
      <c r="H716" s="25"/>
    </row>
    <row r="717">
      <c r="A717" s="216">
        <v>1.145E7</v>
      </c>
      <c r="B717" s="216" t="s">
        <v>3252</v>
      </c>
      <c r="C717" s="216" t="s">
        <v>3253</v>
      </c>
      <c r="D717" s="25"/>
      <c r="E717" s="216">
        <v>0.0</v>
      </c>
      <c r="F717" s="216">
        <v>0.0</v>
      </c>
      <c r="G717" s="216" t="s">
        <v>389</v>
      </c>
      <c r="H717" s="25"/>
    </row>
    <row r="718">
      <c r="A718" s="216">
        <v>1.1450001E7</v>
      </c>
      <c r="B718" s="216" t="s">
        <v>3254</v>
      </c>
      <c r="C718" s="216" t="s">
        <v>3253</v>
      </c>
      <c r="D718" s="25"/>
      <c r="E718" s="216">
        <v>0.0</v>
      </c>
      <c r="F718" s="216">
        <v>0.0</v>
      </c>
      <c r="G718" s="216" t="s">
        <v>389</v>
      </c>
      <c r="H718" s="25"/>
    </row>
    <row r="719">
      <c r="A719" s="216">
        <v>1.1450002E7</v>
      </c>
      <c r="B719" s="216" t="s">
        <v>3255</v>
      </c>
      <c r="C719" s="216" t="s">
        <v>3253</v>
      </c>
      <c r="D719" s="25"/>
      <c r="E719" s="216">
        <v>0.0</v>
      </c>
      <c r="F719" s="216">
        <v>0.0</v>
      </c>
      <c r="G719" s="216" t="s">
        <v>389</v>
      </c>
      <c r="H719" s="25"/>
    </row>
    <row r="720">
      <c r="A720" s="216">
        <v>1.1450003E7</v>
      </c>
      <c r="B720" s="216" t="s">
        <v>3256</v>
      </c>
      <c r="C720" s="216" t="s">
        <v>3253</v>
      </c>
      <c r="D720" s="25"/>
      <c r="E720" s="216">
        <v>0.0</v>
      </c>
      <c r="F720" s="216">
        <v>0.0</v>
      </c>
      <c r="G720" s="216" t="s">
        <v>389</v>
      </c>
      <c r="H720" s="25"/>
    </row>
    <row r="721">
      <c r="A721" s="216">
        <v>1.1450004E7</v>
      </c>
      <c r="B721" s="216" t="s">
        <v>3257</v>
      </c>
      <c r="C721" s="216" t="s">
        <v>3253</v>
      </c>
      <c r="D721" s="25"/>
      <c r="E721" s="216">
        <v>0.0</v>
      </c>
      <c r="F721" s="216">
        <v>0.0</v>
      </c>
      <c r="G721" s="216" t="s">
        <v>389</v>
      </c>
      <c r="H721" s="25"/>
    </row>
    <row r="722">
      <c r="A722" s="216">
        <v>1.1450005E7</v>
      </c>
      <c r="B722" s="216" t="s">
        <v>3258</v>
      </c>
      <c r="C722" s="216" t="s">
        <v>3253</v>
      </c>
      <c r="D722" s="25"/>
      <c r="E722" s="216">
        <v>0.0</v>
      </c>
      <c r="F722" s="216">
        <v>0.0</v>
      </c>
      <c r="G722" s="216" t="s">
        <v>389</v>
      </c>
      <c r="H722" s="25"/>
    </row>
    <row r="723">
      <c r="A723" s="216">
        <v>1.1452E7</v>
      </c>
      <c r="B723" s="216" t="s">
        <v>3259</v>
      </c>
      <c r="C723" s="216" t="s">
        <v>3260</v>
      </c>
      <c r="D723" s="25"/>
      <c r="E723" s="216">
        <v>0.0</v>
      </c>
      <c r="F723" s="216">
        <v>0.0</v>
      </c>
      <c r="G723" s="216" t="s">
        <v>389</v>
      </c>
      <c r="H723" s="25"/>
    </row>
    <row r="724">
      <c r="A724" s="216">
        <v>1.1452001E7</v>
      </c>
      <c r="B724" s="216" t="s">
        <v>3261</v>
      </c>
      <c r="C724" s="216" t="s">
        <v>3260</v>
      </c>
      <c r="D724" s="25"/>
      <c r="E724" s="216">
        <v>0.0</v>
      </c>
      <c r="F724" s="216">
        <v>0.0</v>
      </c>
      <c r="G724" s="216" t="s">
        <v>389</v>
      </c>
      <c r="H724" s="25"/>
    </row>
    <row r="725">
      <c r="A725" s="216">
        <v>1.1452002E7</v>
      </c>
      <c r="B725" s="216" t="s">
        <v>3262</v>
      </c>
      <c r="C725" s="216" t="s">
        <v>3260</v>
      </c>
      <c r="D725" s="25"/>
      <c r="E725" s="216">
        <v>0.0</v>
      </c>
      <c r="F725" s="216">
        <v>0.0</v>
      </c>
      <c r="G725" s="216" t="s">
        <v>389</v>
      </c>
      <c r="H725" s="25"/>
    </row>
    <row r="726">
      <c r="A726" s="216">
        <v>1.1452003E7</v>
      </c>
      <c r="B726" s="216" t="s">
        <v>3263</v>
      </c>
      <c r="C726" s="216" t="s">
        <v>3260</v>
      </c>
      <c r="D726" s="25"/>
      <c r="E726" s="216">
        <v>0.0</v>
      </c>
      <c r="F726" s="216">
        <v>0.0</v>
      </c>
      <c r="G726" s="216" t="s">
        <v>389</v>
      </c>
      <c r="H726" s="25"/>
    </row>
    <row r="727">
      <c r="A727" s="216">
        <v>1.1452004E7</v>
      </c>
      <c r="B727" s="216" t="s">
        <v>3264</v>
      </c>
      <c r="C727" s="216" t="s">
        <v>3260</v>
      </c>
      <c r="D727" s="25"/>
      <c r="E727" s="216">
        <v>0.0</v>
      </c>
      <c r="F727" s="216">
        <v>0.0</v>
      </c>
      <c r="G727" s="216" t="s">
        <v>389</v>
      </c>
      <c r="H727" s="25"/>
    </row>
    <row r="728">
      <c r="A728" s="216">
        <v>1.1452005E7</v>
      </c>
      <c r="B728" s="216" t="s">
        <v>3265</v>
      </c>
      <c r="C728" s="216" t="s">
        <v>3260</v>
      </c>
      <c r="D728" s="25"/>
      <c r="E728" s="216">
        <v>0.0</v>
      </c>
      <c r="F728" s="216">
        <v>0.0</v>
      </c>
      <c r="G728" s="216" t="s">
        <v>389</v>
      </c>
      <c r="H728" s="25"/>
    </row>
    <row r="729">
      <c r="A729" s="216">
        <v>1.1454E7</v>
      </c>
      <c r="B729" s="216" t="s">
        <v>3266</v>
      </c>
      <c r="C729" s="216" t="s">
        <v>3267</v>
      </c>
      <c r="D729" s="25"/>
      <c r="E729" s="216">
        <v>0.0</v>
      </c>
      <c r="F729" s="216">
        <v>0.0</v>
      </c>
      <c r="G729" s="216" t="s">
        <v>389</v>
      </c>
      <c r="H729" s="25"/>
    </row>
    <row r="730">
      <c r="A730" s="216">
        <v>1.1454001E7</v>
      </c>
      <c r="B730" s="216" t="s">
        <v>3268</v>
      </c>
      <c r="C730" s="216" t="s">
        <v>3267</v>
      </c>
      <c r="D730" s="25"/>
      <c r="E730" s="216">
        <v>0.0</v>
      </c>
      <c r="F730" s="216">
        <v>0.0</v>
      </c>
      <c r="G730" s="216" t="s">
        <v>389</v>
      </c>
      <c r="H730" s="25"/>
    </row>
    <row r="731">
      <c r="A731" s="216">
        <v>1.1454002E7</v>
      </c>
      <c r="B731" s="216" t="s">
        <v>3269</v>
      </c>
      <c r="C731" s="216" t="s">
        <v>3267</v>
      </c>
      <c r="D731" s="25"/>
      <c r="E731" s="216">
        <v>0.0</v>
      </c>
      <c r="F731" s="216">
        <v>0.0</v>
      </c>
      <c r="G731" s="216" t="s">
        <v>389</v>
      </c>
      <c r="H731" s="25"/>
    </row>
    <row r="732">
      <c r="A732" s="216">
        <v>1.1454003E7</v>
      </c>
      <c r="B732" s="216" t="s">
        <v>3270</v>
      </c>
      <c r="C732" s="216" t="s">
        <v>3267</v>
      </c>
      <c r="D732" s="25"/>
      <c r="E732" s="216">
        <v>0.0</v>
      </c>
      <c r="F732" s="216">
        <v>0.0</v>
      </c>
      <c r="G732" s="216" t="s">
        <v>389</v>
      </c>
      <c r="H732" s="25"/>
    </row>
    <row r="733">
      <c r="A733" s="216">
        <v>1.1454004E7</v>
      </c>
      <c r="B733" s="216" t="s">
        <v>3271</v>
      </c>
      <c r="C733" s="216" t="s">
        <v>3267</v>
      </c>
      <c r="D733" s="25"/>
      <c r="E733" s="216">
        <v>0.0</v>
      </c>
      <c r="F733" s="216">
        <v>0.0</v>
      </c>
      <c r="G733" s="216" t="s">
        <v>389</v>
      </c>
      <c r="H733" s="25"/>
    </row>
    <row r="734">
      <c r="A734" s="216">
        <v>1.1454005E7</v>
      </c>
      <c r="B734" s="216" t="s">
        <v>3272</v>
      </c>
      <c r="C734" s="216" t="s">
        <v>3267</v>
      </c>
      <c r="D734" s="25"/>
      <c r="E734" s="216">
        <v>0.0</v>
      </c>
      <c r="F734" s="216">
        <v>0.0</v>
      </c>
      <c r="G734" s="216" t="s">
        <v>389</v>
      </c>
      <c r="H734" s="25"/>
    </row>
    <row r="735">
      <c r="A735" s="216">
        <v>1.17E7</v>
      </c>
      <c r="B735" s="216" t="s">
        <v>3273</v>
      </c>
      <c r="C735" s="216" t="s">
        <v>3274</v>
      </c>
      <c r="D735" s="25"/>
      <c r="E735" s="216">
        <v>0.0</v>
      </c>
      <c r="F735" s="216">
        <v>0.0</v>
      </c>
      <c r="G735" s="216" t="s">
        <v>389</v>
      </c>
      <c r="H735" s="25"/>
    </row>
    <row r="736">
      <c r="A736" s="216">
        <v>1.1700001E7</v>
      </c>
      <c r="B736" s="216" t="s">
        <v>3275</v>
      </c>
      <c r="C736" s="216" t="s">
        <v>3274</v>
      </c>
      <c r="D736" s="25"/>
      <c r="E736" s="216">
        <v>0.0</v>
      </c>
      <c r="F736" s="216">
        <v>0.0</v>
      </c>
      <c r="G736" s="216" t="s">
        <v>389</v>
      </c>
      <c r="H736" s="25"/>
    </row>
    <row r="737">
      <c r="A737" s="216">
        <v>1.1700002E7</v>
      </c>
      <c r="B737" s="216" t="s">
        <v>3276</v>
      </c>
      <c r="C737" s="216" t="s">
        <v>3274</v>
      </c>
      <c r="D737" s="25"/>
      <c r="E737" s="216">
        <v>0.0</v>
      </c>
      <c r="F737" s="216">
        <v>0.0</v>
      </c>
      <c r="G737" s="216" t="s">
        <v>389</v>
      </c>
      <c r="H737" s="25"/>
    </row>
    <row r="738">
      <c r="A738" s="216">
        <v>1.1700003E7</v>
      </c>
      <c r="B738" s="216" t="s">
        <v>3277</v>
      </c>
      <c r="C738" s="216" t="s">
        <v>3274</v>
      </c>
      <c r="D738" s="25"/>
      <c r="E738" s="216">
        <v>0.0</v>
      </c>
      <c r="F738" s="216">
        <v>0.0</v>
      </c>
      <c r="G738" s="216" t="s">
        <v>389</v>
      </c>
      <c r="H738" s="25"/>
    </row>
    <row r="739">
      <c r="A739" s="216">
        <v>1.1700004E7</v>
      </c>
      <c r="B739" s="216" t="s">
        <v>3278</v>
      </c>
      <c r="C739" s="216" t="s">
        <v>3274</v>
      </c>
      <c r="D739" s="25"/>
      <c r="E739" s="216">
        <v>0.0</v>
      </c>
      <c r="F739" s="216">
        <v>0.0</v>
      </c>
      <c r="G739" s="216" t="s">
        <v>389</v>
      </c>
      <c r="H739" s="25"/>
    </row>
    <row r="740">
      <c r="A740" s="216">
        <v>1.1700005E7</v>
      </c>
      <c r="B740" s="216" t="s">
        <v>3279</v>
      </c>
      <c r="C740" s="216" t="s">
        <v>3274</v>
      </c>
      <c r="D740" s="25"/>
      <c r="E740" s="216">
        <v>0.0</v>
      </c>
      <c r="F740" s="216">
        <v>0.0</v>
      </c>
      <c r="G740" s="216" t="s">
        <v>389</v>
      </c>
      <c r="H740" s="25"/>
    </row>
    <row r="741">
      <c r="A741" s="216">
        <v>1.1700006E7</v>
      </c>
      <c r="B741" s="216" t="s">
        <v>3280</v>
      </c>
      <c r="C741" s="216" t="s">
        <v>3274</v>
      </c>
      <c r="D741" s="25"/>
      <c r="E741" s="216">
        <v>0.0</v>
      </c>
      <c r="F741" s="216">
        <v>0.0</v>
      </c>
      <c r="G741" s="216" t="s">
        <v>3034</v>
      </c>
      <c r="H741" s="25"/>
    </row>
    <row r="742">
      <c r="A742" s="216">
        <v>1.1700007E7</v>
      </c>
      <c r="B742" s="216" t="s">
        <v>3281</v>
      </c>
      <c r="C742" s="216" t="s">
        <v>3274</v>
      </c>
      <c r="D742" s="25"/>
      <c r="E742" s="216">
        <v>0.0</v>
      </c>
      <c r="F742" s="216">
        <v>0.0</v>
      </c>
      <c r="G742" s="216" t="s">
        <v>389</v>
      </c>
      <c r="H742" s="25"/>
    </row>
    <row r="743">
      <c r="A743" s="216">
        <v>1.1700008E7</v>
      </c>
      <c r="B743" s="216" t="s">
        <v>3282</v>
      </c>
      <c r="C743" s="216" t="s">
        <v>3274</v>
      </c>
      <c r="D743" s="25"/>
      <c r="E743" s="216">
        <v>0.0</v>
      </c>
      <c r="F743" s="216">
        <v>0.0</v>
      </c>
      <c r="G743" s="216" t="s">
        <v>389</v>
      </c>
      <c r="H743" s="25"/>
    </row>
    <row r="744">
      <c r="A744" s="216">
        <v>1.1700009E7</v>
      </c>
      <c r="B744" s="216" t="s">
        <v>3283</v>
      </c>
      <c r="C744" s="216" t="s">
        <v>3274</v>
      </c>
      <c r="D744" s="25"/>
      <c r="E744" s="216">
        <v>0.0</v>
      </c>
      <c r="F744" s="216">
        <v>0.0</v>
      </c>
      <c r="G744" s="216" t="s">
        <v>3034</v>
      </c>
      <c r="H744" s="25"/>
    </row>
    <row r="745">
      <c r="A745" s="216">
        <v>1.170001E7</v>
      </c>
      <c r="B745" s="216" t="s">
        <v>3284</v>
      </c>
      <c r="C745" s="216" t="s">
        <v>3274</v>
      </c>
      <c r="D745" s="25"/>
      <c r="E745" s="216">
        <v>0.0</v>
      </c>
      <c r="F745" s="216">
        <v>0.0</v>
      </c>
      <c r="G745" s="216" t="s">
        <v>3034</v>
      </c>
      <c r="H745" s="25"/>
    </row>
    <row r="746">
      <c r="A746" s="216">
        <v>1.1701E7</v>
      </c>
      <c r="B746" s="216" t="s">
        <v>3285</v>
      </c>
      <c r="C746" s="216" t="s">
        <v>3286</v>
      </c>
      <c r="D746" s="25"/>
      <c r="E746" s="216">
        <v>0.0</v>
      </c>
      <c r="F746" s="216">
        <v>0.0</v>
      </c>
      <c r="G746" s="216" t="s">
        <v>389</v>
      </c>
      <c r="H746" s="25"/>
    </row>
    <row r="747">
      <c r="A747" s="216">
        <v>1.1701001E7</v>
      </c>
      <c r="B747" s="216" t="s">
        <v>3287</v>
      </c>
      <c r="C747" s="216" t="s">
        <v>3286</v>
      </c>
      <c r="D747" s="25"/>
      <c r="E747" s="216">
        <v>0.0</v>
      </c>
      <c r="F747" s="216">
        <v>0.0</v>
      </c>
      <c r="G747" s="216" t="s">
        <v>389</v>
      </c>
      <c r="H747" s="25"/>
    </row>
    <row r="748">
      <c r="A748" s="216">
        <v>1.1701002E7</v>
      </c>
      <c r="B748" s="216" t="s">
        <v>3288</v>
      </c>
      <c r="C748" s="216" t="s">
        <v>3286</v>
      </c>
      <c r="D748" s="25"/>
      <c r="E748" s="216">
        <v>0.0</v>
      </c>
      <c r="F748" s="216">
        <v>0.0</v>
      </c>
      <c r="G748" s="216" t="s">
        <v>389</v>
      </c>
      <c r="H748" s="25"/>
    </row>
    <row r="749">
      <c r="A749" s="216">
        <v>1.1701003E7</v>
      </c>
      <c r="B749" s="216" t="s">
        <v>3289</v>
      </c>
      <c r="C749" s="216" t="s">
        <v>3286</v>
      </c>
      <c r="D749" s="25"/>
      <c r="E749" s="216">
        <v>0.0</v>
      </c>
      <c r="F749" s="216">
        <v>0.0</v>
      </c>
      <c r="G749" s="216" t="s">
        <v>389</v>
      </c>
      <c r="H749" s="25"/>
    </row>
    <row r="750">
      <c r="A750" s="216">
        <v>1.1701004E7</v>
      </c>
      <c r="B750" s="216" t="s">
        <v>3290</v>
      </c>
      <c r="C750" s="216" t="s">
        <v>3286</v>
      </c>
      <c r="D750" s="25"/>
      <c r="E750" s="216">
        <v>0.0</v>
      </c>
      <c r="F750" s="216">
        <v>0.0</v>
      </c>
      <c r="G750" s="216" t="s">
        <v>389</v>
      </c>
      <c r="H750" s="25"/>
    </row>
    <row r="751">
      <c r="A751" s="216">
        <v>1.1701005E7</v>
      </c>
      <c r="B751" s="216" t="s">
        <v>3291</v>
      </c>
      <c r="C751" s="216" t="s">
        <v>3286</v>
      </c>
      <c r="D751" s="25"/>
      <c r="E751" s="216">
        <v>0.0</v>
      </c>
      <c r="F751" s="216">
        <v>0.0</v>
      </c>
      <c r="G751" s="216" t="s">
        <v>389</v>
      </c>
      <c r="H751" s="25"/>
    </row>
    <row r="752">
      <c r="A752" s="216">
        <v>1.1701006E7</v>
      </c>
      <c r="B752" s="216" t="s">
        <v>3292</v>
      </c>
      <c r="C752" s="216" t="s">
        <v>3286</v>
      </c>
      <c r="D752" s="25"/>
      <c r="E752" s="216">
        <v>0.0</v>
      </c>
      <c r="F752" s="216">
        <v>0.0</v>
      </c>
      <c r="G752" s="216" t="s">
        <v>3034</v>
      </c>
      <c r="H752" s="25"/>
    </row>
    <row r="753">
      <c r="A753" s="216">
        <v>1.1701007E7</v>
      </c>
      <c r="B753" s="216" t="s">
        <v>3293</v>
      </c>
      <c r="C753" s="216" t="s">
        <v>3286</v>
      </c>
      <c r="D753" s="25"/>
      <c r="E753" s="216">
        <v>0.0</v>
      </c>
      <c r="F753" s="216">
        <v>0.0</v>
      </c>
      <c r="G753" s="216" t="s">
        <v>389</v>
      </c>
      <c r="H753" s="25"/>
    </row>
    <row r="754">
      <c r="A754" s="216">
        <v>1.1701008E7</v>
      </c>
      <c r="B754" s="216" t="s">
        <v>3294</v>
      </c>
      <c r="C754" s="216" t="s">
        <v>3286</v>
      </c>
      <c r="D754" s="25"/>
      <c r="E754" s="216">
        <v>0.0</v>
      </c>
      <c r="F754" s="216">
        <v>0.0</v>
      </c>
      <c r="G754" s="216" t="s">
        <v>389</v>
      </c>
      <c r="H754" s="25"/>
    </row>
    <row r="755">
      <c r="A755" s="216">
        <v>1.1701009E7</v>
      </c>
      <c r="B755" s="216" t="s">
        <v>3295</v>
      </c>
      <c r="C755" s="216" t="s">
        <v>3286</v>
      </c>
      <c r="D755" s="25"/>
      <c r="E755" s="216">
        <v>0.0</v>
      </c>
      <c r="F755" s="216">
        <v>0.0</v>
      </c>
      <c r="G755" s="216" t="s">
        <v>3034</v>
      </c>
      <c r="H755" s="25"/>
    </row>
    <row r="756">
      <c r="A756" s="216">
        <v>1.170101E7</v>
      </c>
      <c r="B756" s="216" t="s">
        <v>3296</v>
      </c>
      <c r="C756" s="216" t="s">
        <v>3286</v>
      </c>
      <c r="D756" s="25"/>
      <c r="E756" s="216">
        <v>0.0</v>
      </c>
      <c r="F756" s="216">
        <v>0.0</v>
      </c>
      <c r="G756" s="216" t="s">
        <v>3034</v>
      </c>
      <c r="H756" s="25"/>
    </row>
    <row r="757">
      <c r="A757" s="216">
        <v>1.1702E7</v>
      </c>
      <c r="B757" s="216" t="s">
        <v>3297</v>
      </c>
      <c r="C757" s="216" t="s">
        <v>3298</v>
      </c>
      <c r="D757" s="25"/>
      <c r="E757" s="216">
        <v>0.0</v>
      </c>
      <c r="F757" s="216">
        <v>0.0</v>
      </c>
      <c r="G757" s="216" t="s">
        <v>389</v>
      </c>
      <c r="H757" s="25"/>
    </row>
    <row r="758">
      <c r="A758" s="216">
        <v>1.1702001E7</v>
      </c>
      <c r="B758" s="216" t="s">
        <v>3299</v>
      </c>
      <c r="C758" s="216" t="s">
        <v>3298</v>
      </c>
      <c r="D758" s="25"/>
      <c r="E758" s="216">
        <v>0.0</v>
      </c>
      <c r="F758" s="216">
        <v>0.0</v>
      </c>
      <c r="G758" s="216" t="s">
        <v>389</v>
      </c>
      <c r="H758" s="25"/>
    </row>
    <row r="759">
      <c r="A759" s="216">
        <v>1.1702002E7</v>
      </c>
      <c r="B759" s="216" t="s">
        <v>3300</v>
      </c>
      <c r="C759" s="216" t="s">
        <v>3298</v>
      </c>
      <c r="D759" s="25"/>
      <c r="E759" s="216">
        <v>0.0</v>
      </c>
      <c r="F759" s="216">
        <v>0.0</v>
      </c>
      <c r="G759" s="216" t="s">
        <v>389</v>
      </c>
      <c r="H759" s="25"/>
    </row>
    <row r="760">
      <c r="A760" s="216">
        <v>1.1702003E7</v>
      </c>
      <c r="B760" s="216" t="s">
        <v>3301</v>
      </c>
      <c r="C760" s="216" t="s">
        <v>3298</v>
      </c>
      <c r="D760" s="25"/>
      <c r="E760" s="216">
        <v>0.0</v>
      </c>
      <c r="F760" s="216">
        <v>0.0</v>
      </c>
      <c r="G760" s="216" t="s">
        <v>389</v>
      </c>
      <c r="H760" s="25"/>
    </row>
    <row r="761">
      <c r="A761" s="216">
        <v>1.1702004E7</v>
      </c>
      <c r="B761" s="216" t="s">
        <v>3302</v>
      </c>
      <c r="C761" s="216" t="s">
        <v>3298</v>
      </c>
      <c r="D761" s="25"/>
      <c r="E761" s="216">
        <v>0.0</v>
      </c>
      <c r="F761" s="216">
        <v>0.0</v>
      </c>
      <c r="G761" s="216" t="s">
        <v>389</v>
      </c>
      <c r="H761" s="25"/>
    </row>
    <row r="762">
      <c r="A762" s="216">
        <v>1.1702005E7</v>
      </c>
      <c r="B762" s="216" t="s">
        <v>3303</v>
      </c>
      <c r="C762" s="216" t="s">
        <v>3298</v>
      </c>
      <c r="D762" s="25"/>
      <c r="E762" s="216">
        <v>0.0</v>
      </c>
      <c r="F762" s="216">
        <v>0.0</v>
      </c>
      <c r="G762" s="216" t="s">
        <v>389</v>
      </c>
      <c r="H762" s="25"/>
    </row>
    <row r="763">
      <c r="A763" s="216">
        <v>1.1702006E7</v>
      </c>
      <c r="B763" s="216" t="s">
        <v>3304</v>
      </c>
      <c r="C763" s="216" t="s">
        <v>3298</v>
      </c>
      <c r="D763" s="25"/>
      <c r="E763" s="216">
        <v>0.0</v>
      </c>
      <c r="F763" s="216">
        <v>0.0</v>
      </c>
      <c r="G763" s="216" t="s">
        <v>3034</v>
      </c>
      <c r="H763" s="25"/>
    </row>
    <row r="764">
      <c r="A764" s="216">
        <v>1.1702007E7</v>
      </c>
      <c r="B764" s="216" t="s">
        <v>3305</v>
      </c>
      <c r="C764" s="216" t="s">
        <v>3298</v>
      </c>
      <c r="D764" s="25"/>
      <c r="E764" s="216">
        <v>0.0</v>
      </c>
      <c r="F764" s="216">
        <v>0.0</v>
      </c>
      <c r="G764" s="216" t="s">
        <v>389</v>
      </c>
      <c r="H764" s="25"/>
    </row>
    <row r="765">
      <c r="A765" s="216">
        <v>1.1702008E7</v>
      </c>
      <c r="B765" s="216" t="s">
        <v>3306</v>
      </c>
      <c r="C765" s="216" t="s">
        <v>3298</v>
      </c>
      <c r="D765" s="25"/>
      <c r="E765" s="216">
        <v>0.0</v>
      </c>
      <c r="F765" s="216">
        <v>0.0</v>
      </c>
      <c r="G765" s="216" t="s">
        <v>389</v>
      </c>
      <c r="H765" s="25"/>
    </row>
    <row r="766">
      <c r="A766" s="216">
        <v>1.1702009E7</v>
      </c>
      <c r="B766" s="216" t="s">
        <v>3307</v>
      </c>
      <c r="C766" s="216" t="s">
        <v>3298</v>
      </c>
      <c r="D766" s="25"/>
      <c r="E766" s="216">
        <v>0.0</v>
      </c>
      <c r="F766" s="216">
        <v>0.0</v>
      </c>
      <c r="G766" s="216" t="s">
        <v>3034</v>
      </c>
      <c r="H766" s="25"/>
    </row>
    <row r="767">
      <c r="A767" s="216">
        <v>1.170201E7</v>
      </c>
      <c r="B767" s="216" t="s">
        <v>3308</v>
      </c>
      <c r="C767" s="216" t="s">
        <v>3298</v>
      </c>
      <c r="D767" s="25"/>
      <c r="E767" s="216">
        <v>0.0</v>
      </c>
      <c r="F767" s="216">
        <v>0.0</v>
      </c>
      <c r="G767" s="216" t="s">
        <v>3034</v>
      </c>
      <c r="H767" s="25"/>
    </row>
    <row r="768">
      <c r="A768" s="216">
        <v>3.0025003E7</v>
      </c>
      <c r="B768" s="216" t="s">
        <v>3309</v>
      </c>
      <c r="C768" s="216" t="s">
        <v>3310</v>
      </c>
      <c r="D768" s="25"/>
      <c r="E768" s="216" t="s">
        <v>2730</v>
      </c>
      <c r="F768" s="216" t="s">
        <v>2730</v>
      </c>
      <c r="G768" s="217"/>
      <c r="H768" s="25"/>
    </row>
    <row r="769">
      <c r="A769" s="217"/>
      <c r="B769" s="217"/>
      <c r="C769" s="217"/>
      <c r="D769" s="25"/>
      <c r="E769" s="217"/>
      <c r="F769" s="217"/>
      <c r="G769" s="217"/>
      <c r="H769" s="25"/>
    </row>
    <row r="770">
      <c r="A770" s="216">
        <v>1.2019E7</v>
      </c>
      <c r="B770" s="216" t="s">
        <v>3311</v>
      </c>
      <c r="C770" s="216" t="s">
        <v>3312</v>
      </c>
      <c r="D770" s="25"/>
      <c r="E770" s="216" t="s">
        <v>2730</v>
      </c>
      <c r="F770" s="216" t="s">
        <v>2730</v>
      </c>
      <c r="G770" s="217"/>
      <c r="H770" s="25"/>
    </row>
    <row r="771">
      <c r="A771" s="216">
        <v>1.2019001E7</v>
      </c>
      <c r="B771" s="216" t="s">
        <v>3313</v>
      </c>
      <c r="C771" s="216" t="s">
        <v>3312</v>
      </c>
      <c r="D771" s="25"/>
      <c r="E771" s="216" t="s">
        <v>2730</v>
      </c>
      <c r="F771" s="216" t="s">
        <v>2730</v>
      </c>
      <c r="G771" s="217"/>
      <c r="H771" s="25"/>
    </row>
    <row r="772">
      <c r="A772" s="216">
        <v>1.2019002E7</v>
      </c>
      <c r="B772" s="216" t="s">
        <v>3314</v>
      </c>
      <c r="C772" s="216" t="s">
        <v>3312</v>
      </c>
      <c r="D772" s="25"/>
      <c r="E772" s="216" t="s">
        <v>2730</v>
      </c>
      <c r="F772" s="216" t="s">
        <v>2730</v>
      </c>
      <c r="G772" s="217"/>
      <c r="H772" s="25"/>
    </row>
    <row r="773">
      <c r="A773" s="216">
        <v>1.202E7</v>
      </c>
      <c r="B773" s="216" t="s">
        <v>3315</v>
      </c>
      <c r="C773" s="216" t="s">
        <v>3312</v>
      </c>
      <c r="D773" s="25"/>
      <c r="E773" s="216" t="s">
        <v>2730</v>
      </c>
      <c r="F773" s="216" t="s">
        <v>2730</v>
      </c>
      <c r="G773" s="217"/>
      <c r="H773" s="25"/>
    </row>
    <row r="774">
      <c r="A774" s="216">
        <v>1.2019003E7</v>
      </c>
      <c r="B774" s="216" t="s">
        <v>3316</v>
      </c>
      <c r="C774" s="216" t="s">
        <v>3312</v>
      </c>
      <c r="D774" s="25"/>
      <c r="E774" s="216">
        <v>0.05</v>
      </c>
      <c r="F774" s="216">
        <v>0.05</v>
      </c>
      <c r="G774" s="217"/>
      <c r="H774" s="25"/>
    </row>
    <row r="775">
      <c r="A775" s="216">
        <v>1.2019004E7</v>
      </c>
      <c r="B775" s="216" t="s">
        <v>3317</v>
      </c>
      <c r="C775" s="216" t="s">
        <v>3312</v>
      </c>
      <c r="D775" s="25"/>
      <c r="E775" s="216" t="s">
        <v>2730</v>
      </c>
      <c r="F775" s="216" t="s">
        <v>2730</v>
      </c>
      <c r="G775" s="217"/>
      <c r="H775" s="25"/>
    </row>
    <row r="776">
      <c r="A776" s="216">
        <v>1.2019005E7</v>
      </c>
      <c r="B776" s="216" t="s">
        <v>3318</v>
      </c>
      <c r="C776" s="216" t="s">
        <v>3312</v>
      </c>
      <c r="D776" s="25"/>
      <c r="E776" s="216" t="s">
        <v>2730</v>
      </c>
      <c r="F776" s="216" t="s">
        <v>2730</v>
      </c>
      <c r="G776" s="217"/>
      <c r="H776" s="25"/>
    </row>
    <row r="777">
      <c r="A777" s="216">
        <v>3.0015E7</v>
      </c>
      <c r="B777" s="216" t="s">
        <v>3319</v>
      </c>
      <c r="C777" s="216" t="s">
        <v>3312</v>
      </c>
      <c r="D777" s="25"/>
      <c r="E777" s="216" t="s">
        <v>2730</v>
      </c>
      <c r="F777" s="216" t="s">
        <v>2730</v>
      </c>
      <c r="G777" s="217"/>
      <c r="H777" s="25"/>
    </row>
    <row r="778">
      <c r="A778" s="216">
        <v>3.0015001E7</v>
      </c>
      <c r="B778" s="216" t="s">
        <v>3320</v>
      </c>
      <c r="C778" s="216" t="s">
        <v>3312</v>
      </c>
      <c r="D778" s="25"/>
      <c r="E778" s="216" t="s">
        <v>2730</v>
      </c>
      <c r="F778" s="216" t="s">
        <v>2730</v>
      </c>
      <c r="G778" s="217"/>
      <c r="H778" s="25"/>
    </row>
    <row r="779">
      <c r="A779" s="216">
        <v>3.002502E7</v>
      </c>
      <c r="B779" s="216" t="s">
        <v>3321</v>
      </c>
      <c r="C779" s="216" t="s">
        <v>3312</v>
      </c>
      <c r="D779" s="25"/>
      <c r="E779" s="216" t="s">
        <v>2730</v>
      </c>
      <c r="F779" s="216" t="s">
        <v>2730</v>
      </c>
      <c r="G779" s="216" t="s">
        <v>3322</v>
      </c>
      <c r="H779" s="25"/>
    </row>
    <row r="780">
      <c r="A780" s="216">
        <v>1.2027E7</v>
      </c>
      <c r="B780" s="216" t="s">
        <v>3323</v>
      </c>
      <c r="C780" s="216" t="s">
        <v>3324</v>
      </c>
      <c r="D780" s="25"/>
      <c r="E780" s="216" t="s">
        <v>2730</v>
      </c>
      <c r="F780" s="216" t="s">
        <v>2730</v>
      </c>
      <c r="G780" s="217"/>
      <c r="H780" s="25"/>
    </row>
    <row r="781">
      <c r="A781" s="216">
        <v>1.2027001E7</v>
      </c>
      <c r="B781" s="216" t="s">
        <v>3325</v>
      </c>
      <c r="C781" s="216" t="s">
        <v>3324</v>
      </c>
      <c r="D781" s="25"/>
      <c r="E781" s="216" t="s">
        <v>2730</v>
      </c>
      <c r="F781" s="216" t="s">
        <v>2730</v>
      </c>
      <c r="G781" s="217"/>
      <c r="H781" s="25"/>
    </row>
    <row r="782">
      <c r="A782" s="216">
        <v>1.2027002E7</v>
      </c>
      <c r="B782" s="216" t="s">
        <v>3326</v>
      </c>
      <c r="C782" s="216" t="s">
        <v>3324</v>
      </c>
      <c r="D782" s="25"/>
      <c r="E782" s="216" t="s">
        <v>2730</v>
      </c>
      <c r="F782" s="216" t="s">
        <v>2730</v>
      </c>
      <c r="G782" s="217"/>
      <c r="H782" s="25"/>
    </row>
    <row r="783">
      <c r="A783" s="216">
        <v>1.2028E7</v>
      </c>
      <c r="B783" s="216" t="s">
        <v>3327</v>
      </c>
      <c r="C783" s="216" t="s">
        <v>3324</v>
      </c>
      <c r="D783" s="25"/>
      <c r="E783" s="216" t="s">
        <v>2730</v>
      </c>
      <c r="F783" s="216" t="s">
        <v>2730</v>
      </c>
      <c r="G783" s="217"/>
      <c r="H783" s="25"/>
    </row>
    <row r="784">
      <c r="A784" s="216">
        <v>1.2027003E7</v>
      </c>
      <c r="B784" s="216" t="s">
        <v>3328</v>
      </c>
      <c r="C784" s="216" t="s">
        <v>3324</v>
      </c>
      <c r="D784" s="25"/>
      <c r="E784" s="216">
        <v>0.05</v>
      </c>
      <c r="F784" s="216">
        <v>0.05</v>
      </c>
      <c r="G784" s="217"/>
      <c r="H784" s="25"/>
    </row>
    <row r="785">
      <c r="A785" s="216">
        <v>1.2027004E7</v>
      </c>
      <c r="B785" s="216" t="s">
        <v>3329</v>
      </c>
      <c r="C785" s="216" t="s">
        <v>3324</v>
      </c>
      <c r="D785" s="25"/>
      <c r="E785" s="216" t="s">
        <v>2730</v>
      </c>
      <c r="F785" s="216" t="s">
        <v>2730</v>
      </c>
      <c r="G785" s="217"/>
      <c r="H785" s="25"/>
    </row>
    <row r="786">
      <c r="A786" s="216">
        <v>1.2027005E7</v>
      </c>
      <c r="B786" s="216" t="s">
        <v>3330</v>
      </c>
      <c r="C786" s="216" t="s">
        <v>3324</v>
      </c>
      <c r="D786" s="25"/>
      <c r="E786" s="216" t="s">
        <v>2730</v>
      </c>
      <c r="F786" s="216" t="s">
        <v>2730</v>
      </c>
      <c r="G786" s="217"/>
      <c r="H786" s="25"/>
    </row>
    <row r="787">
      <c r="A787" s="216">
        <v>3.0015002E7</v>
      </c>
      <c r="B787" s="216" t="s">
        <v>3331</v>
      </c>
      <c r="C787" s="216" t="s">
        <v>3324</v>
      </c>
      <c r="D787" s="25"/>
      <c r="E787" s="216" t="s">
        <v>2730</v>
      </c>
      <c r="F787" s="216" t="s">
        <v>2730</v>
      </c>
      <c r="G787" s="217"/>
      <c r="H787" s="25"/>
    </row>
    <row r="788">
      <c r="A788" s="216">
        <v>3.0015003E7</v>
      </c>
      <c r="B788" s="216" t="s">
        <v>3332</v>
      </c>
      <c r="C788" s="216" t="s">
        <v>3324</v>
      </c>
      <c r="D788" s="25"/>
      <c r="E788" s="216" t="s">
        <v>2730</v>
      </c>
      <c r="F788" s="216" t="s">
        <v>2730</v>
      </c>
      <c r="G788" s="217"/>
      <c r="H788" s="25"/>
    </row>
    <row r="789">
      <c r="A789" s="216">
        <v>3.0025021E7</v>
      </c>
      <c r="B789" s="216" t="s">
        <v>3333</v>
      </c>
      <c r="C789" s="216" t="s">
        <v>3324</v>
      </c>
      <c r="D789" s="25"/>
      <c r="E789" s="216" t="s">
        <v>2730</v>
      </c>
      <c r="F789" s="216" t="s">
        <v>2730</v>
      </c>
      <c r="G789" s="216" t="s">
        <v>3322</v>
      </c>
      <c r="H789" s="25"/>
    </row>
    <row r="790">
      <c r="A790" s="216">
        <v>1.2035E7</v>
      </c>
      <c r="B790" s="216" t="s">
        <v>3334</v>
      </c>
      <c r="C790" s="216" t="s">
        <v>3335</v>
      </c>
      <c r="D790" s="25"/>
      <c r="E790" s="216" t="s">
        <v>2730</v>
      </c>
      <c r="F790" s="216" t="s">
        <v>2730</v>
      </c>
      <c r="G790" s="217"/>
      <c r="H790" s="25"/>
    </row>
    <row r="791">
      <c r="A791" s="216">
        <v>1.2035001E7</v>
      </c>
      <c r="B791" s="216" t="s">
        <v>3336</v>
      </c>
      <c r="C791" s="216" t="s">
        <v>3335</v>
      </c>
      <c r="D791" s="25"/>
      <c r="E791" s="216" t="s">
        <v>2730</v>
      </c>
      <c r="F791" s="216" t="s">
        <v>2730</v>
      </c>
      <c r="G791" s="217"/>
      <c r="H791" s="25"/>
    </row>
    <row r="792">
      <c r="A792" s="216">
        <v>1.2035002E7</v>
      </c>
      <c r="B792" s="216" t="s">
        <v>3337</v>
      </c>
      <c r="C792" s="216" t="s">
        <v>3335</v>
      </c>
      <c r="D792" s="25"/>
      <c r="E792" s="216" t="s">
        <v>2730</v>
      </c>
      <c r="F792" s="216" t="s">
        <v>2730</v>
      </c>
      <c r="G792" s="217"/>
      <c r="H792" s="25"/>
    </row>
    <row r="793">
      <c r="A793" s="216">
        <v>1.2036E7</v>
      </c>
      <c r="B793" s="216" t="s">
        <v>3338</v>
      </c>
      <c r="C793" s="216" t="s">
        <v>3335</v>
      </c>
      <c r="D793" s="25"/>
      <c r="E793" s="216" t="s">
        <v>2730</v>
      </c>
      <c r="F793" s="216" t="s">
        <v>2730</v>
      </c>
      <c r="G793" s="217"/>
      <c r="H793" s="25"/>
    </row>
    <row r="794">
      <c r="A794" s="216">
        <v>1.2035003E7</v>
      </c>
      <c r="B794" s="216" t="s">
        <v>3339</v>
      </c>
      <c r="C794" s="216" t="s">
        <v>3335</v>
      </c>
      <c r="D794" s="25"/>
      <c r="E794" s="216">
        <v>0.05</v>
      </c>
      <c r="F794" s="216">
        <v>0.05</v>
      </c>
      <c r="G794" s="217"/>
      <c r="H794" s="25"/>
    </row>
    <row r="795">
      <c r="A795" s="216">
        <v>1.2035004E7</v>
      </c>
      <c r="B795" s="216" t="s">
        <v>3340</v>
      </c>
      <c r="C795" s="216" t="s">
        <v>3335</v>
      </c>
      <c r="D795" s="25"/>
      <c r="E795" s="216" t="s">
        <v>2730</v>
      </c>
      <c r="F795" s="216" t="s">
        <v>2730</v>
      </c>
      <c r="G795" s="217"/>
      <c r="H795" s="25"/>
    </row>
    <row r="796">
      <c r="A796" s="216">
        <v>1.2035005E7</v>
      </c>
      <c r="B796" s="216" t="s">
        <v>3341</v>
      </c>
      <c r="C796" s="216" t="s">
        <v>3335</v>
      </c>
      <c r="D796" s="25"/>
      <c r="E796" s="216" t="s">
        <v>2730</v>
      </c>
      <c r="F796" s="216" t="s">
        <v>2730</v>
      </c>
      <c r="G796" s="217"/>
      <c r="H796" s="25"/>
    </row>
    <row r="797">
      <c r="A797" s="216">
        <v>3.0015004E7</v>
      </c>
      <c r="B797" s="216" t="s">
        <v>3342</v>
      </c>
      <c r="C797" s="216" t="s">
        <v>3335</v>
      </c>
      <c r="D797" s="25"/>
      <c r="E797" s="216" t="s">
        <v>2730</v>
      </c>
      <c r="F797" s="216" t="s">
        <v>2730</v>
      </c>
      <c r="G797" s="217"/>
      <c r="H797" s="25"/>
    </row>
    <row r="798">
      <c r="A798" s="216">
        <v>3.0015005E7</v>
      </c>
      <c r="B798" s="216" t="s">
        <v>3343</v>
      </c>
      <c r="C798" s="216" t="s">
        <v>3335</v>
      </c>
      <c r="D798" s="25"/>
      <c r="E798" s="216" t="s">
        <v>2730</v>
      </c>
      <c r="F798" s="216" t="s">
        <v>2730</v>
      </c>
      <c r="G798" s="217"/>
      <c r="H798" s="25"/>
    </row>
    <row r="799">
      <c r="A799" s="216">
        <v>3.0025022E7</v>
      </c>
      <c r="B799" s="216" t="s">
        <v>3344</v>
      </c>
      <c r="C799" s="216" t="s">
        <v>3335</v>
      </c>
      <c r="D799" s="25"/>
      <c r="E799" s="216" t="s">
        <v>2730</v>
      </c>
      <c r="F799" s="216" t="s">
        <v>2730</v>
      </c>
      <c r="G799" s="216" t="s">
        <v>3322</v>
      </c>
      <c r="H799" s="25"/>
    </row>
    <row r="800">
      <c r="A800" s="216">
        <v>1.20973E7</v>
      </c>
      <c r="B800" s="216" t="s">
        <v>3345</v>
      </c>
      <c r="C800" s="216" t="s">
        <v>3346</v>
      </c>
      <c r="D800" s="25"/>
      <c r="E800" s="216">
        <v>0.5</v>
      </c>
      <c r="F800" s="216">
        <v>0.5</v>
      </c>
      <c r="G800" s="217"/>
      <c r="H800" s="25"/>
    </row>
    <row r="801">
      <c r="A801" s="216">
        <v>1.2097301E7</v>
      </c>
      <c r="B801" s="216" t="s">
        <v>3347</v>
      </c>
      <c r="C801" s="216" t="s">
        <v>3346</v>
      </c>
      <c r="D801" s="25"/>
      <c r="E801" s="216">
        <v>0.5</v>
      </c>
      <c r="F801" s="216">
        <v>0.5</v>
      </c>
      <c r="G801" s="217"/>
      <c r="H801" s="25"/>
    </row>
    <row r="802">
      <c r="A802" s="216">
        <v>1.2097302E7</v>
      </c>
      <c r="B802" s="216" t="s">
        <v>3348</v>
      </c>
      <c r="C802" s="216" t="s">
        <v>3346</v>
      </c>
      <c r="D802" s="25"/>
      <c r="E802" s="216">
        <v>0.0</v>
      </c>
      <c r="F802" s="216">
        <v>0.0</v>
      </c>
      <c r="G802" s="217"/>
      <c r="H802" s="25"/>
    </row>
    <row r="803">
      <c r="A803" s="216">
        <v>1.2097303E7</v>
      </c>
      <c r="B803" s="216" t="s">
        <v>3349</v>
      </c>
      <c r="C803" s="216" t="s">
        <v>3346</v>
      </c>
      <c r="D803" s="25"/>
      <c r="E803" s="216">
        <v>0.0</v>
      </c>
      <c r="F803" s="216">
        <v>0.0</v>
      </c>
      <c r="G803" s="217"/>
      <c r="H803" s="25"/>
    </row>
    <row r="804">
      <c r="A804" s="216">
        <v>1.2097304E7</v>
      </c>
      <c r="B804" s="216" t="s">
        <v>3350</v>
      </c>
      <c r="C804" s="216" t="s">
        <v>3346</v>
      </c>
      <c r="D804" s="25"/>
      <c r="E804" s="216">
        <v>0.5</v>
      </c>
      <c r="F804" s="216">
        <v>0.5</v>
      </c>
      <c r="G804" s="217"/>
      <c r="H804" s="25"/>
    </row>
    <row r="805">
      <c r="A805" s="216">
        <v>1.2097305E7</v>
      </c>
      <c r="B805" s="216" t="s">
        <v>3351</v>
      </c>
      <c r="C805" s="216" t="s">
        <v>3346</v>
      </c>
      <c r="D805" s="25"/>
      <c r="E805" s="216">
        <v>0.5</v>
      </c>
      <c r="F805" s="216">
        <v>0.5</v>
      </c>
      <c r="G805" s="217"/>
      <c r="H805" s="25"/>
    </row>
    <row r="806">
      <c r="A806" s="216">
        <v>1.2097306E7</v>
      </c>
      <c r="B806" s="216" t="s">
        <v>3352</v>
      </c>
      <c r="C806" s="216" t="s">
        <v>3346</v>
      </c>
      <c r="D806" s="25"/>
      <c r="E806" s="216">
        <v>0.0</v>
      </c>
      <c r="F806" s="216">
        <v>0.0</v>
      </c>
      <c r="G806" s="217"/>
      <c r="H806" s="25"/>
    </row>
    <row r="807">
      <c r="A807" s="216">
        <v>1.2097307E7</v>
      </c>
      <c r="B807" s="216" t="s">
        <v>3353</v>
      </c>
      <c r="C807" s="216" t="s">
        <v>3346</v>
      </c>
      <c r="D807" s="25"/>
      <c r="E807" s="216">
        <v>0.0</v>
      </c>
      <c r="F807" s="216">
        <v>0.0</v>
      </c>
      <c r="G807" s="217"/>
      <c r="H807" s="25"/>
    </row>
    <row r="808">
      <c r="A808" s="216">
        <v>1.2097E7</v>
      </c>
      <c r="B808" s="216" t="s">
        <v>3354</v>
      </c>
      <c r="C808" s="216" t="s">
        <v>3346</v>
      </c>
      <c r="D808" s="25"/>
      <c r="E808" s="216" t="s">
        <v>2730</v>
      </c>
      <c r="F808" s="216" t="s">
        <v>2730</v>
      </c>
      <c r="G808" s="217"/>
      <c r="H808" s="25"/>
    </row>
    <row r="809">
      <c r="A809" s="216">
        <v>1.2097001E7</v>
      </c>
      <c r="B809" s="216" t="s">
        <v>3355</v>
      </c>
      <c r="C809" s="216" t="s">
        <v>3346</v>
      </c>
      <c r="D809" s="25"/>
      <c r="E809" s="216" t="s">
        <v>2730</v>
      </c>
      <c r="F809" s="216" t="s">
        <v>2730</v>
      </c>
      <c r="G809" s="217"/>
      <c r="H809" s="25"/>
    </row>
    <row r="810">
      <c r="A810" s="216">
        <v>1.2097002E7</v>
      </c>
      <c r="B810" s="216" t="s">
        <v>3356</v>
      </c>
      <c r="C810" s="216" t="s">
        <v>3346</v>
      </c>
      <c r="D810" s="25"/>
      <c r="E810" s="216" t="s">
        <v>2730</v>
      </c>
      <c r="F810" s="216" t="s">
        <v>2730</v>
      </c>
      <c r="G810" s="217"/>
      <c r="H810" s="25"/>
    </row>
    <row r="811">
      <c r="A811" s="216">
        <v>1.2097003E7</v>
      </c>
      <c r="B811" s="216" t="s">
        <v>3357</v>
      </c>
      <c r="C811" s="216" t="s">
        <v>3346</v>
      </c>
      <c r="D811" s="25"/>
      <c r="E811" s="216" t="s">
        <v>2730</v>
      </c>
      <c r="F811" s="216" t="s">
        <v>2730</v>
      </c>
      <c r="G811" s="217"/>
      <c r="H811" s="25"/>
    </row>
    <row r="812">
      <c r="A812" s="216">
        <v>3.0010032E7</v>
      </c>
      <c r="B812" s="216" t="s">
        <v>3358</v>
      </c>
      <c r="C812" s="216" t="s">
        <v>3346</v>
      </c>
      <c r="D812" s="25"/>
      <c r="E812" s="216">
        <v>0.0</v>
      </c>
      <c r="F812" s="216">
        <v>0.0</v>
      </c>
      <c r="G812" s="217"/>
      <c r="H812" s="25"/>
    </row>
    <row r="813">
      <c r="A813" s="216">
        <v>1.2097E7</v>
      </c>
      <c r="B813" s="216" t="s">
        <v>3359</v>
      </c>
      <c r="C813" s="216" t="s">
        <v>3346</v>
      </c>
      <c r="D813" s="25"/>
      <c r="E813" s="216" t="s">
        <v>2730</v>
      </c>
      <c r="F813" s="216" t="s">
        <v>2730</v>
      </c>
      <c r="G813" s="217"/>
      <c r="H813" s="25"/>
    </row>
    <row r="814">
      <c r="A814" s="216">
        <v>1.2097001E7</v>
      </c>
      <c r="B814" s="216" t="s">
        <v>3360</v>
      </c>
      <c r="C814" s="216" t="s">
        <v>3346</v>
      </c>
      <c r="D814" s="25"/>
      <c r="E814" s="216" t="s">
        <v>2730</v>
      </c>
      <c r="F814" s="216" t="s">
        <v>2730</v>
      </c>
      <c r="G814" s="217"/>
      <c r="H814" s="25"/>
    </row>
    <row r="815">
      <c r="A815" s="216">
        <v>1.2097002E7</v>
      </c>
      <c r="B815" s="216" t="s">
        <v>3361</v>
      </c>
      <c r="C815" s="216" t="s">
        <v>3346</v>
      </c>
      <c r="D815" s="25"/>
      <c r="E815" s="216" t="s">
        <v>2730</v>
      </c>
      <c r="F815" s="216" t="s">
        <v>2730</v>
      </c>
      <c r="G815" s="217"/>
      <c r="H815" s="25"/>
    </row>
    <row r="816">
      <c r="A816" s="216">
        <v>1.2097003E7</v>
      </c>
      <c r="B816" s="216" t="s">
        <v>3362</v>
      </c>
      <c r="C816" s="216" t="s">
        <v>3346</v>
      </c>
      <c r="D816" s="25"/>
      <c r="E816" s="216" t="s">
        <v>2730</v>
      </c>
      <c r="F816" s="216" t="s">
        <v>2730</v>
      </c>
      <c r="G816" s="217"/>
      <c r="H816" s="25"/>
    </row>
    <row r="817">
      <c r="A817" s="216">
        <v>3.0010033E7</v>
      </c>
      <c r="B817" s="216" t="s">
        <v>3363</v>
      </c>
      <c r="C817" s="216" t="s">
        <v>3346</v>
      </c>
      <c r="D817" s="25"/>
      <c r="E817" s="216">
        <v>0.0</v>
      </c>
      <c r="F817" s="216">
        <v>0.0</v>
      </c>
      <c r="G817" s="217"/>
      <c r="H817" s="25"/>
    </row>
    <row r="818">
      <c r="A818" s="216">
        <v>3.002504E7</v>
      </c>
      <c r="B818" s="216" t="s">
        <v>3321</v>
      </c>
      <c r="C818" s="216" t="s">
        <v>3346</v>
      </c>
      <c r="D818" s="25"/>
      <c r="E818" s="216" t="s">
        <v>2730</v>
      </c>
      <c r="F818" s="216" t="s">
        <v>2730</v>
      </c>
      <c r="G818" s="216" t="s">
        <v>3322</v>
      </c>
      <c r="H818" s="25"/>
    </row>
    <row r="819">
      <c r="A819" s="216">
        <v>1.20974E7</v>
      </c>
      <c r="B819" s="216" t="s">
        <v>3364</v>
      </c>
      <c r="C819" s="216" t="s">
        <v>3365</v>
      </c>
      <c r="D819" s="25"/>
      <c r="E819" s="216">
        <v>0.5</v>
      </c>
      <c r="F819" s="216">
        <v>0.5</v>
      </c>
      <c r="G819" s="217"/>
      <c r="H819" s="25"/>
    </row>
    <row r="820">
      <c r="A820" s="216">
        <v>1.2097401E7</v>
      </c>
      <c r="B820" s="216" t="s">
        <v>3366</v>
      </c>
      <c r="C820" s="216" t="s">
        <v>3365</v>
      </c>
      <c r="D820" s="25"/>
      <c r="E820" s="216">
        <v>0.5</v>
      </c>
      <c r="F820" s="216">
        <v>0.5</v>
      </c>
      <c r="G820" s="217"/>
      <c r="H820" s="25"/>
    </row>
    <row r="821">
      <c r="A821" s="216">
        <v>1.2097402E7</v>
      </c>
      <c r="B821" s="216" t="s">
        <v>3367</v>
      </c>
      <c r="C821" s="216" t="s">
        <v>3365</v>
      </c>
      <c r="D821" s="25"/>
      <c r="E821" s="216">
        <v>0.0</v>
      </c>
      <c r="F821" s="216">
        <v>0.0</v>
      </c>
      <c r="G821" s="217"/>
      <c r="H821" s="25"/>
    </row>
    <row r="822">
      <c r="A822" s="216">
        <v>1.2097403E7</v>
      </c>
      <c r="B822" s="216" t="s">
        <v>3368</v>
      </c>
      <c r="C822" s="216" t="s">
        <v>3365</v>
      </c>
      <c r="D822" s="25"/>
      <c r="E822" s="216">
        <v>0.0</v>
      </c>
      <c r="F822" s="216">
        <v>0.0</v>
      </c>
      <c r="G822" s="217"/>
      <c r="H822" s="25"/>
    </row>
    <row r="823">
      <c r="A823" s="216">
        <v>1.2097404E7</v>
      </c>
      <c r="B823" s="216" t="s">
        <v>3369</v>
      </c>
      <c r="C823" s="216" t="s">
        <v>3365</v>
      </c>
      <c r="D823" s="25"/>
      <c r="E823" s="216">
        <v>0.5</v>
      </c>
      <c r="F823" s="216">
        <v>0.5</v>
      </c>
      <c r="G823" s="217"/>
      <c r="H823" s="25"/>
    </row>
    <row r="824">
      <c r="A824" s="216">
        <v>1.2097405E7</v>
      </c>
      <c r="B824" s="216" t="s">
        <v>3370</v>
      </c>
      <c r="C824" s="216" t="s">
        <v>3365</v>
      </c>
      <c r="D824" s="25"/>
      <c r="E824" s="216">
        <v>0.5</v>
      </c>
      <c r="F824" s="216">
        <v>0.5</v>
      </c>
      <c r="G824" s="217"/>
      <c r="H824" s="25"/>
    </row>
    <row r="825">
      <c r="A825" s="216">
        <v>1.2097406E7</v>
      </c>
      <c r="B825" s="216" t="s">
        <v>3371</v>
      </c>
      <c r="C825" s="216" t="s">
        <v>3365</v>
      </c>
      <c r="D825" s="25"/>
      <c r="E825" s="216">
        <v>0.0</v>
      </c>
      <c r="F825" s="216">
        <v>0.0</v>
      </c>
      <c r="G825" s="217"/>
      <c r="H825" s="25"/>
    </row>
    <row r="826">
      <c r="A826" s="216">
        <v>1.2097407E7</v>
      </c>
      <c r="B826" s="216" t="s">
        <v>3372</v>
      </c>
      <c r="C826" s="216" t="s">
        <v>3365</v>
      </c>
      <c r="D826" s="25"/>
      <c r="E826" s="216">
        <v>0.0</v>
      </c>
      <c r="F826" s="216">
        <v>0.0</v>
      </c>
      <c r="G826" s="217"/>
      <c r="H826" s="25"/>
    </row>
    <row r="827">
      <c r="A827" s="216">
        <v>1.20971E7</v>
      </c>
      <c r="B827" s="216" t="s">
        <v>3373</v>
      </c>
      <c r="C827" s="216" t="s">
        <v>3365</v>
      </c>
      <c r="D827" s="25"/>
      <c r="E827" s="216" t="s">
        <v>2730</v>
      </c>
      <c r="F827" s="216" t="s">
        <v>2730</v>
      </c>
      <c r="G827" s="217"/>
      <c r="H827" s="25"/>
    </row>
    <row r="828">
      <c r="A828" s="216">
        <v>1.2097101E7</v>
      </c>
      <c r="B828" s="216" t="s">
        <v>3374</v>
      </c>
      <c r="C828" s="216" t="s">
        <v>3365</v>
      </c>
      <c r="D828" s="25"/>
      <c r="E828" s="216" t="s">
        <v>2730</v>
      </c>
      <c r="F828" s="216" t="s">
        <v>2730</v>
      </c>
      <c r="G828" s="217"/>
      <c r="H828" s="25"/>
    </row>
    <row r="829">
      <c r="A829" s="216">
        <v>1.2097102E7</v>
      </c>
      <c r="B829" s="216" t="s">
        <v>3375</v>
      </c>
      <c r="C829" s="216" t="s">
        <v>3365</v>
      </c>
      <c r="D829" s="25"/>
      <c r="E829" s="216" t="s">
        <v>2730</v>
      </c>
      <c r="F829" s="216" t="s">
        <v>2730</v>
      </c>
      <c r="G829" s="217"/>
      <c r="H829" s="25"/>
    </row>
    <row r="830">
      <c r="A830" s="216">
        <v>1.2097103E7</v>
      </c>
      <c r="B830" s="216" t="s">
        <v>3376</v>
      </c>
      <c r="C830" s="216" t="s">
        <v>3365</v>
      </c>
      <c r="D830" s="25"/>
      <c r="E830" s="216" t="s">
        <v>2730</v>
      </c>
      <c r="F830" s="216" t="s">
        <v>2730</v>
      </c>
      <c r="G830" s="217"/>
      <c r="H830" s="25"/>
    </row>
    <row r="831">
      <c r="A831" s="216">
        <v>3.0010034E7</v>
      </c>
      <c r="B831" s="216" t="s">
        <v>3377</v>
      </c>
      <c r="C831" s="216" t="s">
        <v>3365</v>
      </c>
      <c r="D831" s="25"/>
      <c r="E831" s="216">
        <v>0.0</v>
      </c>
      <c r="F831" s="216">
        <v>0.0</v>
      </c>
      <c r="G831" s="217"/>
      <c r="H831" s="25"/>
    </row>
    <row r="832">
      <c r="A832" s="216">
        <v>1.20971E7</v>
      </c>
      <c r="B832" s="216" t="s">
        <v>3378</v>
      </c>
      <c r="C832" s="216" t="s">
        <v>3365</v>
      </c>
      <c r="D832" s="25"/>
      <c r="E832" s="216" t="s">
        <v>2730</v>
      </c>
      <c r="F832" s="216" t="s">
        <v>2730</v>
      </c>
      <c r="G832" s="217"/>
      <c r="H832" s="25"/>
    </row>
    <row r="833">
      <c r="A833" s="216">
        <v>1.2097101E7</v>
      </c>
      <c r="B833" s="216" t="s">
        <v>3379</v>
      </c>
      <c r="C833" s="216" t="s">
        <v>3365</v>
      </c>
      <c r="D833" s="25"/>
      <c r="E833" s="216" t="s">
        <v>2730</v>
      </c>
      <c r="F833" s="216" t="s">
        <v>2730</v>
      </c>
      <c r="G833" s="217"/>
      <c r="H833" s="25"/>
    </row>
    <row r="834">
      <c r="A834" s="216">
        <v>1.2097102E7</v>
      </c>
      <c r="B834" s="216" t="s">
        <v>3380</v>
      </c>
      <c r="C834" s="216" t="s">
        <v>3365</v>
      </c>
      <c r="D834" s="25"/>
      <c r="E834" s="216" t="s">
        <v>2730</v>
      </c>
      <c r="F834" s="216" t="s">
        <v>2730</v>
      </c>
      <c r="G834" s="217"/>
      <c r="H834" s="25"/>
    </row>
    <row r="835">
      <c r="A835" s="216">
        <v>1.2097103E7</v>
      </c>
      <c r="B835" s="216" t="s">
        <v>3381</v>
      </c>
      <c r="C835" s="216" t="s">
        <v>3365</v>
      </c>
      <c r="D835" s="25"/>
      <c r="E835" s="216" t="s">
        <v>2730</v>
      </c>
      <c r="F835" s="216" t="s">
        <v>2730</v>
      </c>
      <c r="G835" s="217"/>
      <c r="H835" s="25"/>
    </row>
    <row r="836">
      <c r="A836" s="216">
        <v>3.0010035E7</v>
      </c>
      <c r="B836" s="216" t="s">
        <v>3382</v>
      </c>
      <c r="C836" s="216" t="s">
        <v>3365</v>
      </c>
      <c r="D836" s="25"/>
      <c r="E836" s="216">
        <v>0.0</v>
      </c>
      <c r="F836" s="216">
        <v>0.0</v>
      </c>
      <c r="G836" s="217"/>
      <c r="H836" s="25"/>
    </row>
    <row r="837">
      <c r="A837" s="216">
        <v>3.0025041E7</v>
      </c>
      <c r="B837" s="216" t="s">
        <v>3333</v>
      </c>
      <c r="C837" s="216" t="s">
        <v>3365</v>
      </c>
      <c r="D837" s="25"/>
      <c r="E837" s="216" t="s">
        <v>2730</v>
      </c>
      <c r="F837" s="216" t="s">
        <v>2730</v>
      </c>
      <c r="G837" s="216" t="s">
        <v>3322</v>
      </c>
      <c r="H837" s="25"/>
    </row>
    <row r="838">
      <c r="A838" s="216">
        <v>1.20975E7</v>
      </c>
      <c r="B838" s="216" t="s">
        <v>3383</v>
      </c>
      <c r="C838" s="216" t="s">
        <v>3384</v>
      </c>
      <c r="D838" s="25"/>
      <c r="E838" s="216">
        <v>0.5</v>
      </c>
      <c r="F838" s="216">
        <v>0.5</v>
      </c>
      <c r="G838" s="217"/>
      <c r="H838" s="25"/>
    </row>
    <row r="839">
      <c r="A839" s="216">
        <v>1.2097501E7</v>
      </c>
      <c r="B839" s="216" t="s">
        <v>3385</v>
      </c>
      <c r="C839" s="216" t="s">
        <v>3384</v>
      </c>
      <c r="D839" s="25"/>
      <c r="E839" s="216">
        <v>0.5</v>
      </c>
      <c r="F839" s="216">
        <v>0.5</v>
      </c>
      <c r="G839" s="217"/>
      <c r="H839" s="25"/>
    </row>
    <row r="840">
      <c r="A840" s="216">
        <v>1.2097502E7</v>
      </c>
      <c r="B840" s="216" t="s">
        <v>3386</v>
      </c>
      <c r="C840" s="216" t="s">
        <v>3384</v>
      </c>
      <c r="D840" s="25"/>
      <c r="E840" s="216">
        <v>0.0</v>
      </c>
      <c r="F840" s="216">
        <v>0.0</v>
      </c>
      <c r="G840" s="217"/>
      <c r="H840" s="25"/>
    </row>
    <row r="841">
      <c r="A841" s="216">
        <v>1.2097503E7</v>
      </c>
      <c r="B841" s="216" t="s">
        <v>3387</v>
      </c>
      <c r="C841" s="216" t="s">
        <v>3384</v>
      </c>
      <c r="D841" s="25"/>
      <c r="E841" s="216">
        <v>0.0</v>
      </c>
      <c r="F841" s="216">
        <v>0.0</v>
      </c>
      <c r="G841" s="217"/>
      <c r="H841" s="25"/>
    </row>
    <row r="842">
      <c r="A842" s="216">
        <v>1.2097504E7</v>
      </c>
      <c r="B842" s="216" t="s">
        <v>3388</v>
      </c>
      <c r="C842" s="216" t="s">
        <v>3384</v>
      </c>
      <c r="D842" s="25"/>
      <c r="E842" s="216">
        <v>0.5</v>
      </c>
      <c r="F842" s="216">
        <v>0.5</v>
      </c>
      <c r="G842" s="217"/>
      <c r="H842" s="25"/>
    </row>
    <row r="843">
      <c r="A843" s="216">
        <v>1.2097505E7</v>
      </c>
      <c r="B843" s="216" t="s">
        <v>3389</v>
      </c>
      <c r="C843" s="216" t="s">
        <v>3384</v>
      </c>
      <c r="D843" s="25"/>
      <c r="E843" s="216">
        <v>0.5</v>
      </c>
      <c r="F843" s="216">
        <v>0.5</v>
      </c>
      <c r="G843" s="217"/>
      <c r="H843" s="25"/>
    </row>
    <row r="844">
      <c r="A844" s="216">
        <v>1.2097506E7</v>
      </c>
      <c r="B844" s="216" t="s">
        <v>3390</v>
      </c>
      <c r="C844" s="216" t="s">
        <v>3384</v>
      </c>
      <c r="D844" s="25"/>
      <c r="E844" s="216">
        <v>0.0</v>
      </c>
      <c r="F844" s="216">
        <v>0.0</v>
      </c>
      <c r="G844" s="217"/>
      <c r="H844" s="25"/>
    </row>
    <row r="845">
      <c r="A845" s="216">
        <v>1.2097507E7</v>
      </c>
      <c r="B845" s="216" t="s">
        <v>3391</v>
      </c>
      <c r="C845" s="216" t="s">
        <v>3384</v>
      </c>
      <c r="D845" s="25"/>
      <c r="E845" s="216">
        <v>0.0</v>
      </c>
      <c r="F845" s="216">
        <v>0.0</v>
      </c>
      <c r="G845" s="217"/>
      <c r="H845" s="25"/>
    </row>
    <row r="846">
      <c r="A846" s="216">
        <v>1.2097201E7</v>
      </c>
      <c r="B846" s="216" t="s">
        <v>3392</v>
      </c>
      <c r="C846" s="216" t="s">
        <v>3384</v>
      </c>
      <c r="D846" s="25"/>
      <c r="E846" s="216" t="s">
        <v>2730</v>
      </c>
      <c r="F846" s="216" t="s">
        <v>2730</v>
      </c>
      <c r="G846" s="217"/>
      <c r="H846" s="25"/>
    </row>
    <row r="847">
      <c r="A847" s="216">
        <v>1.2097202E7</v>
      </c>
      <c r="B847" s="216" t="s">
        <v>3393</v>
      </c>
      <c r="C847" s="216" t="s">
        <v>3384</v>
      </c>
      <c r="D847" s="25"/>
      <c r="E847" s="216" t="s">
        <v>2730</v>
      </c>
      <c r="F847" s="216" t="s">
        <v>2730</v>
      </c>
      <c r="G847" s="217"/>
      <c r="H847" s="25"/>
    </row>
    <row r="848">
      <c r="A848" s="216">
        <v>1.2097203E7</v>
      </c>
      <c r="B848" s="216" t="s">
        <v>3394</v>
      </c>
      <c r="C848" s="216" t="s">
        <v>3384</v>
      </c>
      <c r="D848" s="25"/>
      <c r="E848" s="216" t="s">
        <v>2730</v>
      </c>
      <c r="F848" s="216" t="s">
        <v>2730</v>
      </c>
      <c r="G848" s="217"/>
      <c r="H848" s="25"/>
    </row>
    <row r="849">
      <c r="A849" s="216">
        <v>3.0010036E7</v>
      </c>
      <c r="B849" s="216" t="s">
        <v>3395</v>
      </c>
      <c r="C849" s="216" t="s">
        <v>3384</v>
      </c>
      <c r="D849" s="25"/>
      <c r="E849" s="216">
        <v>0.0</v>
      </c>
      <c r="F849" s="216">
        <v>0.0</v>
      </c>
      <c r="G849" s="217"/>
      <c r="H849" s="25"/>
    </row>
    <row r="850">
      <c r="A850" s="216">
        <v>1.20972E7</v>
      </c>
      <c r="B850" s="216" t="s">
        <v>3396</v>
      </c>
      <c r="C850" s="216" t="s">
        <v>3384</v>
      </c>
      <c r="D850" s="25"/>
      <c r="E850" s="216" t="s">
        <v>2730</v>
      </c>
      <c r="F850" s="216" t="s">
        <v>2730</v>
      </c>
      <c r="G850" s="217"/>
      <c r="H850" s="25"/>
    </row>
    <row r="851">
      <c r="A851" s="216">
        <v>1.2097201E7</v>
      </c>
      <c r="B851" s="216" t="s">
        <v>3397</v>
      </c>
      <c r="C851" s="216" t="s">
        <v>3384</v>
      </c>
      <c r="D851" s="25"/>
      <c r="E851" s="216" t="s">
        <v>2730</v>
      </c>
      <c r="F851" s="216" t="s">
        <v>2730</v>
      </c>
      <c r="G851" s="217"/>
      <c r="H851" s="25"/>
    </row>
    <row r="852">
      <c r="A852" s="216">
        <v>1.2097202E7</v>
      </c>
      <c r="B852" s="216" t="s">
        <v>3398</v>
      </c>
      <c r="C852" s="216" t="s">
        <v>3384</v>
      </c>
      <c r="D852" s="25"/>
      <c r="E852" s="216" t="s">
        <v>2730</v>
      </c>
      <c r="F852" s="216" t="s">
        <v>2730</v>
      </c>
      <c r="G852" s="217"/>
      <c r="H852" s="25"/>
    </row>
    <row r="853">
      <c r="A853" s="216">
        <v>1.2097203E7</v>
      </c>
      <c r="B853" s="216" t="s">
        <v>3399</v>
      </c>
      <c r="C853" s="216" t="s">
        <v>3384</v>
      </c>
      <c r="D853" s="25"/>
      <c r="E853" s="216" t="s">
        <v>2730</v>
      </c>
      <c r="F853" s="216" t="s">
        <v>2730</v>
      </c>
      <c r="G853" s="217"/>
      <c r="H853" s="25"/>
    </row>
    <row r="854">
      <c r="A854" s="216">
        <v>3.0010037E7</v>
      </c>
      <c r="B854" s="216" t="s">
        <v>3400</v>
      </c>
      <c r="C854" s="216" t="s">
        <v>3384</v>
      </c>
      <c r="D854" s="25"/>
      <c r="E854" s="216">
        <v>0.0</v>
      </c>
      <c r="F854" s="216">
        <v>0.0</v>
      </c>
      <c r="G854" s="217"/>
      <c r="H854" s="25"/>
    </row>
    <row r="855">
      <c r="A855" s="216">
        <v>3.0025042E7</v>
      </c>
      <c r="B855" s="216" t="s">
        <v>3344</v>
      </c>
      <c r="C855" s="216" t="s">
        <v>3384</v>
      </c>
      <c r="D855" s="25"/>
      <c r="E855" s="216" t="s">
        <v>2730</v>
      </c>
      <c r="F855" s="216" t="s">
        <v>2730</v>
      </c>
      <c r="G855" s="216" t="s">
        <v>3322</v>
      </c>
      <c r="H855" s="25"/>
    </row>
    <row r="856">
      <c r="A856" s="216">
        <v>1.20191E7</v>
      </c>
      <c r="B856" s="216" t="s">
        <v>3311</v>
      </c>
      <c r="C856" s="216" t="s">
        <v>3401</v>
      </c>
      <c r="D856" s="25"/>
      <c r="E856" s="216" t="s">
        <v>2730</v>
      </c>
      <c r="F856" s="216" t="s">
        <v>2730</v>
      </c>
      <c r="G856" s="217"/>
      <c r="H856" s="25"/>
    </row>
    <row r="857">
      <c r="A857" s="216">
        <v>1.2019101E7</v>
      </c>
      <c r="B857" s="216" t="s">
        <v>3313</v>
      </c>
      <c r="C857" s="216" t="s">
        <v>3401</v>
      </c>
      <c r="D857" s="25"/>
      <c r="E857" s="216" t="s">
        <v>2730</v>
      </c>
      <c r="F857" s="216" t="s">
        <v>2730</v>
      </c>
      <c r="G857" s="217"/>
      <c r="H857" s="25"/>
    </row>
    <row r="858">
      <c r="A858" s="216">
        <v>1.2019102E7</v>
      </c>
      <c r="B858" s="216" t="s">
        <v>3314</v>
      </c>
      <c r="C858" s="216" t="s">
        <v>3401</v>
      </c>
      <c r="D858" s="25"/>
      <c r="E858" s="216" t="s">
        <v>2730</v>
      </c>
      <c r="F858" s="216" t="s">
        <v>2730</v>
      </c>
      <c r="G858" s="217"/>
      <c r="H858" s="25"/>
    </row>
    <row r="859">
      <c r="A859" s="216">
        <v>1.20201E7</v>
      </c>
      <c r="B859" s="216" t="s">
        <v>3315</v>
      </c>
      <c r="C859" s="216" t="s">
        <v>3401</v>
      </c>
      <c r="D859" s="25"/>
      <c r="E859" s="216" t="s">
        <v>2730</v>
      </c>
      <c r="F859" s="216" t="s">
        <v>2730</v>
      </c>
      <c r="G859" s="217"/>
      <c r="H859" s="25"/>
    </row>
    <row r="860">
      <c r="A860" s="216">
        <v>1.2019103E7</v>
      </c>
      <c r="B860" s="216" t="s">
        <v>3316</v>
      </c>
      <c r="C860" s="216" t="s">
        <v>3401</v>
      </c>
      <c r="D860" s="25"/>
      <c r="E860" s="216">
        <v>0.05</v>
      </c>
      <c r="F860" s="216">
        <v>0.05</v>
      </c>
      <c r="G860" s="217"/>
      <c r="H860" s="25"/>
    </row>
    <row r="861">
      <c r="A861" s="216">
        <v>1.2019104E7</v>
      </c>
      <c r="B861" s="216" t="s">
        <v>3317</v>
      </c>
      <c r="C861" s="216" t="s">
        <v>3401</v>
      </c>
      <c r="D861" s="25"/>
      <c r="E861" s="216" t="s">
        <v>2730</v>
      </c>
      <c r="F861" s="216" t="s">
        <v>2730</v>
      </c>
      <c r="G861" s="217"/>
      <c r="H861" s="25"/>
    </row>
    <row r="862">
      <c r="A862" s="216">
        <v>1.2019105E7</v>
      </c>
      <c r="B862" s="216" t="s">
        <v>3318</v>
      </c>
      <c r="C862" s="216" t="s">
        <v>3401</v>
      </c>
      <c r="D862" s="25"/>
      <c r="E862" s="216" t="s">
        <v>2730</v>
      </c>
      <c r="F862" s="216" t="s">
        <v>2730</v>
      </c>
      <c r="G862" s="217"/>
      <c r="H862" s="25"/>
    </row>
    <row r="863">
      <c r="A863" s="216">
        <v>3.00151E7</v>
      </c>
      <c r="B863" s="216" t="s">
        <v>3319</v>
      </c>
      <c r="C863" s="216" t="s">
        <v>3401</v>
      </c>
      <c r="D863" s="25"/>
      <c r="E863" s="216" t="s">
        <v>2730</v>
      </c>
      <c r="F863" s="216" t="s">
        <v>2730</v>
      </c>
      <c r="G863" s="217"/>
      <c r="H863" s="25"/>
    </row>
    <row r="864">
      <c r="A864" s="216">
        <v>3.0015101E7</v>
      </c>
      <c r="B864" s="216" t="s">
        <v>3320</v>
      </c>
      <c r="C864" s="216" t="s">
        <v>3401</v>
      </c>
      <c r="D864" s="25"/>
      <c r="E864" s="216" t="s">
        <v>2730</v>
      </c>
      <c r="F864" s="216" t="s">
        <v>2730</v>
      </c>
      <c r="G864" s="217"/>
      <c r="H864" s="25"/>
    </row>
    <row r="865">
      <c r="A865" s="216">
        <v>3.002506E7</v>
      </c>
      <c r="B865" s="216" t="s">
        <v>3321</v>
      </c>
      <c r="C865" s="216" t="s">
        <v>3401</v>
      </c>
      <c r="D865" s="25"/>
      <c r="E865" s="216" t="s">
        <v>2730</v>
      </c>
      <c r="F865" s="216" t="s">
        <v>2730</v>
      </c>
      <c r="G865" s="216" t="s">
        <v>3322</v>
      </c>
      <c r="H865" s="25"/>
    </row>
    <row r="866">
      <c r="A866" s="216">
        <v>1.20271E7</v>
      </c>
      <c r="B866" s="216" t="s">
        <v>3323</v>
      </c>
      <c r="C866" s="216" t="s">
        <v>3402</v>
      </c>
      <c r="D866" s="25"/>
      <c r="E866" s="216" t="s">
        <v>2730</v>
      </c>
      <c r="F866" s="216" t="s">
        <v>2730</v>
      </c>
      <c r="G866" s="217"/>
      <c r="H866" s="25"/>
    </row>
    <row r="867">
      <c r="A867" s="216">
        <v>1.2027101E7</v>
      </c>
      <c r="B867" s="216" t="s">
        <v>3325</v>
      </c>
      <c r="C867" s="216" t="s">
        <v>3402</v>
      </c>
      <c r="D867" s="25"/>
      <c r="E867" s="216" t="s">
        <v>2730</v>
      </c>
      <c r="F867" s="216" t="s">
        <v>2730</v>
      </c>
      <c r="G867" s="217"/>
      <c r="H867" s="25"/>
    </row>
    <row r="868">
      <c r="A868" s="216">
        <v>1.2027102E7</v>
      </c>
      <c r="B868" s="216" t="s">
        <v>3326</v>
      </c>
      <c r="C868" s="216" t="s">
        <v>3402</v>
      </c>
      <c r="D868" s="25"/>
      <c r="E868" s="216" t="s">
        <v>2730</v>
      </c>
      <c r="F868" s="216" t="s">
        <v>2730</v>
      </c>
      <c r="G868" s="217"/>
      <c r="H868" s="25"/>
    </row>
    <row r="869">
      <c r="A869" s="216">
        <v>1.20281E7</v>
      </c>
      <c r="B869" s="216" t="s">
        <v>3327</v>
      </c>
      <c r="C869" s="216" t="s">
        <v>3402</v>
      </c>
      <c r="D869" s="25"/>
      <c r="E869" s="216" t="s">
        <v>2730</v>
      </c>
      <c r="F869" s="216" t="s">
        <v>2730</v>
      </c>
      <c r="G869" s="217"/>
      <c r="H869" s="25"/>
    </row>
    <row r="870">
      <c r="A870" s="216">
        <v>1.2027103E7</v>
      </c>
      <c r="B870" s="216" t="s">
        <v>3328</v>
      </c>
      <c r="C870" s="216" t="s">
        <v>3402</v>
      </c>
      <c r="D870" s="25"/>
      <c r="E870" s="216">
        <v>0.05</v>
      </c>
      <c r="F870" s="216">
        <v>0.05</v>
      </c>
      <c r="G870" s="217"/>
      <c r="H870" s="25"/>
    </row>
    <row r="871">
      <c r="A871" s="216">
        <v>1.2027104E7</v>
      </c>
      <c r="B871" s="216" t="s">
        <v>3329</v>
      </c>
      <c r="C871" s="216" t="s">
        <v>3402</v>
      </c>
      <c r="D871" s="25"/>
      <c r="E871" s="216" t="s">
        <v>2730</v>
      </c>
      <c r="F871" s="216" t="s">
        <v>2730</v>
      </c>
      <c r="G871" s="217"/>
      <c r="H871" s="25"/>
    </row>
    <row r="872">
      <c r="A872" s="216">
        <v>1.2027105E7</v>
      </c>
      <c r="B872" s="216" t="s">
        <v>3330</v>
      </c>
      <c r="C872" s="216" t="s">
        <v>3402</v>
      </c>
      <c r="D872" s="25"/>
      <c r="E872" s="216" t="s">
        <v>2730</v>
      </c>
      <c r="F872" s="216" t="s">
        <v>2730</v>
      </c>
      <c r="G872" s="217"/>
      <c r="H872" s="25"/>
    </row>
    <row r="873">
      <c r="A873" s="216">
        <v>3.0015102E7</v>
      </c>
      <c r="B873" s="216" t="s">
        <v>3331</v>
      </c>
      <c r="C873" s="216" t="s">
        <v>3402</v>
      </c>
      <c r="D873" s="25"/>
      <c r="E873" s="216" t="s">
        <v>2730</v>
      </c>
      <c r="F873" s="216" t="s">
        <v>2730</v>
      </c>
      <c r="G873" s="217"/>
      <c r="H873" s="25"/>
    </row>
    <row r="874">
      <c r="A874" s="216">
        <v>3.0015103E7</v>
      </c>
      <c r="B874" s="216" t="s">
        <v>3332</v>
      </c>
      <c r="C874" s="216" t="s">
        <v>3402</v>
      </c>
      <c r="D874" s="25"/>
      <c r="E874" s="216" t="s">
        <v>2730</v>
      </c>
      <c r="F874" s="216" t="s">
        <v>2730</v>
      </c>
      <c r="G874" s="217"/>
      <c r="H874" s="25"/>
    </row>
    <row r="875">
      <c r="A875" s="216">
        <v>3.0025061E7</v>
      </c>
      <c r="B875" s="216" t="s">
        <v>3333</v>
      </c>
      <c r="C875" s="216" t="s">
        <v>3402</v>
      </c>
      <c r="D875" s="25"/>
      <c r="E875" s="216" t="s">
        <v>2730</v>
      </c>
      <c r="F875" s="216" t="s">
        <v>2730</v>
      </c>
      <c r="G875" s="216" t="s">
        <v>3322</v>
      </c>
      <c r="H875" s="25"/>
    </row>
    <row r="876">
      <c r="A876" s="216">
        <v>1.20351E7</v>
      </c>
      <c r="B876" s="216" t="s">
        <v>3334</v>
      </c>
      <c r="C876" s="216" t="s">
        <v>3403</v>
      </c>
      <c r="D876" s="25"/>
      <c r="E876" s="216" t="s">
        <v>2730</v>
      </c>
      <c r="F876" s="216" t="s">
        <v>2730</v>
      </c>
      <c r="G876" s="217"/>
      <c r="H876" s="25"/>
    </row>
    <row r="877">
      <c r="A877" s="216">
        <v>1.2035101E7</v>
      </c>
      <c r="B877" s="216" t="s">
        <v>3336</v>
      </c>
      <c r="C877" s="216" t="s">
        <v>3403</v>
      </c>
      <c r="D877" s="25"/>
      <c r="E877" s="216" t="s">
        <v>2730</v>
      </c>
      <c r="F877" s="216" t="s">
        <v>2730</v>
      </c>
      <c r="G877" s="217"/>
      <c r="H877" s="25"/>
    </row>
    <row r="878">
      <c r="A878" s="216">
        <v>1.2035102E7</v>
      </c>
      <c r="B878" s="216" t="s">
        <v>3337</v>
      </c>
      <c r="C878" s="216" t="s">
        <v>3403</v>
      </c>
      <c r="D878" s="25"/>
      <c r="E878" s="216" t="s">
        <v>2730</v>
      </c>
      <c r="F878" s="216" t="s">
        <v>2730</v>
      </c>
      <c r="G878" s="217"/>
      <c r="H878" s="25"/>
    </row>
    <row r="879">
      <c r="A879" s="216">
        <v>1.20361E7</v>
      </c>
      <c r="B879" s="216" t="s">
        <v>3338</v>
      </c>
      <c r="C879" s="216" t="s">
        <v>3403</v>
      </c>
      <c r="D879" s="25"/>
      <c r="E879" s="216" t="s">
        <v>2730</v>
      </c>
      <c r="F879" s="216" t="s">
        <v>2730</v>
      </c>
      <c r="G879" s="217"/>
      <c r="H879" s="25"/>
    </row>
    <row r="880">
      <c r="A880" s="216">
        <v>1.2035103E7</v>
      </c>
      <c r="B880" s="216" t="s">
        <v>3339</v>
      </c>
      <c r="C880" s="216" t="s">
        <v>3403</v>
      </c>
      <c r="D880" s="25"/>
      <c r="E880" s="216">
        <v>0.05</v>
      </c>
      <c r="F880" s="216">
        <v>0.05</v>
      </c>
      <c r="G880" s="217"/>
      <c r="H880" s="25"/>
    </row>
    <row r="881">
      <c r="A881" s="216">
        <v>1.2035104E7</v>
      </c>
      <c r="B881" s="216" t="s">
        <v>3340</v>
      </c>
      <c r="C881" s="216" t="s">
        <v>3403</v>
      </c>
      <c r="D881" s="25"/>
      <c r="E881" s="216" t="s">
        <v>2730</v>
      </c>
      <c r="F881" s="216" t="s">
        <v>2730</v>
      </c>
      <c r="G881" s="217"/>
      <c r="H881" s="25"/>
    </row>
    <row r="882">
      <c r="A882" s="216">
        <v>1.2035105E7</v>
      </c>
      <c r="B882" s="216" t="s">
        <v>3341</v>
      </c>
      <c r="C882" s="216" t="s">
        <v>3403</v>
      </c>
      <c r="D882" s="25"/>
      <c r="E882" s="216" t="s">
        <v>2730</v>
      </c>
      <c r="F882" s="216" t="s">
        <v>2730</v>
      </c>
      <c r="G882" s="217"/>
      <c r="H882" s="25"/>
    </row>
    <row r="883">
      <c r="A883" s="216">
        <v>3.0015104E7</v>
      </c>
      <c r="B883" s="216" t="s">
        <v>3342</v>
      </c>
      <c r="C883" s="216" t="s">
        <v>3403</v>
      </c>
      <c r="D883" s="25"/>
      <c r="E883" s="216" t="s">
        <v>2730</v>
      </c>
      <c r="F883" s="216" t="s">
        <v>2730</v>
      </c>
      <c r="G883" s="217"/>
      <c r="H883" s="25"/>
    </row>
    <row r="884">
      <c r="A884" s="216">
        <v>3.0015105E7</v>
      </c>
      <c r="B884" s="216" t="s">
        <v>3343</v>
      </c>
      <c r="C884" s="216" t="s">
        <v>3403</v>
      </c>
      <c r="D884" s="25"/>
      <c r="E884" s="216" t="s">
        <v>2730</v>
      </c>
      <c r="F884" s="216" t="s">
        <v>2730</v>
      </c>
      <c r="G884" s="217"/>
      <c r="H884" s="25"/>
    </row>
    <row r="885">
      <c r="A885" s="216">
        <v>3.0025062E7</v>
      </c>
      <c r="B885" s="216" t="s">
        <v>3344</v>
      </c>
      <c r="C885" s="216" t="s">
        <v>3403</v>
      </c>
      <c r="D885" s="25"/>
      <c r="E885" s="216" t="s">
        <v>2730</v>
      </c>
      <c r="F885" s="216" t="s">
        <v>2730</v>
      </c>
      <c r="G885" s="216" t="s">
        <v>3322</v>
      </c>
      <c r="H885" s="25"/>
    </row>
    <row r="886">
      <c r="A886" s="216">
        <v>3.0010009E7</v>
      </c>
      <c r="B886" s="219" t="s">
        <v>3404</v>
      </c>
      <c r="C886" s="216" t="s">
        <v>3405</v>
      </c>
      <c r="D886" s="25"/>
      <c r="E886" s="216">
        <v>0.0</v>
      </c>
      <c r="F886" s="216">
        <v>0.0</v>
      </c>
      <c r="G886" s="217"/>
      <c r="H886" s="25"/>
    </row>
    <row r="887">
      <c r="A887" s="216">
        <v>3.002507E7</v>
      </c>
      <c r="B887" s="216" t="s">
        <v>3321</v>
      </c>
      <c r="C887" s="216" t="s">
        <v>3405</v>
      </c>
      <c r="D887" s="25"/>
      <c r="E887" s="216" t="s">
        <v>2730</v>
      </c>
      <c r="F887" s="216" t="s">
        <v>2730</v>
      </c>
      <c r="G887" s="216" t="s">
        <v>3322</v>
      </c>
      <c r="H887" s="25"/>
    </row>
    <row r="888">
      <c r="A888" s="216">
        <v>3.0010013E7</v>
      </c>
      <c r="B888" s="216" t="s">
        <v>3406</v>
      </c>
      <c r="C888" s="216" t="s">
        <v>3407</v>
      </c>
      <c r="D888" s="25"/>
      <c r="E888" s="216">
        <v>0.0</v>
      </c>
      <c r="F888" s="216">
        <v>0.0</v>
      </c>
      <c r="G888" s="217"/>
      <c r="H888" s="25"/>
    </row>
    <row r="889">
      <c r="A889" s="216">
        <v>3.0025071E7</v>
      </c>
      <c r="B889" s="216" t="s">
        <v>3333</v>
      </c>
      <c r="C889" s="216" t="s">
        <v>3407</v>
      </c>
      <c r="D889" s="25"/>
      <c r="E889" s="216" t="s">
        <v>2730</v>
      </c>
      <c r="F889" s="216" t="s">
        <v>2730</v>
      </c>
      <c r="G889" s="216" t="s">
        <v>3322</v>
      </c>
      <c r="H889" s="25"/>
    </row>
    <row r="890">
      <c r="A890" s="216">
        <v>3.0010017E7</v>
      </c>
      <c r="B890" s="216" t="s">
        <v>3408</v>
      </c>
      <c r="C890" s="216" t="s">
        <v>3409</v>
      </c>
      <c r="D890" s="25"/>
      <c r="E890" s="216">
        <v>0.0</v>
      </c>
      <c r="F890" s="216">
        <v>0.0</v>
      </c>
      <c r="G890" s="217"/>
      <c r="H890" s="25"/>
    </row>
    <row r="891">
      <c r="A891" s="216">
        <v>3.0025072E7</v>
      </c>
      <c r="B891" s="216" t="s">
        <v>3344</v>
      </c>
      <c r="C891" s="216" t="s">
        <v>3409</v>
      </c>
      <c r="D891" s="25"/>
      <c r="E891" s="216" t="s">
        <v>2730</v>
      </c>
      <c r="F891" s="216" t="s">
        <v>2730</v>
      </c>
      <c r="G891" s="216" t="s">
        <v>3322</v>
      </c>
      <c r="H891" s="25"/>
    </row>
    <row r="892">
      <c r="A892" s="216">
        <v>1.209801E7</v>
      </c>
      <c r="B892" s="216" t="s">
        <v>3410</v>
      </c>
      <c r="C892" s="216" t="s">
        <v>3411</v>
      </c>
      <c r="D892" s="25"/>
      <c r="E892" s="216" t="s">
        <v>2730</v>
      </c>
      <c r="F892" s="216" t="s">
        <v>2730</v>
      </c>
      <c r="G892" s="217"/>
      <c r="H892" s="25"/>
    </row>
    <row r="893">
      <c r="A893" s="216">
        <v>1.2098011E7</v>
      </c>
      <c r="B893" s="216" t="s">
        <v>3412</v>
      </c>
      <c r="C893" s="216" t="s">
        <v>3411</v>
      </c>
      <c r="D893" s="25"/>
      <c r="E893" s="216">
        <v>0.3</v>
      </c>
      <c r="F893" s="216">
        <v>0.3</v>
      </c>
      <c r="G893" s="217"/>
      <c r="H893" s="25"/>
    </row>
    <row r="894">
      <c r="A894" s="216">
        <v>1.2098012E7</v>
      </c>
      <c r="B894" s="216" t="s">
        <v>3413</v>
      </c>
      <c r="C894" s="216" t="s">
        <v>3411</v>
      </c>
      <c r="D894" s="25"/>
      <c r="E894" s="216" t="s">
        <v>2730</v>
      </c>
      <c r="F894" s="216" t="s">
        <v>2730</v>
      </c>
      <c r="G894" s="217"/>
      <c r="H894" s="25"/>
    </row>
    <row r="895">
      <c r="A895" s="216">
        <v>3.001004E7</v>
      </c>
      <c r="B895" s="216" t="s">
        <v>3414</v>
      </c>
      <c r="C895" s="216" t="s">
        <v>3411</v>
      </c>
      <c r="D895" s="25"/>
      <c r="E895" s="216">
        <v>0.0</v>
      </c>
      <c r="F895" s="216">
        <v>0.0</v>
      </c>
      <c r="G895" s="217"/>
      <c r="H895" s="25"/>
    </row>
    <row r="896">
      <c r="A896" s="216">
        <v>3.002508E7</v>
      </c>
      <c r="B896" s="216" t="s">
        <v>3321</v>
      </c>
      <c r="C896" s="216" t="s">
        <v>3411</v>
      </c>
      <c r="D896" s="25"/>
      <c r="E896" s="216" t="s">
        <v>2730</v>
      </c>
      <c r="F896" s="216" t="s">
        <v>2730</v>
      </c>
      <c r="G896" s="217"/>
      <c r="H896" s="25"/>
    </row>
    <row r="897">
      <c r="A897" s="216">
        <v>1.209802E7</v>
      </c>
      <c r="B897" s="216" t="s">
        <v>3415</v>
      </c>
      <c r="C897" s="216" t="s">
        <v>3416</v>
      </c>
      <c r="D897" s="25"/>
      <c r="E897" s="216" t="s">
        <v>2730</v>
      </c>
      <c r="F897" s="216" t="s">
        <v>2730</v>
      </c>
      <c r="G897" s="217"/>
      <c r="H897" s="25"/>
    </row>
    <row r="898">
      <c r="A898" s="216">
        <v>1.2098021E7</v>
      </c>
      <c r="B898" s="216" t="s">
        <v>3417</v>
      </c>
      <c r="C898" s="216" t="s">
        <v>3416</v>
      </c>
      <c r="D898" s="25"/>
      <c r="E898" s="216">
        <v>0.3</v>
      </c>
      <c r="F898" s="216">
        <v>0.3</v>
      </c>
      <c r="G898" s="217"/>
      <c r="H898" s="25"/>
    </row>
    <row r="899">
      <c r="A899" s="216">
        <v>1.2098022E7</v>
      </c>
      <c r="B899" s="216" t="s">
        <v>3418</v>
      </c>
      <c r="C899" s="216" t="s">
        <v>3416</v>
      </c>
      <c r="D899" s="25"/>
      <c r="E899" s="216" t="s">
        <v>2730</v>
      </c>
      <c r="F899" s="216" t="s">
        <v>2730</v>
      </c>
      <c r="G899" s="217"/>
      <c r="H899" s="25"/>
    </row>
    <row r="900">
      <c r="A900" s="216">
        <v>3.0010041E7</v>
      </c>
      <c r="B900" s="216" t="s">
        <v>3419</v>
      </c>
      <c r="C900" s="216" t="s">
        <v>3416</v>
      </c>
      <c r="D900" s="25"/>
      <c r="E900" s="216">
        <v>0.0</v>
      </c>
      <c r="F900" s="216">
        <v>0.0</v>
      </c>
      <c r="G900" s="217"/>
      <c r="H900" s="25"/>
    </row>
    <row r="901">
      <c r="A901" s="216">
        <v>3.0025081E7</v>
      </c>
      <c r="B901" s="216" t="s">
        <v>3333</v>
      </c>
      <c r="C901" s="216" t="s">
        <v>3416</v>
      </c>
      <c r="D901" s="25"/>
      <c r="E901" s="216" t="s">
        <v>2730</v>
      </c>
      <c r="F901" s="216" t="s">
        <v>2730</v>
      </c>
      <c r="G901" s="217"/>
      <c r="H901" s="25"/>
    </row>
    <row r="902">
      <c r="A902" s="216">
        <v>1.209803E7</v>
      </c>
      <c r="B902" s="216" t="s">
        <v>3420</v>
      </c>
      <c r="C902" s="216" t="s">
        <v>3421</v>
      </c>
      <c r="D902" s="25"/>
      <c r="E902" s="216" t="s">
        <v>2730</v>
      </c>
      <c r="F902" s="216" t="s">
        <v>2730</v>
      </c>
      <c r="G902" s="217"/>
      <c r="H902" s="25"/>
    </row>
    <row r="903">
      <c r="A903" s="216">
        <v>1.2098031E7</v>
      </c>
      <c r="B903" s="216" t="s">
        <v>3422</v>
      </c>
      <c r="C903" s="216" t="s">
        <v>3421</v>
      </c>
      <c r="D903" s="25"/>
      <c r="E903" s="216">
        <v>0.3</v>
      </c>
      <c r="F903" s="216">
        <v>0.3</v>
      </c>
      <c r="G903" s="217"/>
      <c r="H903" s="25"/>
    </row>
    <row r="904">
      <c r="A904" s="216">
        <v>1.2098032E7</v>
      </c>
      <c r="B904" s="216" t="s">
        <v>3423</v>
      </c>
      <c r="C904" s="216" t="s">
        <v>3421</v>
      </c>
      <c r="D904" s="25"/>
      <c r="E904" s="216" t="s">
        <v>2730</v>
      </c>
      <c r="F904" s="216" t="s">
        <v>2730</v>
      </c>
      <c r="G904" s="217"/>
      <c r="H904" s="25"/>
    </row>
    <row r="905">
      <c r="A905" s="216">
        <v>3.0010042E7</v>
      </c>
      <c r="B905" s="216" t="s">
        <v>3424</v>
      </c>
      <c r="C905" s="216" t="s">
        <v>3421</v>
      </c>
      <c r="D905" s="25"/>
      <c r="E905" s="216">
        <v>0.0</v>
      </c>
      <c r="F905" s="216">
        <v>0.0</v>
      </c>
      <c r="G905" s="217"/>
      <c r="H905" s="25"/>
    </row>
    <row r="906">
      <c r="A906" s="216">
        <v>3.0025082E7</v>
      </c>
      <c r="B906" s="216" t="s">
        <v>3344</v>
      </c>
      <c r="C906" s="216" t="s">
        <v>3421</v>
      </c>
      <c r="D906" s="25"/>
      <c r="E906" s="216" t="s">
        <v>2730</v>
      </c>
      <c r="F906" s="216" t="s">
        <v>2730</v>
      </c>
      <c r="G906" s="217"/>
      <c r="H906" s="25"/>
    </row>
    <row r="907">
      <c r="A907" s="216">
        <v>1.209807E7</v>
      </c>
      <c r="B907" s="216" t="s">
        <v>3425</v>
      </c>
      <c r="C907" s="216" t="s">
        <v>3426</v>
      </c>
      <c r="D907" s="25"/>
      <c r="E907" s="216">
        <v>0.3</v>
      </c>
      <c r="F907" s="216">
        <v>0.3</v>
      </c>
      <c r="G907" s="217"/>
      <c r="H907" s="25"/>
    </row>
    <row r="908">
      <c r="A908" s="216">
        <v>1.2098071E7</v>
      </c>
      <c r="B908" s="216" t="s">
        <v>3410</v>
      </c>
      <c r="C908" s="216" t="s">
        <v>3426</v>
      </c>
      <c r="D908" s="25"/>
      <c r="E908" s="216" t="s">
        <v>2730</v>
      </c>
      <c r="F908" s="216" t="s">
        <v>2730</v>
      </c>
      <c r="G908" s="217"/>
      <c r="H908" s="25"/>
    </row>
    <row r="909">
      <c r="A909" s="216">
        <v>1.2098072E7</v>
      </c>
      <c r="B909" s="216" t="s">
        <v>3412</v>
      </c>
      <c r="C909" s="216" t="s">
        <v>3426</v>
      </c>
      <c r="D909" s="25"/>
      <c r="E909" s="216">
        <v>0.3</v>
      </c>
      <c r="F909" s="216">
        <v>0.3</v>
      </c>
      <c r="G909" s="217"/>
      <c r="H909" s="25"/>
    </row>
    <row r="910">
      <c r="A910" s="216">
        <v>1.2098073E7</v>
      </c>
      <c r="B910" s="216" t="s">
        <v>3413</v>
      </c>
      <c r="C910" s="216" t="s">
        <v>3426</v>
      </c>
      <c r="D910" s="25"/>
      <c r="E910" s="216" t="s">
        <v>2730</v>
      </c>
      <c r="F910" s="216" t="s">
        <v>2730</v>
      </c>
      <c r="G910" s="217"/>
      <c r="H910" s="25"/>
    </row>
    <row r="911">
      <c r="A911" s="216">
        <v>3.0010043E7</v>
      </c>
      <c r="B911" s="216" t="s">
        <v>3414</v>
      </c>
      <c r="C911" s="216" t="s">
        <v>3426</v>
      </c>
      <c r="D911" s="25"/>
      <c r="E911" s="216">
        <v>0.0</v>
      </c>
      <c r="F911" s="216">
        <v>0.0</v>
      </c>
      <c r="G911" s="217"/>
      <c r="H911" s="25"/>
    </row>
    <row r="912">
      <c r="A912" s="216">
        <v>3.0025083E7</v>
      </c>
      <c r="B912" s="216" t="s">
        <v>3321</v>
      </c>
      <c r="C912" s="216" t="s">
        <v>3426</v>
      </c>
      <c r="D912" s="25"/>
      <c r="E912" s="216" t="s">
        <v>2730</v>
      </c>
      <c r="F912" s="216" t="s">
        <v>2730</v>
      </c>
      <c r="G912" s="217"/>
      <c r="H912" s="25"/>
    </row>
    <row r="913">
      <c r="A913" s="216">
        <v>1.209808E7</v>
      </c>
      <c r="B913" s="216" t="s">
        <v>3427</v>
      </c>
      <c r="C913" s="216" t="s">
        <v>3428</v>
      </c>
      <c r="D913" s="25"/>
      <c r="E913" s="216">
        <v>0.3</v>
      </c>
      <c r="F913" s="216">
        <v>0.3</v>
      </c>
      <c r="G913" s="217"/>
      <c r="H913" s="25"/>
    </row>
    <row r="914">
      <c r="A914" s="216">
        <v>1.2098081E7</v>
      </c>
      <c r="B914" s="216" t="s">
        <v>3415</v>
      </c>
      <c r="C914" s="216" t="s">
        <v>3428</v>
      </c>
      <c r="D914" s="25"/>
      <c r="E914" s="216" t="s">
        <v>2730</v>
      </c>
      <c r="F914" s="216" t="s">
        <v>2730</v>
      </c>
      <c r="G914" s="217"/>
      <c r="H914" s="25"/>
    </row>
    <row r="915">
      <c r="A915" s="216">
        <v>1.2098082E7</v>
      </c>
      <c r="B915" s="216" t="s">
        <v>3417</v>
      </c>
      <c r="C915" s="216" t="s">
        <v>3428</v>
      </c>
      <c r="D915" s="25"/>
      <c r="E915" s="216">
        <v>0.3</v>
      </c>
      <c r="F915" s="216">
        <v>0.3</v>
      </c>
      <c r="G915" s="217"/>
      <c r="H915" s="25"/>
    </row>
    <row r="916">
      <c r="A916" s="216">
        <v>1.2098083E7</v>
      </c>
      <c r="B916" s="216" t="s">
        <v>3418</v>
      </c>
      <c r="C916" s="216" t="s">
        <v>3428</v>
      </c>
      <c r="D916" s="25"/>
      <c r="E916" s="216" t="s">
        <v>2730</v>
      </c>
      <c r="F916" s="216" t="s">
        <v>2730</v>
      </c>
      <c r="G916" s="217"/>
      <c r="H916" s="25"/>
    </row>
    <row r="917">
      <c r="A917" s="216">
        <v>3.0010044E7</v>
      </c>
      <c r="B917" s="216" t="s">
        <v>3419</v>
      </c>
      <c r="C917" s="216" t="s">
        <v>3428</v>
      </c>
      <c r="D917" s="25"/>
      <c r="E917" s="216">
        <v>0.0</v>
      </c>
      <c r="F917" s="216">
        <v>0.0</v>
      </c>
      <c r="G917" s="217"/>
      <c r="H917" s="25"/>
    </row>
    <row r="918">
      <c r="A918" s="216">
        <v>3.0025084E7</v>
      </c>
      <c r="B918" s="216" t="s">
        <v>3333</v>
      </c>
      <c r="C918" s="216" t="s">
        <v>3428</v>
      </c>
      <c r="D918" s="25"/>
      <c r="E918" s="216" t="s">
        <v>2730</v>
      </c>
      <c r="F918" s="216" t="s">
        <v>2730</v>
      </c>
      <c r="G918" s="217"/>
      <c r="H918" s="25"/>
    </row>
    <row r="919">
      <c r="A919" s="216">
        <v>1.209809E7</v>
      </c>
      <c r="B919" s="216" t="s">
        <v>3429</v>
      </c>
      <c r="C919" s="216" t="s">
        <v>3430</v>
      </c>
      <c r="D919" s="25"/>
      <c r="E919" s="216">
        <v>0.3</v>
      </c>
      <c r="F919" s="216">
        <v>0.3</v>
      </c>
      <c r="G919" s="217"/>
      <c r="H919" s="25"/>
    </row>
    <row r="920">
      <c r="A920" s="216">
        <v>1.2098091E7</v>
      </c>
      <c r="B920" s="216" t="s">
        <v>3420</v>
      </c>
      <c r="C920" s="216" t="s">
        <v>3430</v>
      </c>
      <c r="D920" s="25"/>
      <c r="E920" s="216" t="s">
        <v>2730</v>
      </c>
      <c r="F920" s="216" t="s">
        <v>2730</v>
      </c>
      <c r="G920" s="217"/>
      <c r="H920" s="25"/>
    </row>
    <row r="921">
      <c r="A921" s="216">
        <v>1.2098092E7</v>
      </c>
      <c r="B921" s="216" t="s">
        <v>3422</v>
      </c>
      <c r="C921" s="216" t="s">
        <v>3430</v>
      </c>
      <c r="D921" s="25"/>
      <c r="E921" s="216">
        <v>0.3</v>
      </c>
      <c r="F921" s="216">
        <v>0.3</v>
      </c>
      <c r="G921" s="217"/>
      <c r="H921" s="25"/>
    </row>
    <row r="922">
      <c r="A922" s="216">
        <v>1.2098093E7</v>
      </c>
      <c r="B922" s="216" t="s">
        <v>3423</v>
      </c>
      <c r="C922" s="216" t="s">
        <v>3430</v>
      </c>
      <c r="D922" s="25"/>
      <c r="E922" s="216" t="s">
        <v>2730</v>
      </c>
      <c r="F922" s="216" t="s">
        <v>2730</v>
      </c>
      <c r="G922" s="217"/>
      <c r="H922" s="25"/>
    </row>
    <row r="923">
      <c r="A923" s="216">
        <v>3.0010045E7</v>
      </c>
      <c r="B923" s="216" t="s">
        <v>3424</v>
      </c>
      <c r="C923" s="216" t="s">
        <v>3430</v>
      </c>
      <c r="D923" s="25"/>
      <c r="E923" s="216">
        <v>0.0</v>
      </c>
      <c r="F923" s="216">
        <v>0.0</v>
      </c>
      <c r="G923" s="217"/>
      <c r="H923" s="25"/>
    </row>
    <row r="924">
      <c r="A924" s="216">
        <v>3.0025085E7</v>
      </c>
      <c r="B924" s="216" t="s">
        <v>3344</v>
      </c>
      <c r="C924" s="216" t="s">
        <v>3430</v>
      </c>
      <c r="D924" s="25"/>
      <c r="E924" s="216" t="s">
        <v>2730</v>
      </c>
      <c r="F924" s="216" t="s">
        <v>2730</v>
      </c>
      <c r="G924" s="217"/>
      <c r="H924" s="25"/>
    </row>
    <row r="925">
      <c r="A925" s="216">
        <v>1.2017E7</v>
      </c>
      <c r="B925" s="216" t="s">
        <v>3431</v>
      </c>
      <c r="C925" s="216" t="s">
        <v>3432</v>
      </c>
      <c r="D925" s="25"/>
      <c r="E925" s="216" t="s">
        <v>2730</v>
      </c>
      <c r="F925" s="216" t="s">
        <v>2730</v>
      </c>
      <c r="G925" s="217"/>
      <c r="H925" s="25"/>
    </row>
    <row r="926">
      <c r="A926" s="216">
        <v>1.2017001E7</v>
      </c>
      <c r="B926" s="216" t="s">
        <v>3433</v>
      </c>
      <c r="C926" s="216" t="s">
        <v>3432</v>
      </c>
      <c r="D926" s="25"/>
      <c r="E926" s="216" t="s">
        <v>2730</v>
      </c>
      <c r="F926" s="216" t="s">
        <v>2730</v>
      </c>
      <c r="G926" s="217"/>
      <c r="H926" s="25"/>
    </row>
    <row r="927">
      <c r="A927" s="216">
        <v>1.2017002E7</v>
      </c>
      <c r="B927" s="216" t="s">
        <v>3434</v>
      </c>
      <c r="C927" s="216" t="s">
        <v>3432</v>
      </c>
      <c r="D927" s="25"/>
      <c r="E927" s="216" t="s">
        <v>2730</v>
      </c>
      <c r="F927" s="216" t="s">
        <v>2730</v>
      </c>
      <c r="G927" s="217"/>
      <c r="H927" s="25"/>
    </row>
    <row r="928">
      <c r="A928" s="216">
        <v>1.2017003E7</v>
      </c>
      <c r="B928" s="216" t="s">
        <v>3435</v>
      </c>
      <c r="C928" s="216" t="s">
        <v>3432</v>
      </c>
      <c r="D928" s="25"/>
      <c r="E928" s="216" t="s">
        <v>2730</v>
      </c>
      <c r="F928" s="216" t="s">
        <v>2730</v>
      </c>
      <c r="G928" s="217"/>
      <c r="H928" s="25"/>
    </row>
    <row r="929">
      <c r="A929" s="216">
        <v>3.0010002E7</v>
      </c>
      <c r="B929" s="216" t="s">
        <v>3436</v>
      </c>
      <c r="C929" s="216" t="s">
        <v>3432</v>
      </c>
      <c r="D929" s="25"/>
      <c r="E929" s="216">
        <v>0.0</v>
      </c>
      <c r="F929" s="216">
        <v>0.0</v>
      </c>
      <c r="G929" s="217"/>
      <c r="H929" s="25"/>
    </row>
    <row r="930">
      <c r="A930" s="216">
        <v>3.00251E7</v>
      </c>
      <c r="B930" s="216" t="s">
        <v>3321</v>
      </c>
      <c r="C930" s="216" t="s">
        <v>3432</v>
      </c>
      <c r="D930" s="25"/>
      <c r="E930" s="216" t="s">
        <v>2730</v>
      </c>
      <c r="F930" s="216" t="s">
        <v>2730</v>
      </c>
      <c r="G930" s="217"/>
      <c r="H930" s="25"/>
    </row>
    <row r="931">
      <c r="A931" s="216">
        <v>1.2025E7</v>
      </c>
      <c r="B931" s="216" t="s">
        <v>3437</v>
      </c>
      <c r="C931" s="216" t="s">
        <v>3438</v>
      </c>
      <c r="D931" s="25"/>
      <c r="E931" s="216" t="s">
        <v>2730</v>
      </c>
      <c r="F931" s="216" t="s">
        <v>2730</v>
      </c>
      <c r="G931" s="217"/>
      <c r="H931" s="25"/>
    </row>
    <row r="932">
      <c r="A932" s="216">
        <v>1.2025001E7</v>
      </c>
      <c r="B932" s="216" t="s">
        <v>3439</v>
      </c>
      <c r="C932" s="216" t="s">
        <v>3438</v>
      </c>
      <c r="D932" s="25"/>
      <c r="E932" s="216" t="s">
        <v>2730</v>
      </c>
      <c r="F932" s="216" t="s">
        <v>2730</v>
      </c>
      <c r="G932" s="217"/>
      <c r="H932" s="25"/>
    </row>
    <row r="933">
      <c r="A933" s="216">
        <v>1.2025002E7</v>
      </c>
      <c r="B933" s="216" t="s">
        <v>3440</v>
      </c>
      <c r="C933" s="216" t="s">
        <v>3438</v>
      </c>
      <c r="D933" s="25"/>
      <c r="E933" s="216" t="s">
        <v>2730</v>
      </c>
      <c r="F933" s="216" t="s">
        <v>2730</v>
      </c>
      <c r="G933" s="217"/>
      <c r="H933" s="25"/>
    </row>
    <row r="934">
      <c r="A934" s="216">
        <v>1.2025003E7</v>
      </c>
      <c r="B934" s="216" t="s">
        <v>3441</v>
      </c>
      <c r="C934" s="216" t="s">
        <v>3438</v>
      </c>
      <c r="D934" s="25"/>
      <c r="E934" s="216" t="s">
        <v>2730</v>
      </c>
      <c r="F934" s="216" t="s">
        <v>2730</v>
      </c>
      <c r="G934" s="217"/>
      <c r="H934" s="25"/>
    </row>
    <row r="935">
      <c r="A935" s="216">
        <v>3.0010003E7</v>
      </c>
      <c r="B935" s="216" t="s">
        <v>3442</v>
      </c>
      <c r="C935" s="216" t="s">
        <v>3438</v>
      </c>
      <c r="D935" s="25"/>
      <c r="E935" s="216">
        <v>0.0</v>
      </c>
      <c r="F935" s="216">
        <v>0.0</v>
      </c>
      <c r="G935" s="217"/>
      <c r="H935" s="25"/>
    </row>
    <row r="936">
      <c r="A936" s="216">
        <v>3.0025101E7</v>
      </c>
      <c r="B936" s="216" t="s">
        <v>3333</v>
      </c>
      <c r="C936" s="216" t="s">
        <v>3438</v>
      </c>
      <c r="D936" s="25"/>
      <c r="E936" s="216" t="s">
        <v>2730</v>
      </c>
      <c r="F936" s="216" t="s">
        <v>2730</v>
      </c>
      <c r="G936" s="217"/>
      <c r="H936" s="25"/>
    </row>
    <row r="937">
      <c r="A937" s="216">
        <v>1.2033E7</v>
      </c>
      <c r="B937" s="216" t="s">
        <v>3443</v>
      </c>
      <c r="C937" s="216" t="s">
        <v>3444</v>
      </c>
      <c r="D937" s="25"/>
      <c r="E937" s="216" t="s">
        <v>2730</v>
      </c>
      <c r="F937" s="216" t="s">
        <v>2730</v>
      </c>
      <c r="G937" s="217"/>
      <c r="H937" s="25"/>
    </row>
    <row r="938">
      <c r="A938" s="216">
        <v>1.2033001E7</v>
      </c>
      <c r="B938" s="216" t="s">
        <v>3445</v>
      </c>
      <c r="C938" s="216" t="s">
        <v>3444</v>
      </c>
      <c r="D938" s="25"/>
      <c r="E938" s="216" t="s">
        <v>2730</v>
      </c>
      <c r="F938" s="216" t="s">
        <v>2730</v>
      </c>
      <c r="G938" s="217"/>
      <c r="H938" s="25"/>
    </row>
    <row r="939">
      <c r="A939" s="216">
        <v>1.2033002E7</v>
      </c>
      <c r="B939" s="216" t="s">
        <v>3446</v>
      </c>
      <c r="C939" s="216" t="s">
        <v>3444</v>
      </c>
      <c r="D939" s="25"/>
      <c r="E939" s="216" t="s">
        <v>2730</v>
      </c>
      <c r="F939" s="216" t="s">
        <v>2730</v>
      </c>
      <c r="G939" s="217"/>
      <c r="H939" s="25"/>
    </row>
    <row r="940">
      <c r="A940" s="216">
        <v>1.2033003E7</v>
      </c>
      <c r="B940" s="216" t="s">
        <v>3447</v>
      </c>
      <c r="C940" s="216" t="s">
        <v>3444</v>
      </c>
      <c r="D940" s="25"/>
      <c r="E940" s="216" t="s">
        <v>2730</v>
      </c>
      <c r="F940" s="216" t="s">
        <v>2730</v>
      </c>
      <c r="G940" s="217"/>
      <c r="H940" s="25"/>
    </row>
    <row r="941">
      <c r="A941" s="216">
        <v>3.0010004E7</v>
      </c>
      <c r="B941" s="216" t="s">
        <v>3448</v>
      </c>
      <c r="C941" s="216" t="s">
        <v>3444</v>
      </c>
      <c r="D941" s="25"/>
      <c r="E941" s="216">
        <v>0.0</v>
      </c>
      <c r="F941" s="216">
        <v>0.0</v>
      </c>
      <c r="G941" s="217"/>
      <c r="H941" s="25"/>
    </row>
    <row r="942">
      <c r="A942" s="216">
        <v>3.0025102E7</v>
      </c>
      <c r="B942" s="216" t="s">
        <v>3344</v>
      </c>
      <c r="C942" s="216" t="s">
        <v>3444</v>
      </c>
      <c r="D942" s="25"/>
      <c r="E942" s="216" t="s">
        <v>2730</v>
      </c>
      <c r="F942" s="216" t="s">
        <v>2730</v>
      </c>
      <c r="G942" s="217"/>
      <c r="H942" s="25"/>
    </row>
    <row r="943">
      <c r="A943" s="216">
        <v>1.201701E7</v>
      </c>
      <c r="B943" s="216" t="s">
        <v>3449</v>
      </c>
      <c r="C943" s="216" t="s">
        <v>3450</v>
      </c>
      <c r="D943" s="25"/>
      <c r="E943" s="216" t="s">
        <v>2730</v>
      </c>
      <c r="F943" s="216" t="s">
        <v>2730</v>
      </c>
      <c r="G943" s="217"/>
      <c r="H943" s="25"/>
    </row>
    <row r="944">
      <c r="A944" s="216">
        <v>1.2017011E7</v>
      </c>
      <c r="B944" s="216" t="s">
        <v>3451</v>
      </c>
      <c r="C944" s="216" t="s">
        <v>3450</v>
      </c>
      <c r="D944" s="25"/>
      <c r="E944" s="216" t="s">
        <v>2730</v>
      </c>
      <c r="F944" s="216" t="s">
        <v>2730</v>
      </c>
      <c r="G944" s="217"/>
      <c r="H944" s="25"/>
    </row>
    <row r="945">
      <c r="A945" s="216">
        <v>1.2017012E7</v>
      </c>
      <c r="B945" s="216" t="s">
        <v>3452</v>
      </c>
      <c r="C945" s="216" t="s">
        <v>3450</v>
      </c>
      <c r="D945" s="25"/>
      <c r="E945" s="216" t="s">
        <v>2730</v>
      </c>
      <c r="F945" s="216" t="s">
        <v>2730</v>
      </c>
      <c r="G945" s="217"/>
      <c r="H945" s="25"/>
    </row>
    <row r="946">
      <c r="A946" s="216">
        <v>1.2017013E7</v>
      </c>
      <c r="B946" s="216" t="s">
        <v>3453</v>
      </c>
      <c r="C946" s="216" t="s">
        <v>3450</v>
      </c>
      <c r="D946" s="25"/>
      <c r="E946" s="216" t="s">
        <v>2730</v>
      </c>
      <c r="F946" s="216" t="s">
        <v>2730</v>
      </c>
      <c r="G946" s="217"/>
      <c r="H946" s="25"/>
    </row>
    <row r="947">
      <c r="A947" s="216">
        <v>3.0010005E7</v>
      </c>
      <c r="B947" s="216" t="s">
        <v>3436</v>
      </c>
      <c r="C947" s="216" t="s">
        <v>3450</v>
      </c>
      <c r="D947" s="25"/>
      <c r="E947" s="216">
        <v>0.0</v>
      </c>
      <c r="F947" s="216">
        <v>0.0</v>
      </c>
      <c r="G947" s="217"/>
      <c r="H947" s="25"/>
    </row>
    <row r="948">
      <c r="A948" s="216">
        <v>3.0025105E7</v>
      </c>
      <c r="B948" s="216" t="s">
        <v>3321</v>
      </c>
      <c r="C948" s="216" t="s">
        <v>3450</v>
      </c>
      <c r="D948" s="25"/>
      <c r="E948" s="216" t="s">
        <v>2730</v>
      </c>
      <c r="F948" s="216" t="s">
        <v>2730</v>
      </c>
      <c r="G948" s="217"/>
      <c r="H948" s="25"/>
    </row>
    <row r="949">
      <c r="A949" s="216">
        <v>1.202501E7</v>
      </c>
      <c r="B949" s="216" t="s">
        <v>3454</v>
      </c>
      <c r="C949" s="216" t="s">
        <v>3455</v>
      </c>
      <c r="D949" s="25"/>
      <c r="E949" s="216" t="s">
        <v>2730</v>
      </c>
      <c r="F949" s="216" t="s">
        <v>2730</v>
      </c>
      <c r="G949" s="217"/>
      <c r="H949" s="25"/>
    </row>
    <row r="950">
      <c r="A950" s="216">
        <v>1.2025011E7</v>
      </c>
      <c r="B950" s="216" t="s">
        <v>3456</v>
      </c>
      <c r="C950" s="216" t="s">
        <v>3455</v>
      </c>
      <c r="D950" s="25"/>
      <c r="E950" s="216" t="s">
        <v>2730</v>
      </c>
      <c r="F950" s="216" t="s">
        <v>2730</v>
      </c>
      <c r="G950" s="217"/>
      <c r="H950" s="25"/>
    </row>
    <row r="951">
      <c r="A951" s="216">
        <v>1.2025012E7</v>
      </c>
      <c r="B951" s="216" t="s">
        <v>3457</v>
      </c>
      <c r="C951" s="216" t="s">
        <v>3455</v>
      </c>
      <c r="D951" s="25"/>
      <c r="E951" s="216" t="s">
        <v>2730</v>
      </c>
      <c r="F951" s="216" t="s">
        <v>2730</v>
      </c>
      <c r="G951" s="217"/>
      <c r="H951" s="25"/>
    </row>
    <row r="952">
      <c r="A952" s="216">
        <v>1.2025013E7</v>
      </c>
      <c r="B952" s="216" t="s">
        <v>3458</v>
      </c>
      <c r="C952" s="216" t="s">
        <v>3455</v>
      </c>
      <c r="D952" s="25"/>
      <c r="E952" s="216" t="s">
        <v>2730</v>
      </c>
      <c r="F952" s="216" t="s">
        <v>2730</v>
      </c>
      <c r="G952" s="217"/>
      <c r="H952" s="25"/>
    </row>
    <row r="953">
      <c r="A953" s="216">
        <v>3.0010006E7</v>
      </c>
      <c r="B953" s="216" t="s">
        <v>3442</v>
      </c>
      <c r="C953" s="216" t="s">
        <v>3455</v>
      </c>
      <c r="D953" s="25"/>
      <c r="E953" s="216">
        <v>0.0</v>
      </c>
      <c r="F953" s="216">
        <v>0.0</v>
      </c>
      <c r="G953" s="217"/>
      <c r="H953" s="25"/>
    </row>
    <row r="954">
      <c r="A954" s="216">
        <v>3.0025106E7</v>
      </c>
      <c r="B954" s="216" t="s">
        <v>3333</v>
      </c>
      <c r="C954" s="216" t="s">
        <v>3455</v>
      </c>
      <c r="D954" s="25"/>
      <c r="E954" s="216" t="s">
        <v>2730</v>
      </c>
      <c r="F954" s="216" t="s">
        <v>2730</v>
      </c>
      <c r="G954" s="217"/>
      <c r="H954" s="25"/>
    </row>
    <row r="955">
      <c r="A955" s="216">
        <v>1.203301E7</v>
      </c>
      <c r="B955" s="216" t="s">
        <v>3459</v>
      </c>
      <c r="C955" s="216" t="s">
        <v>3460</v>
      </c>
      <c r="D955" s="25"/>
      <c r="E955" s="216" t="s">
        <v>2730</v>
      </c>
      <c r="F955" s="216" t="s">
        <v>2730</v>
      </c>
      <c r="G955" s="217"/>
      <c r="H955" s="25"/>
    </row>
    <row r="956">
      <c r="A956" s="216">
        <v>1.2033011E7</v>
      </c>
      <c r="B956" s="216" t="s">
        <v>3461</v>
      </c>
      <c r="C956" s="216" t="s">
        <v>3460</v>
      </c>
      <c r="D956" s="25"/>
      <c r="E956" s="216" t="s">
        <v>2730</v>
      </c>
      <c r="F956" s="216" t="s">
        <v>2730</v>
      </c>
      <c r="G956" s="217"/>
      <c r="H956" s="25"/>
    </row>
    <row r="957">
      <c r="A957" s="216">
        <v>1.2033012E7</v>
      </c>
      <c r="B957" s="216" t="s">
        <v>3462</v>
      </c>
      <c r="C957" s="216" t="s">
        <v>3460</v>
      </c>
      <c r="D957" s="25"/>
      <c r="E957" s="216" t="s">
        <v>2730</v>
      </c>
      <c r="F957" s="216" t="s">
        <v>2730</v>
      </c>
      <c r="G957" s="217"/>
      <c r="H957" s="25"/>
    </row>
    <row r="958">
      <c r="A958" s="216">
        <v>1.2033013E7</v>
      </c>
      <c r="B958" s="216" t="s">
        <v>3463</v>
      </c>
      <c r="C958" s="216" t="s">
        <v>3460</v>
      </c>
      <c r="D958" s="25"/>
      <c r="E958" s="216" t="s">
        <v>2730</v>
      </c>
      <c r="F958" s="216" t="s">
        <v>2730</v>
      </c>
      <c r="G958" s="217"/>
      <c r="H958" s="25"/>
    </row>
    <row r="959">
      <c r="A959" s="216">
        <v>3.0010007E7</v>
      </c>
      <c r="B959" s="216" t="s">
        <v>3448</v>
      </c>
      <c r="C959" s="216" t="s">
        <v>3460</v>
      </c>
      <c r="D959" s="25"/>
      <c r="E959" s="216">
        <v>0.0</v>
      </c>
      <c r="F959" s="216">
        <v>0.0</v>
      </c>
      <c r="G959" s="217"/>
      <c r="H959" s="25"/>
    </row>
    <row r="960">
      <c r="A960" s="216">
        <v>3.0025107E7</v>
      </c>
      <c r="B960" s="216" t="s">
        <v>3344</v>
      </c>
      <c r="C960" s="216" t="s">
        <v>3460</v>
      </c>
      <c r="D960" s="25"/>
      <c r="E960" s="216" t="s">
        <v>2730</v>
      </c>
      <c r="F960" s="216" t="s">
        <v>2730</v>
      </c>
      <c r="G960" s="217"/>
      <c r="H960" s="25"/>
    </row>
    <row r="961">
      <c r="A961" s="216">
        <v>1.2018E7</v>
      </c>
      <c r="B961" s="216" t="s">
        <v>3464</v>
      </c>
      <c r="C961" s="216" t="s">
        <v>3465</v>
      </c>
      <c r="D961" s="25"/>
      <c r="E961" s="216" t="s">
        <v>2730</v>
      </c>
      <c r="F961" s="216" t="s">
        <v>2730</v>
      </c>
      <c r="G961" s="217"/>
      <c r="H961" s="25"/>
    </row>
    <row r="962">
      <c r="A962" s="216">
        <v>1.2018001E7</v>
      </c>
      <c r="B962" s="216" t="s">
        <v>3466</v>
      </c>
      <c r="C962" s="216" t="s">
        <v>3465</v>
      </c>
      <c r="D962" s="25"/>
      <c r="E962" s="216" t="s">
        <v>2730</v>
      </c>
      <c r="F962" s="216" t="s">
        <v>2730</v>
      </c>
      <c r="G962" s="217"/>
      <c r="H962" s="25"/>
    </row>
    <row r="963">
      <c r="A963" s="216">
        <v>1.2018002E7</v>
      </c>
      <c r="B963" s="216" t="s">
        <v>3467</v>
      </c>
      <c r="C963" s="216" t="s">
        <v>3465</v>
      </c>
      <c r="D963" s="25"/>
      <c r="E963" s="216" t="s">
        <v>2730</v>
      </c>
      <c r="F963" s="216" t="s">
        <v>2730</v>
      </c>
      <c r="G963" s="217"/>
      <c r="H963" s="25"/>
    </row>
    <row r="964">
      <c r="A964" s="216">
        <v>3.0010029E7</v>
      </c>
      <c r="B964" s="216" t="s">
        <v>3468</v>
      </c>
      <c r="C964" s="216" t="s">
        <v>3465</v>
      </c>
      <c r="D964" s="25"/>
      <c r="E964" s="216">
        <v>0.0</v>
      </c>
      <c r="F964" s="216">
        <v>0.0</v>
      </c>
      <c r="G964" s="217"/>
      <c r="H964" s="25"/>
    </row>
    <row r="965">
      <c r="A965" s="216">
        <v>3.002511E7</v>
      </c>
      <c r="B965" s="216" t="s">
        <v>3321</v>
      </c>
      <c r="C965" s="216" t="s">
        <v>3465</v>
      </c>
      <c r="D965" s="25"/>
      <c r="E965" s="216" t="s">
        <v>2730</v>
      </c>
      <c r="F965" s="216" t="s">
        <v>2730</v>
      </c>
      <c r="G965" s="217"/>
      <c r="H965" s="25"/>
    </row>
    <row r="966">
      <c r="A966" s="216">
        <v>1.2026E7</v>
      </c>
      <c r="B966" s="216" t="s">
        <v>3469</v>
      </c>
      <c r="C966" s="216" t="s">
        <v>3470</v>
      </c>
      <c r="D966" s="25"/>
      <c r="E966" s="216" t="s">
        <v>2730</v>
      </c>
      <c r="F966" s="216" t="s">
        <v>2730</v>
      </c>
      <c r="G966" s="217"/>
      <c r="H966" s="25"/>
    </row>
    <row r="967">
      <c r="A967" s="216">
        <v>1.2026001E7</v>
      </c>
      <c r="B967" s="216" t="s">
        <v>3471</v>
      </c>
      <c r="C967" s="216" t="s">
        <v>3470</v>
      </c>
      <c r="D967" s="25"/>
      <c r="E967" s="216" t="s">
        <v>2730</v>
      </c>
      <c r="F967" s="216" t="s">
        <v>2730</v>
      </c>
      <c r="G967" s="217"/>
      <c r="H967" s="25"/>
    </row>
    <row r="968">
      <c r="A968" s="216">
        <v>1.2026002E7</v>
      </c>
      <c r="B968" s="216" t="s">
        <v>3472</v>
      </c>
      <c r="C968" s="216" t="s">
        <v>3470</v>
      </c>
      <c r="D968" s="25"/>
      <c r="E968" s="216" t="s">
        <v>2730</v>
      </c>
      <c r="F968" s="216" t="s">
        <v>2730</v>
      </c>
      <c r="G968" s="217"/>
      <c r="H968" s="25"/>
    </row>
    <row r="969">
      <c r="A969" s="216">
        <v>3.001003E7</v>
      </c>
      <c r="B969" s="216" t="s">
        <v>3473</v>
      </c>
      <c r="C969" s="216" t="s">
        <v>3470</v>
      </c>
      <c r="D969" s="25"/>
      <c r="E969" s="216">
        <v>0.0</v>
      </c>
      <c r="F969" s="216">
        <v>0.0</v>
      </c>
      <c r="G969" s="217"/>
      <c r="H969" s="25"/>
    </row>
    <row r="970">
      <c r="A970" s="216">
        <v>3.0025111E7</v>
      </c>
      <c r="B970" s="216" t="s">
        <v>3333</v>
      </c>
      <c r="C970" s="216" t="s">
        <v>3470</v>
      </c>
      <c r="D970" s="25"/>
      <c r="E970" s="216" t="s">
        <v>2730</v>
      </c>
      <c r="F970" s="216" t="s">
        <v>2730</v>
      </c>
      <c r="G970" s="217"/>
      <c r="H970" s="25"/>
    </row>
    <row r="971">
      <c r="A971" s="216">
        <v>1.2034E7</v>
      </c>
      <c r="B971" s="216" t="s">
        <v>3474</v>
      </c>
      <c r="C971" s="216" t="s">
        <v>3475</v>
      </c>
      <c r="D971" s="25"/>
      <c r="E971" s="216" t="s">
        <v>2730</v>
      </c>
      <c r="F971" s="216" t="s">
        <v>2730</v>
      </c>
      <c r="G971" s="217"/>
      <c r="H971" s="25"/>
    </row>
    <row r="972">
      <c r="A972" s="216">
        <v>1.2034001E7</v>
      </c>
      <c r="B972" s="216" t="s">
        <v>3476</v>
      </c>
      <c r="C972" s="216" t="s">
        <v>3475</v>
      </c>
      <c r="D972" s="25"/>
      <c r="E972" s="216" t="s">
        <v>2730</v>
      </c>
      <c r="F972" s="216" t="s">
        <v>2730</v>
      </c>
      <c r="G972" s="217"/>
      <c r="H972" s="25"/>
    </row>
    <row r="973">
      <c r="A973" s="216">
        <v>1.2034002E7</v>
      </c>
      <c r="B973" s="216" t="s">
        <v>3477</v>
      </c>
      <c r="C973" s="216" t="s">
        <v>3475</v>
      </c>
      <c r="D973" s="25"/>
      <c r="E973" s="216" t="s">
        <v>2730</v>
      </c>
      <c r="F973" s="216" t="s">
        <v>2730</v>
      </c>
      <c r="G973" s="217"/>
      <c r="H973" s="25"/>
    </row>
    <row r="974">
      <c r="A974" s="216">
        <v>3.0010031E7</v>
      </c>
      <c r="B974" s="216" t="s">
        <v>3478</v>
      </c>
      <c r="C974" s="216" t="s">
        <v>3475</v>
      </c>
      <c r="D974" s="25"/>
      <c r="E974" s="216">
        <v>0.0</v>
      </c>
      <c r="F974" s="216">
        <v>0.0</v>
      </c>
      <c r="G974" s="217"/>
      <c r="H974" s="25"/>
    </row>
    <row r="975">
      <c r="A975" s="216">
        <v>3.0025112E7</v>
      </c>
      <c r="B975" s="216" t="s">
        <v>3344</v>
      </c>
      <c r="C975" s="216" t="s">
        <v>3475</v>
      </c>
      <c r="D975" s="25"/>
      <c r="E975" s="216" t="s">
        <v>2730</v>
      </c>
      <c r="F975" s="216" t="s">
        <v>2730</v>
      </c>
      <c r="G975" s="217"/>
      <c r="H975" s="25"/>
    </row>
    <row r="976">
      <c r="A976" s="216">
        <v>3.0010023E7</v>
      </c>
      <c r="B976" s="216" t="s">
        <v>3479</v>
      </c>
      <c r="C976" s="216" t="s">
        <v>3480</v>
      </c>
      <c r="D976" s="25"/>
      <c r="E976" s="216">
        <v>0.0</v>
      </c>
      <c r="F976" s="216">
        <v>0.0</v>
      </c>
      <c r="G976" s="217"/>
      <c r="H976" s="25"/>
    </row>
    <row r="977">
      <c r="A977" s="216">
        <v>3.0010024E7</v>
      </c>
      <c r="B977" s="216" t="s">
        <v>3481</v>
      </c>
      <c r="C977" s="216" t="s">
        <v>3480</v>
      </c>
      <c r="D977" s="25"/>
      <c r="E977" s="216">
        <v>0.0</v>
      </c>
      <c r="F977" s="216">
        <v>0.0</v>
      </c>
      <c r="G977" s="217"/>
      <c r="H977" s="25"/>
    </row>
    <row r="978">
      <c r="A978" s="216">
        <v>1.2044001E7</v>
      </c>
      <c r="B978" s="216" t="s">
        <v>3482</v>
      </c>
      <c r="C978" s="216" t="s">
        <v>3480</v>
      </c>
      <c r="D978" s="25"/>
      <c r="E978" s="216" t="s">
        <v>2730</v>
      </c>
      <c r="F978" s="216" t="s">
        <v>2730</v>
      </c>
      <c r="G978" s="217"/>
      <c r="H978" s="25"/>
    </row>
    <row r="979">
      <c r="A979" s="216">
        <v>1.2044002E7</v>
      </c>
      <c r="B979" s="216" t="s">
        <v>3483</v>
      </c>
      <c r="C979" s="216" t="s">
        <v>3480</v>
      </c>
      <c r="D979" s="25"/>
      <c r="E979" s="216" t="s">
        <v>2730</v>
      </c>
      <c r="F979" s="216" t="s">
        <v>2730</v>
      </c>
      <c r="G979" s="217"/>
      <c r="H979" s="25"/>
    </row>
    <row r="980">
      <c r="A980" s="216">
        <v>1.2044003E7</v>
      </c>
      <c r="B980" s="216" t="s">
        <v>3484</v>
      </c>
      <c r="C980" s="216" t="s">
        <v>3480</v>
      </c>
      <c r="D980" s="25"/>
      <c r="E980" s="216" t="s">
        <v>2730</v>
      </c>
      <c r="F980" s="216" t="s">
        <v>2730</v>
      </c>
      <c r="G980" s="217"/>
      <c r="H980" s="25"/>
    </row>
    <row r="981">
      <c r="A981" s="216">
        <v>3.0025115E7</v>
      </c>
      <c r="B981" s="216" t="s">
        <v>3321</v>
      </c>
      <c r="C981" s="216" t="s">
        <v>3480</v>
      </c>
      <c r="D981" s="25"/>
      <c r="E981" s="216" t="s">
        <v>2730</v>
      </c>
      <c r="F981" s="216" t="s">
        <v>2730</v>
      </c>
      <c r="G981" s="217"/>
      <c r="H981" s="25"/>
    </row>
    <row r="982">
      <c r="A982" s="216">
        <v>3.0010025E7</v>
      </c>
      <c r="B982" s="216" t="s">
        <v>3485</v>
      </c>
      <c r="C982" s="216" t="s">
        <v>3486</v>
      </c>
      <c r="D982" s="25"/>
      <c r="E982" s="216">
        <v>0.0</v>
      </c>
      <c r="F982" s="216">
        <v>0.0</v>
      </c>
      <c r="G982" s="217"/>
      <c r="H982" s="25"/>
    </row>
    <row r="983">
      <c r="A983" s="216">
        <v>3.0010026E7</v>
      </c>
      <c r="B983" s="216" t="s">
        <v>3485</v>
      </c>
      <c r="C983" s="216" t="s">
        <v>3486</v>
      </c>
      <c r="D983" s="25"/>
      <c r="E983" s="216">
        <v>0.0</v>
      </c>
      <c r="F983" s="216">
        <v>0.0</v>
      </c>
      <c r="G983" s="217"/>
      <c r="H983" s="25"/>
    </row>
    <row r="984">
      <c r="A984" s="216">
        <v>1.2045001E7</v>
      </c>
      <c r="B984" s="216" t="s">
        <v>3487</v>
      </c>
      <c r="C984" s="216" t="s">
        <v>3486</v>
      </c>
      <c r="D984" s="25"/>
      <c r="E984" s="216" t="s">
        <v>2730</v>
      </c>
      <c r="F984" s="216" t="s">
        <v>2730</v>
      </c>
      <c r="G984" s="217"/>
      <c r="H984" s="25"/>
    </row>
    <row r="985">
      <c r="A985" s="216">
        <v>1.2045002E7</v>
      </c>
      <c r="B985" s="216" t="s">
        <v>3488</v>
      </c>
      <c r="C985" s="216" t="s">
        <v>3486</v>
      </c>
      <c r="D985" s="25"/>
      <c r="E985" s="216" t="s">
        <v>2730</v>
      </c>
      <c r="F985" s="216" t="s">
        <v>2730</v>
      </c>
      <c r="G985" s="217"/>
      <c r="H985" s="25"/>
    </row>
    <row r="986">
      <c r="A986" s="216">
        <v>1.2045003E7</v>
      </c>
      <c r="B986" s="216" t="s">
        <v>3489</v>
      </c>
      <c r="C986" s="216" t="s">
        <v>3486</v>
      </c>
      <c r="D986" s="25"/>
      <c r="E986" s="216" t="s">
        <v>2730</v>
      </c>
      <c r="F986" s="216" t="s">
        <v>2730</v>
      </c>
      <c r="G986" s="217"/>
      <c r="H986" s="25"/>
    </row>
    <row r="987">
      <c r="A987" s="216">
        <v>3.0025116E7</v>
      </c>
      <c r="B987" s="216" t="s">
        <v>3333</v>
      </c>
      <c r="C987" s="216" t="s">
        <v>3486</v>
      </c>
      <c r="D987" s="25"/>
      <c r="E987" s="216" t="s">
        <v>2730</v>
      </c>
      <c r="F987" s="216" t="s">
        <v>2730</v>
      </c>
      <c r="G987" s="217"/>
      <c r="H987" s="25"/>
    </row>
    <row r="988">
      <c r="A988" s="216">
        <v>3.0010027E7</v>
      </c>
      <c r="B988" s="216" t="s">
        <v>3490</v>
      </c>
      <c r="C988" s="216" t="s">
        <v>3491</v>
      </c>
      <c r="D988" s="25"/>
      <c r="E988" s="216">
        <v>0.0</v>
      </c>
      <c r="F988" s="216">
        <v>0.0</v>
      </c>
      <c r="G988" s="217"/>
      <c r="H988" s="25"/>
    </row>
    <row r="989">
      <c r="A989" s="216">
        <v>3.0010028E7</v>
      </c>
      <c r="B989" s="216" t="s">
        <v>3490</v>
      </c>
      <c r="C989" s="216" t="s">
        <v>3491</v>
      </c>
      <c r="D989" s="25"/>
      <c r="E989" s="216">
        <v>0.0</v>
      </c>
      <c r="F989" s="216">
        <v>0.0</v>
      </c>
      <c r="G989" s="217"/>
      <c r="H989" s="25"/>
    </row>
    <row r="990">
      <c r="A990" s="216">
        <v>1.2046001E7</v>
      </c>
      <c r="B990" s="216" t="s">
        <v>3492</v>
      </c>
      <c r="C990" s="216" t="s">
        <v>3491</v>
      </c>
      <c r="D990" s="25"/>
      <c r="E990" s="216">
        <v>0.3</v>
      </c>
      <c r="F990" s="216">
        <v>0.3</v>
      </c>
      <c r="G990" s="217"/>
      <c r="H990" s="25"/>
    </row>
    <row r="991">
      <c r="A991" s="216">
        <v>1.2046002E7</v>
      </c>
      <c r="B991" s="216" t="s">
        <v>3493</v>
      </c>
      <c r="C991" s="216" t="s">
        <v>3491</v>
      </c>
      <c r="D991" s="25"/>
      <c r="E991" s="216" t="s">
        <v>2730</v>
      </c>
      <c r="F991" s="216" t="s">
        <v>2730</v>
      </c>
      <c r="G991" s="217"/>
      <c r="H991" s="25"/>
    </row>
    <row r="992">
      <c r="A992" s="216">
        <v>1.2046003E7</v>
      </c>
      <c r="B992" s="216" t="s">
        <v>3494</v>
      </c>
      <c r="C992" s="216" t="s">
        <v>3491</v>
      </c>
      <c r="D992" s="25"/>
      <c r="E992" s="216">
        <v>0.3</v>
      </c>
      <c r="F992" s="216">
        <v>0.3</v>
      </c>
      <c r="G992" s="217"/>
      <c r="H992" s="25"/>
    </row>
    <row r="993">
      <c r="A993" s="216">
        <v>3.0025004E7</v>
      </c>
      <c r="B993" s="216" t="s">
        <v>3344</v>
      </c>
      <c r="C993" s="216" t="s">
        <v>3491</v>
      </c>
      <c r="D993" s="25"/>
      <c r="E993" s="216" t="s">
        <v>2730</v>
      </c>
      <c r="F993" s="216" t="s">
        <v>2730</v>
      </c>
      <c r="G993" s="216" t="s">
        <v>3322</v>
      </c>
      <c r="H993" s="25"/>
    </row>
    <row r="994">
      <c r="A994" s="216">
        <v>3.0025117E7</v>
      </c>
      <c r="B994" s="216" t="s">
        <v>3344</v>
      </c>
      <c r="C994" s="216" t="s">
        <v>3491</v>
      </c>
      <c r="D994" s="25"/>
      <c r="E994" s="216" t="s">
        <v>2730</v>
      </c>
      <c r="F994" s="216" t="s">
        <v>2730</v>
      </c>
      <c r="G994" s="217"/>
      <c r="H994" s="25"/>
    </row>
    <row r="995">
      <c r="A995" s="216">
        <v>3.0010006E7</v>
      </c>
      <c r="B995" s="216" t="s">
        <v>3495</v>
      </c>
      <c r="C995" s="216" t="s">
        <v>3496</v>
      </c>
      <c r="D995" s="25"/>
      <c r="E995" s="216">
        <v>0.0</v>
      </c>
      <c r="F995" s="216">
        <v>0.0</v>
      </c>
      <c r="G995" s="217"/>
      <c r="H995" s="25"/>
    </row>
    <row r="996">
      <c r="A996" s="216">
        <v>3.002512E7</v>
      </c>
      <c r="B996" s="216" t="s">
        <v>3321</v>
      </c>
      <c r="C996" s="216" t="s">
        <v>3496</v>
      </c>
      <c r="D996" s="25"/>
      <c r="E996" s="216" t="s">
        <v>2730</v>
      </c>
      <c r="F996" s="216" t="s">
        <v>2730</v>
      </c>
      <c r="G996" s="217"/>
      <c r="H996" s="25"/>
    </row>
    <row r="997">
      <c r="A997" s="216">
        <v>3.001001E7</v>
      </c>
      <c r="B997" s="216" t="s">
        <v>3497</v>
      </c>
      <c r="C997" s="216" t="s">
        <v>3498</v>
      </c>
      <c r="D997" s="25"/>
      <c r="E997" s="216">
        <v>0.0</v>
      </c>
      <c r="F997" s="216">
        <v>0.0</v>
      </c>
      <c r="G997" s="217"/>
      <c r="H997" s="25"/>
    </row>
    <row r="998">
      <c r="A998" s="216">
        <v>3.0025121E7</v>
      </c>
      <c r="B998" s="216" t="s">
        <v>3333</v>
      </c>
      <c r="C998" s="216" t="s">
        <v>3498</v>
      </c>
      <c r="D998" s="25"/>
      <c r="E998" s="216" t="s">
        <v>2730</v>
      </c>
      <c r="F998" s="216" t="s">
        <v>2730</v>
      </c>
      <c r="G998" s="217"/>
      <c r="H998" s="25"/>
    </row>
    <row r="999">
      <c r="A999" s="216">
        <v>3.0010014E7</v>
      </c>
      <c r="B999" s="216" t="s">
        <v>3499</v>
      </c>
      <c r="C999" s="216" t="s">
        <v>3500</v>
      </c>
      <c r="D999" s="25"/>
      <c r="E999" s="216">
        <v>0.0</v>
      </c>
      <c r="F999" s="216">
        <v>0.0</v>
      </c>
      <c r="G999" s="217"/>
      <c r="H999" s="25"/>
    </row>
    <row r="1000">
      <c r="A1000" s="216">
        <v>3.0025122E7</v>
      </c>
      <c r="B1000" s="216" t="s">
        <v>3344</v>
      </c>
      <c r="C1000" s="216" t="s">
        <v>3500</v>
      </c>
      <c r="D1000" s="25"/>
      <c r="E1000" s="216" t="s">
        <v>2730</v>
      </c>
      <c r="F1000" s="216" t="s">
        <v>2730</v>
      </c>
      <c r="G1000" s="217"/>
      <c r="H1000" s="25"/>
    </row>
    <row r="1001">
      <c r="A1001" s="216">
        <v>3.0010007E7</v>
      </c>
      <c r="B1001" s="216" t="s">
        <v>3501</v>
      </c>
      <c r="C1001" s="216" t="s">
        <v>3502</v>
      </c>
      <c r="D1001" s="25"/>
      <c r="E1001" s="216">
        <v>0.0</v>
      </c>
      <c r="F1001" s="216">
        <v>0.0</v>
      </c>
      <c r="G1001" s="217"/>
      <c r="H1001" s="25"/>
    </row>
    <row r="1002">
      <c r="A1002" s="216">
        <v>3.0025125E7</v>
      </c>
      <c r="B1002" s="216" t="s">
        <v>3321</v>
      </c>
      <c r="C1002" s="216" t="s">
        <v>3502</v>
      </c>
      <c r="D1002" s="25"/>
      <c r="E1002" s="216" t="s">
        <v>2730</v>
      </c>
      <c r="F1002" s="216" t="s">
        <v>2730</v>
      </c>
      <c r="G1002" s="217"/>
      <c r="H1002" s="25"/>
    </row>
    <row r="1003">
      <c r="A1003" s="216">
        <v>3.0010011E7</v>
      </c>
      <c r="B1003" s="216" t="s">
        <v>3503</v>
      </c>
      <c r="C1003" s="216" t="s">
        <v>3504</v>
      </c>
      <c r="D1003" s="25"/>
      <c r="E1003" s="216">
        <v>0.0</v>
      </c>
      <c r="F1003" s="216">
        <v>0.0</v>
      </c>
      <c r="G1003" s="217"/>
      <c r="H1003" s="25"/>
    </row>
    <row r="1004">
      <c r="A1004" s="216">
        <v>3.0025126E7</v>
      </c>
      <c r="B1004" s="216" t="s">
        <v>3333</v>
      </c>
      <c r="C1004" s="216" t="s">
        <v>3504</v>
      </c>
      <c r="D1004" s="25"/>
      <c r="E1004" s="216" t="s">
        <v>2730</v>
      </c>
      <c r="F1004" s="216" t="s">
        <v>2730</v>
      </c>
      <c r="G1004" s="217"/>
      <c r="H1004" s="25"/>
    </row>
    <row r="1005">
      <c r="A1005" s="216">
        <v>3.0010015E7</v>
      </c>
      <c r="B1005" s="216" t="s">
        <v>3505</v>
      </c>
      <c r="C1005" s="216" t="s">
        <v>3506</v>
      </c>
      <c r="D1005" s="25"/>
      <c r="E1005" s="216">
        <v>0.0</v>
      </c>
      <c r="F1005" s="216">
        <v>0.0</v>
      </c>
      <c r="G1005" s="217"/>
      <c r="H1005" s="25"/>
    </row>
    <row r="1006">
      <c r="A1006" s="216">
        <v>3.0025127E7</v>
      </c>
      <c r="B1006" s="216" t="s">
        <v>3344</v>
      </c>
      <c r="C1006" s="216" t="s">
        <v>3506</v>
      </c>
      <c r="D1006" s="25"/>
      <c r="E1006" s="216" t="s">
        <v>2730</v>
      </c>
      <c r="F1006" s="216" t="s">
        <v>2730</v>
      </c>
      <c r="G1006" s="217"/>
      <c r="H1006" s="25"/>
    </row>
    <row r="1007">
      <c r="A1007" s="216">
        <v>3.0010008E7</v>
      </c>
      <c r="B1007" s="216" t="s">
        <v>3507</v>
      </c>
      <c r="C1007" s="216" t="s">
        <v>3508</v>
      </c>
      <c r="D1007" s="25"/>
      <c r="E1007" s="216">
        <v>0.0</v>
      </c>
      <c r="F1007" s="216">
        <v>0.0</v>
      </c>
      <c r="G1007" s="217"/>
      <c r="H1007" s="25"/>
    </row>
    <row r="1008">
      <c r="A1008" s="216">
        <v>3.002513E7</v>
      </c>
      <c r="B1008" s="216" t="s">
        <v>3321</v>
      </c>
      <c r="C1008" s="216" t="s">
        <v>3508</v>
      </c>
      <c r="D1008" s="25"/>
      <c r="E1008" s="216" t="s">
        <v>2730</v>
      </c>
      <c r="F1008" s="216" t="s">
        <v>2730</v>
      </c>
      <c r="G1008" s="217"/>
      <c r="H1008" s="25"/>
    </row>
    <row r="1009">
      <c r="A1009" s="216">
        <v>3.0010012E7</v>
      </c>
      <c r="B1009" s="216" t="s">
        <v>3509</v>
      </c>
      <c r="C1009" s="216" t="s">
        <v>3510</v>
      </c>
      <c r="D1009" s="25"/>
      <c r="E1009" s="216">
        <v>0.0</v>
      </c>
      <c r="F1009" s="216">
        <v>0.0</v>
      </c>
      <c r="G1009" s="217"/>
      <c r="H1009" s="25"/>
    </row>
    <row r="1010">
      <c r="A1010" s="216">
        <v>3.0025131E7</v>
      </c>
      <c r="B1010" s="216" t="s">
        <v>3333</v>
      </c>
      <c r="C1010" s="216" t="s">
        <v>3510</v>
      </c>
      <c r="D1010" s="25"/>
      <c r="E1010" s="216" t="s">
        <v>2730</v>
      </c>
      <c r="F1010" s="216" t="s">
        <v>2730</v>
      </c>
      <c r="G1010" s="217"/>
      <c r="H1010" s="25"/>
    </row>
    <row r="1011">
      <c r="A1011" s="216">
        <v>3.0010016E7</v>
      </c>
      <c r="B1011" s="216" t="s">
        <v>3511</v>
      </c>
      <c r="C1011" s="216" t="s">
        <v>3512</v>
      </c>
      <c r="D1011" s="25"/>
      <c r="E1011" s="216">
        <v>0.0</v>
      </c>
      <c r="F1011" s="216">
        <v>0.0</v>
      </c>
      <c r="G1011" s="217"/>
      <c r="H1011" s="25"/>
    </row>
    <row r="1012">
      <c r="A1012" s="216">
        <v>3002513.0</v>
      </c>
      <c r="B1012" s="216" t="s">
        <v>3344</v>
      </c>
      <c r="C1012" s="216" t="s">
        <v>3512</v>
      </c>
      <c r="D1012" s="25"/>
      <c r="E1012" s="216" t="s">
        <v>2730</v>
      </c>
      <c r="F1012" s="216" t="s">
        <v>2730</v>
      </c>
      <c r="G1012" s="217"/>
      <c r="H1012" s="25"/>
    </row>
    <row r="1013">
      <c r="A1013" s="216">
        <v>3.0010018E7</v>
      </c>
      <c r="B1013" s="216" t="s">
        <v>3513</v>
      </c>
      <c r="C1013" s="216" t="s">
        <v>3514</v>
      </c>
      <c r="D1013" s="25"/>
      <c r="E1013" s="216">
        <v>0.0</v>
      </c>
      <c r="F1013" s="216">
        <v>0.0</v>
      </c>
      <c r="G1013" s="217"/>
      <c r="H1013" s="25"/>
    </row>
    <row r="1014">
      <c r="A1014" s="216">
        <v>3.0025135E7</v>
      </c>
      <c r="B1014" s="216" t="s">
        <v>3321</v>
      </c>
      <c r="C1014" s="216" t="s">
        <v>3514</v>
      </c>
      <c r="D1014" s="25"/>
      <c r="E1014" s="216" t="s">
        <v>2730</v>
      </c>
      <c r="F1014" s="216" t="s">
        <v>2730</v>
      </c>
      <c r="G1014" s="217"/>
      <c r="H1014" s="25"/>
    </row>
    <row r="1015">
      <c r="A1015" s="216">
        <v>3.0010019E7</v>
      </c>
      <c r="B1015" s="216" t="s">
        <v>3515</v>
      </c>
      <c r="C1015" s="216" t="s">
        <v>3516</v>
      </c>
      <c r="D1015" s="25"/>
      <c r="E1015" s="216">
        <v>0.0</v>
      </c>
      <c r="F1015" s="216">
        <v>0.0</v>
      </c>
      <c r="G1015" s="217"/>
      <c r="H1015" s="25"/>
    </row>
    <row r="1016">
      <c r="A1016" s="216">
        <v>3.0025136E7</v>
      </c>
      <c r="B1016" s="216" t="s">
        <v>3333</v>
      </c>
      <c r="C1016" s="216" t="s">
        <v>3516</v>
      </c>
      <c r="D1016" s="25"/>
      <c r="E1016" s="216" t="s">
        <v>2730</v>
      </c>
      <c r="F1016" s="216" t="s">
        <v>2730</v>
      </c>
      <c r="G1016" s="217"/>
      <c r="H1016" s="25"/>
    </row>
    <row r="1017">
      <c r="A1017" s="216">
        <v>3.001002E7</v>
      </c>
      <c r="B1017" s="216" t="s">
        <v>3517</v>
      </c>
      <c r="C1017" s="216" t="s">
        <v>3518</v>
      </c>
      <c r="D1017" s="25"/>
      <c r="E1017" s="216">
        <v>0.0</v>
      </c>
      <c r="F1017" s="216">
        <v>0.0</v>
      </c>
      <c r="G1017" s="217"/>
      <c r="H1017" s="25"/>
    </row>
    <row r="1018">
      <c r="A1018" s="216">
        <v>3.0025137E7</v>
      </c>
      <c r="B1018" s="216" t="s">
        <v>3344</v>
      </c>
      <c r="C1018" s="216" t="s">
        <v>3518</v>
      </c>
      <c r="D1018" s="25"/>
      <c r="E1018" s="216" t="s">
        <v>2730</v>
      </c>
      <c r="F1018" s="216" t="s">
        <v>2730</v>
      </c>
      <c r="G1018" s="217"/>
      <c r="H1018" s="25"/>
    </row>
    <row r="1019">
      <c r="A1019" s="216">
        <v>1.205E7</v>
      </c>
      <c r="B1019" s="216" t="s">
        <v>3519</v>
      </c>
      <c r="C1019" s="216" t="s">
        <v>3520</v>
      </c>
      <c r="D1019" s="25"/>
      <c r="E1019" s="216">
        <v>0.0</v>
      </c>
      <c r="F1019" s="216">
        <v>0.0</v>
      </c>
      <c r="G1019" s="217"/>
      <c r="H1019" s="25"/>
    </row>
    <row r="1020">
      <c r="A1020" s="216">
        <v>3.00101E7</v>
      </c>
      <c r="B1020" s="216" t="s">
        <v>3521</v>
      </c>
      <c r="C1020" s="216" t="s">
        <v>3520</v>
      </c>
      <c r="D1020" s="25"/>
      <c r="E1020" s="216">
        <v>0.0</v>
      </c>
      <c r="F1020" s="216">
        <v>0.0</v>
      </c>
      <c r="G1020" s="217"/>
      <c r="H1020" s="25"/>
    </row>
    <row r="1021">
      <c r="A1021" s="216">
        <v>3.002515E7</v>
      </c>
      <c r="B1021" s="216" t="s">
        <v>3321</v>
      </c>
      <c r="C1021" s="216" t="s">
        <v>3520</v>
      </c>
      <c r="D1021" s="25"/>
      <c r="E1021" s="216" t="s">
        <v>2730</v>
      </c>
      <c r="F1021" s="216" t="s">
        <v>2730</v>
      </c>
      <c r="G1021" s="217"/>
      <c r="H1021" s="25"/>
    </row>
    <row r="1022">
      <c r="A1022" s="216">
        <v>1.205001E7</v>
      </c>
      <c r="B1022" s="216" t="s">
        <v>3519</v>
      </c>
      <c r="C1022" s="216" t="s">
        <v>3522</v>
      </c>
      <c r="D1022" s="25"/>
      <c r="E1022" s="216">
        <v>0.0</v>
      </c>
      <c r="F1022" s="216">
        <v>0.0</v>
      </c>
      <c r="G1022" s="217"/>
      <c r="H1022" s="25"/>
    </row>
    <row r="1023">
      <c r="A1023" s="216">
        <v>3.0010101E7</v>
      </c>
      <c r="B1023" s="216" t="s">
        <v>3521</v>
      </c>
      <c r="C1023" s="216" t="s">
        <v>3522</v>
      </c>
      <c r="D1023" s="25"/>
      <c r="E1023" s="216">
        <v>0.0</v>
      </c>
      <c r="F1023" s="216">
        <v>0.0</v>
      </c>
      <c r="G1023" s="217"/>
      <c r="H1023" s="25"/>
    </row>
    <row r="1024">
      <c r="A1024" s="216">
        <v>3.002516E7</v>
      </c>
      <c r="B1024" s="216" t="s">
        <v>3321</v>
      </c>
      <c r="C1024" s="216" t="s">
        <v>3522</v>
      </c>
      <c r="D1024" s="25"/>
      <c r="E1024" s="216" t="s">
        <v>2730</v>
      </c>
      <c r="F1024" s="216" t="s">
        <v>2730</v>
      </c>
      <c r="G1024" s="217"/>
      <c r="H1024" s="25"/>
    </row>
    <row r="1025">
      <c r="A1025" s="216">
        <v>1.20501E7</v>
      </c>
      <c r="B1025" s="216" t="s">
        <v>3519</v>
      </c>
      <c r="C1025" s="216" t="s">
        <v>3523</v>
      </c>
      <c r="D1025" s="25"/>
      <c r="E1025" s="216">
        <v>0.0</v>
      </c>
      <c r="F1025" s="216">
        <v>0.0</v>
      </c>
      <c r="G1025" s="217"/>
      <c r="H1025" s="25"/>
    </row>
    <row r="1026">
      <c r="A1026" s="216">
        <v>3.0010102E7</v>
      </c>
      <c r="B1026" s="216" t="s">
        <v>3521</v>
      </c>
      <c r="C1026" s="216" t="s">
        <v>3523</v>
      </c>
      <c r="D1026" s="25"/>
      <c r="E1026" s="216">
        <v>0.0</v>
      </c>
      <c r="F1026" s="216">
        <v>0.0</v>
      </c>
      <c r="G1026" s="217"/>
      <c r="H1026" s="25"/>
    </row>
    <row r="1027">
      <c r="A1027" s="216">
        <v>3.0025161E7</v>
      </c>
      <c r="B1027" s="216" t="s">
        <v>3333</v>
      </c>
      <c r="C1027" s="216" t="s">
        <v>3523</v>
      </c>
      <c r="D1027" s="25"/>
      <c r="E1027" s="216" t="s">
        <v>2730</v>
      </c>
      <c r="F1027" s="216" t="s">
        <v>2730</v>
      </c>
      <c r="G1027" s="217"/>
      <c r="H1027" s="25"/>
    </row>
    <row r="1028">
      <c r="A1028" s="216">
        <v>1.20502E7</v>
      </c>
      <c r="B1028" s="216" t="s">
        <v>3519</v>
      </c>
      <c r="C1028" s="216" t="s">
        <v>3524</v>
      </c>
      <c r="D1028" s="25"/>
      <c r="E1028" s="216">
        <v>0.0</v>
      </c>
      <c r="F1028" s="216">
        <v>0.0</v>
      </c>
      <c r="G1028" s="217"/>
      <c r="H1028" s="25"/>
    </row>
    <row r="1029">
      <c r="A1029" s="216">
        <v>3.0010103E7</v>
      </c>
      <c r="B1029" s="216" t="s">
        <v>3521</v>
      </c>
      <c r="C1029" s="216" t="s">
        <v>3524</v>
      </c>
      <c r="D1029" s="25"/>
      <c r="E1029" s="216">
        <v>0.0</v>
      </c>
      <c r="F1029" s="216">
        <v>0.0</v>
      </c>
      <c r="G1029" s="217"/>
      <c r="H1029" s="25"/>
    </row>
    <row r="1030">
      <c r="A1030" s="216">
        <v>3.0025162E7</v>
      </c>
      <c r="B1030" s="216" t="s">
        <v>3344</v>
      </c>
      <c r="C1030" s="216" t="s">
        <v>3524</v>
      </c>
      <c r="D1030" s="25"/>
      <c r="E1030" s="216" t="s">
        <v>2730</v>
      </c>
      <c r="F1030" s="216" t="s">
        <v>2730</v>
      </c>
      <c r="G1030" s="217"/>
      <c r="H1030" s="25"/>
    </row>
    <row r="1031">
      <c r="A1031" s="217"/>
      <c r="B1031" s="217"/>
      <c r="C1031" s="217"/>
      <c r="D1031" s="25"/>
      <c r="E1031" s="217"/>
      <c r="F1031" s="217"/>
      <c r="G1031" s="217"/>
      <c r="H1031" s="25"/>
    </row>
    <row r="1032">
      <c r="A1032" s="216">
        <v>1.209801E7</v>
      </c>
      <c r="B1032" s="216" t="s">
        <v>3410</v>
      </c>
      <c r="C1032" s="216" t="s">
        <v>3411</v>
      </c>
      <c r="D1032" s="25"/>
      <c r="E1032" s="216" t="s">
        <v>2730</v>
      </c>
      <c r="F1032" s="216" t="s">
        <v>2730</v>
      </c>
      <c r="G1032" s="217"/>
      <c r="H1032" s="25"/>
    </row>
    <row r="1033">
      <c r="A1033" s="216">
        <v>1.2098011E7</v>
      </c>
      <c r="B1033" s="216" t="s">
        <v>3412</v>
      </c>
      <c r="C1033" s="216" t="s">
        <v>3411</v>
      </c>
      <c r="D1033" s="25"/>
      <c r="E1033" s="216">
        <v>0.3</v>
      </c>
      <c r="F1033" s="216">
        <v>0.3</v>
      </c>
      <c r="G1033" s="217"/>
      <c r="H1033" s="25"/>
    </row>
    <row r="1034">
      <c r="A1034" s="216">
        <v>1.2098012E7</v>
      </c>
      <c r="B1034" s="216" t="s">
        <v>3413</v>
      </c>
      <c r="C1034" s="216" t="s">
        <v>3411</v>
      </c>
      <c r="D1034" s="25"/>
      <c r="E1034" s="216" t="s">
        <v>2730</v>
      </c>
      <c r="F1034" s="216" t="s">
        <v>2730</v>
      </c>
      <c r="G1034" s="217"/>
      <c r="H1034" s="25"/>
    </row>
    <row r="1035">
      <c r="A1035" s="216">
        <v>3.001004E7</v>
      </c>
      <c r="B1035" s="216" t="s">
        <v>3414</v>
      </c>
      <c r="C1035" s="216" t="s">
        <v>3411</v>
      </c>
      <c r="D1035" s="25"/>
      <c r="E1035" s="216">
        <v>0.0</v>
      </c>
      <c r="F1035" s="216">
        <v>0.0</v>
      </c>
      <c r="G1035" s="217"/>
      <c r="H1035" s="25"/>
    </row>
    <row r="1036">
      <c r="A1036" s="216">
        <v>3.002508E7</v>
      </c>
      <c r="B1036" s="216" t="s">
        <v>3321</v>
      </c>
      <c r="C1036" s="216" t="s">
        <v>3411</v>
      </c>
      <c r="D1036" s="25"/>
      <c r="E1036" s="216" t="s">
        <v>2730</v>
      </c>
      <c r="F1036" s="216" t="s">
        <v>2730</v>
      </c>
      <c r="G1036" s="217"/>
      <c r="H1036" s="25"/>
    </row>
    <row r="1037">
      <c r="A1037" s="216">
        <v>1.209802E7</v>
      </c>
      <c r="B1037" s="216" t="s">
        <v>3415</v>
      </c>
      <c r="C1037" s="216" t="s">
        <v>3416</v>
      </c>
      <c r="D1037" s="25"/>
      <c r="E1037" s="216" t="s">
        <v>2730</v>
      </c>
      <c r="F1037" s="216" t="s">
        <v>2730</v>
      </c>
      <c r="G1037" s="217"/>
      <c r="H1037" s="25"/>
    </row>
    <row r="1038">
      <c r="A1038" s="216">
        <v>1.2098021E7</v>
      </c>
      <c r="B1038" s="216" t="s">
        <v>3417</v>
      </c>
      <c r="C1038" s="216" t="s">
        <v>3416</v>
      </c>
      <c r="D1038" s="25"/>
      <c r="E1038" s="216">
        <v>0.3</v>
      </c>
      <c r="F1038" s="216">
        <v>0.3</v>
      </c>
      <c r="G1038" s="217"/>
      <c r="H1038" s="25"/>
    </row>
    <row r="1039">
      <c r="A1039" s="216">
        <v>1.2098022E7</v>
      </c>
      <c r="B1039" s="216" t="s">
        <v>3418</v>
      </c>
      <c r="C1039" s="216" t="s">
        <v>3416</v>
      </c>
      <c r="D1039" s="25"/>
      <c r="E1039" s="216" t="s">
        <v>2730</v>
      </c>
      <c r="F1039" s="216" t="s">
        <v>2730</v>
      </c>
      <c r="G1039" s="217"/>
      <c r="H1039" s="25"/>
    </row>
    <row r="1040">
      <c r="A1040" s="216">
        <v>3.0010041E7</v>
      </c>
      <c r="B1040" s="216" t="s">
        <v>3419</v>
      </c>
      <c r="C1040" s="216" t="s">
        <v>3416</v>
      </c>
      <c r="D1040" s="25"/>
      <c r="E1040" s="216">
        <v>0.0</v>
      </c>
      <c r="F1040" s="216">
        <v>0.0</v>
      </c>
      <c r="G1040" s="217"/>
      <c r="H1040" s="25"/>
    </row>
    <row r="1041">
      <c r="A1041" s="216">
        <v>3.0025081E7</v>
      </c>
      <c r="B1041" s="216" t="s">
        <v>3333</v>
      </c>
      <c r="C1041" s="216" t="s">
        <v>3416</v>
      </c>
      <c r="D1041" s="25"/>
      <c r="E1041" s="216" t="s">
        <v>2730</v>
      </c>
      <c r="F1041" s="216" t="s">
        <v>2730</v>
      </c>
      <c r="G1041" s="217"/>
      <c r="H1041" s="25"/>
    </row>
    <row r="1042">
      <c r="A1042" s="216">
        <v>1.209803E7</v>
      </c>
      <c r="B1042" s="216" t="s">
        <v>3420</v>
      </c>
      <c r="C1042" s="216" t="s">
        <v>3421</v>
      </c>
      <c r="D1042" s="25"/>
      <c r="E1042" s="216" t="s">
        <v>2730</v>
      </c>
      <c r="F1042" s="216" t="s">
        <v>2730</v>
      </c>
      <c r="G1042" s="217"/>
      <c r="H1042" s="25"/>
    </row>
    <row r="1043">
      <c r="A1043" s="216">
        <v>1.2098031E7</v>
      </c>
      <c r="B1043" s="216" t="s">
        <v>3422</v>
      </c>
      <c r="C1043" s="216" t="s">
        <v>3421</v>
      </c>
      <c r="D1043" s="25"/>
      <c r="E1043" s="216">
        <v>0.3</v>
      </c>
      <c r="F1043" s="216">
        <v>0.3</v>
      </c>
      <c r="G1043" s="217"/>
      <c r="H1043" s="25"/>
    </row>
    <row r="1044">
      <c r="A1044" s="216">
        <v>1.2098032E7</v>
      </c>
      <c r="B1044" s="216" t="s">
        <v>3423</v>
      </c>
      <c r="C1044" s="216" t="s">
        <v>3421</v>
      </c>
      <c r="D1044" s="25"/>
      <c r="E1044" s="216" t="s">
        <v>2730</v>
      </c>
      <c r="F1044" s="216" t="s">
        <v>2730</v>
      </c>
      <c r="G1044" s="217"/>
      <c r="H1044" s="25"/>
    </row>
    <row r="1045">
      <c r="A1045" s="216">
        <v>3.0010042E7</v>
      </c>
      <c r="B1045" s="216" t="s">
        <v>3424</v>
      </c>
      <c r="C1045" s="216" t="s">
        <v>3421</v>
      </c>
      <c r="D1045" s="25"/>
      <c r="E1045" s="216">
        <v>0.0</v>
      </c>
      <c r="F1045" s="216">
        <v>0.0</v>
      </c>
      <c r="G1045" s="217"/>
      <c r="H1045" s="25"/>
    </row>
    <row r="1046">
      <c r="A1046" s="216">
        <v>3.0025082E7</v>
      </c>
      <c r="B1046" s="216" t="s">
        <v>3344</v>
      </c>
      <c r="C1046" s="216" t="s">
        <v>3421</v>
      </c>
      <c r="D1046" s="25"/>
      <c r="E1046" s="216" t="s">
        <v>2730</v>
      </c>
      <c r="F1046" s="216" t="s">
        <v>2730</v>
      </c>
      <c r="G1046" s="217"/>
      <c r="H1046" s="25"/>
    </row>
    <row r="1047">
      <c r="A1047" s="216">
        <v>1.209807E7</v>
      </c>
      <c r="B1047" s="216" t="s">
        <v>3425</v>
      </c>
      <c r="C1047" s="216" t="s">
        <v>3426</v>
      </c>
      <c r="D1047" s="25"/>
      <c r="E1047" s="216">
        <v>0.3</v>
      </c>
      <c r="F1047" s="216">
        <v>0.3</v>
      </c>
      <c r="G1047" s="217"/>
      <c r="H1047" s="25"/>
    </row>
    <row r="1048">
      <c r="A1048" s="216">
        <v>1.2098071E7</v>
      </c>
      <c r="B1048" s="216" t="s">
        <v>3410</v>
      </c>
      <c r="C1048" s="216" t="s">
        <v>3426</v>
      </c>
      <c r="D1048" s="25"/>
      <c r="E1048" s="216" t="s">
        <v>2730</v>
      </c>
      <c r="F1048" s="216" t="s">
        <v>2730</v>
      </c>
      <c r="G1048" s="217"/>
      <c r="H1048" s="25"/>
    </row>
    <row r="1049">
      <c r="A1049" s="216">
        <v>1.2098072E7</v>
      </c>
      <c r="B1049" s="216" t="s">
        <v>3412</v>
      </c>
      <c r="C1049" s="216" t="s">
        <v>3426</v>
      </c>
      <c r="D1049" s="25"/>
      <c r="E1049" s="216">
        <v>0.3</v>
      </c>
      <c r="F1049" s="216">
        <v>0.3</v>
      </c>
      <c r="G1049" s="217"/>
      <c r="H1049" s="25"/>
    </row>
    <row r="1050">
      <c r="A1050" s="216">
        <v>1.2098073E7</v>
      </c>
      <c r="B1050" s="216" t="s">
        <v>3413</v>
      </c>
      <c r="C1050" s="216" t="s">
        <v>3426</v>
      </c>
      <c r="D1050" s="25"/>
      <c r="E1050" s="216" t="s">
        <v>2730</v>
      </c>
      <c r="F1050" s="216" t="s">
        <v>2730</v>
      </c>
      <c r="G1050" s="217"/>
      <c r="H1050" s="25"/>
    </row>
    <row r="1051">
      <c r="A1051" s="216">
        <v>3.0010043E7</v>
      </c>
      <c r="B1051" s="216" t="s">
        <v>3414</v>
      </c>
      <c r="C1051" s="216" t="s">
        <v>3426</v>
      </c>
      <c r="D1051" s="25"/>
      <c r="E1051" s="216">
        <v>0.0</v>
      </c>
      <c r="F1051" s="216">
        <v>0.0</v>
      </c>
      <c r="G1051" s="217"/>
      <c r="H1051" s="25"/>
    </row>
    <row r="1052">
      <c r="A1052" s="216">
        <v>3.0025083E7</v>
      </c>
      <c r="B1052" s="216" t="s">
        <v>3321</v>
      </c>
      <c r="C1052" s="216" t="s">
        <v>3426</v>
      </c>
      <c r="D1052" s="25"/>
      <c r="E1052" s="216" t="s">
        <v>2730</v>
      </c>
      <c r="F1052" s="216" t="s">
        <v>2730</v>
      </c>
      <c r="G1052" s="217"/>
      <c r="H1052" s="25"/>
    </row>
    <row r="1053">
      <c r="A1053" s="216">
        <v>1.209808E7</v>
      </c>
      <c r="B1053" s="216" t="s">
        <v>3427</v>
      </c>
      <c r="C1053" s="216" t="s">
        <v>3428</v>
      </c>
      <c r="D1053" s="25"/>
      <c r="E1053" s="216">
        <v>0.3</v>
      </c>
      <c r="F1053" s="216">
        <v>0.3</v>
      </c>
      <c r="G1053" s="217"/>
      <c r="H1053" s="25"/>
    </row>
    <row r="1054">
      <c r="A1054" s="216">
        <v>1.2098081E7</v>
      </c>
      <c r="B1054" s="216" t="s">
        <v>3415</v>
      </c>
      <c r="C1054" s="216" t="s">
        <v>3428</v>
      </c>
      <c r="D1054" s="25"/>
      <c r="E1054" s="216" t="s">
        <v>2730</v>
      </c>
      <c r="F1054" s="216" t="s">
        <v>2730</v>
      </c>
      <c r="G1054" s="217"/>
      <c r="H1054" s="25"/>
    </row>
    <row r="1055">
      <c r="A1055" s="216">
        <v>1.2098082E7</v>
      </c>
      <c r="B1055" s="216" t="s">
        <v>3417</v>
      </c>
      <c r="C1055" s="216" t="s">
        <v>3428</v>
      </c>
      <c r="D1055" s="25"/>
      <c r="E1055" s="216">
        <v>0.3</v>
      </c>
      <c r="F1055" s="216">
        <v>0.3</v>
      </c>
      <c r="G1055" s="217"/>
      <c r="H1055" s="25"/>
    </row>
    <row r="1056">
      <c r="A1056" s="216">
        <v>1.2098083E7</v>
      </c>
      <c r="B1056" s="216" t="s">
        <v>3418</v>
      </c>
      <c r="C1056" s="216" t="s">
        <v>3428</v>
      </c>
      <c r="D1056" s="25"/>
      <c r="E1056" s="216" t="s">
        <v>2730</v>
      </c>
      <c r="F1056" s="216" t="s">
        <v>2730</v>
      </c>
      <c r="G1056" s="217"/>
      <c r="H1056" s="25"/>
    </row>
    <row r="1057">
      <c r="A1057" s="216">
        <v>3.0010044E7</v>
      </c>
      <c r="B1057" s="216" t="s">
        <v>3419</v>
      </c>
      <c r="C1057" s="216" t="s">
        <v>3428</v>
      </c>
      <c r="D1057" s="25"/>
      <c r="E1057" s="216">
        <v>0.0</v>
      </c>
      <c r="F1057" s="216">
        <v>0.0</v>
      </c>
      <c r="G1057" s="217"/>
      <c r="H1057" s="25"/>
    </row>
    <row r="1058">
      <c r="A1058" s="216">
        <v>3.0025084E7</v>
      </c>
      <c r="B1058" s="216" t="s">
        <v>3333</v>
      </c>
      <c r="C1058" s="216" t="s">
        <v>3428</v>
      </c>
      <c r="D1058" s="25"/>
      <c r="E1058" s="216" t="s">
        <v>2730</v>
      </c>
      <c r="F1058" s="216" t="s">
        <v>2730</v>
      </c>
      <c r="G1058" s="217"/>
      <c r="H1058" s="25"/>
    </row>
    <row r="1059">
      <c r="A1059" s="216">
        <v>1.209809E7</v>
      </c>
      <c r="B1059" s="216" t="s">
        <v>3429</v>
      </c>
      <c r="C1059" s="216" t="s">
        <v>3430</v>
      </c>
      <c r="D1059" s="25"/>
      <c r="E1059" s="216">
        <v>0.3</v>
      </c>
      <c r="F1059" s="216">
        <v>0.3</v>
      </c>
      <c r="G1059" s="217"/>
      <c r="H1059" s="25"/>
    </row>
    <row r="1060">
      <c r="A1060" s="216">
        <v>1.2098091E7</v>
      </c>
      <c r="B1060" s="216" t="s">
        <v>3420</v>
      </c>
      <c r="C1060" s="216" t="s">
        <v>3430</v>
      </c>
      <c r="D1060" s="25"/>
      <c r="E1060" s="216" t="s">
        <v>2730</v>
      </c>
      <c r="F1060" s="216" t="s">
        <v>2730</v>
      </c>
      <c r="G1060" s="217"/>
      <c r="H1060" s="25"/>
    </row>
    <row r="1061">
      <c r="A1061" s="216">
        <v>1.2098092E7</v>
      </c>
      <c r="B1061" s="216" t="s">
        <v>3422</v>
      </c>
      <c r="C1061" s="216" t="s">
        <v>3430</v>
      </c>
      <c r="D1061" s="25"/>
      <c r="E1061" s="216">
        <v>0.3</v>
      </c>
      <c r="F1061" s="216">
        <v>0.3</v>
      </c>
      <c r="G1061" s="217"/>
      <c r="H1061" s="25"/>
    </row>
    <row r="1062">
      <c r="A1062" s="216">
        <v>1.2098093E7</v>
      </c>
      <c r="B1062" s="216" t="s">
        <v>3423</v>
      </c>
      <c r="C1062" s="216" t="s">
        <v>3430</v>
      </c>
      <c r="D1062" s="25"/>
      <c r="E1062" s="216" t="s">
        <v>2730</v>
      </c>
      <c r="F1062" s="216" t="s">
        <v>2730</v>
      </c>
      <c r="G1062" s="217"/>
      <c r="H1062" s="25"/>
    </row>
    <row r="1063">
      <c r="A1063" s="216">
        <v>3.0010045E7</v>
      </c>
      <c r="B1063" s="216" t="s">
        <v>3424</v>
      </c>
      <c r="C1063" s="216" t="s">
        <v>3430</v>
      </c>
      <c r="D1063" s="25"/>
      <c r="E1063" s="216">
        <v>0.0</v>
      </c>
      <c r="F1063" s="216">
        <v>0.0</v>
      </c>
      <c r="G1063" s="217"/>
      <c r="H1063" s="25"/>
    </row>
    <row r="1064">
      <c r="A1064" s="216">
        <v>3.0025085E7</v>
      </c>
      <c r="B1064" s="216" t="s">
        <v>3344</v>
      </c>
      <c r="C1064" s="216" t="s">
        <v>3430</v>
      </c>
      <c r="D1064" s="25"/>
      <c r="E1064" s="216" t="s">
        <v>2730</v>
      </c>
      <c r="F1064" s="216" t="s">
        <v>2730</v>
      </c>
      <c r="G1064" s="217"/>
      <c r="H1064" s="25"/>
    </row>
    <row r="1065">
      <c r="A1065" s="217"/>
      <c r="B1065" s="217"/>
      <c r="C1065" s="217"/>
      <c r="D1065" s="25"/>
      <c r="E1065" s="217"/>
      <c r="F1065" s="217"/>
      <c r="G1065" s="217"/>
      <c r="H1065" s="25"/>
    </row>
    <row r="1066">
      <c r="A1066" s="216">
        <v>1.144E7</v>
      </c>
      <c r="B1066" s="216" t="s">
        <v>3525</v>
      </c>
      <c r="C1066" s="216" t="s">
        <v>3526</v>
      </c>
      <c r="D1066" s="25"/>
      <c r="E1066" s="216" t="s">
        <v>2730</v>
      </c>
      <c r="F1066" s="216" t="s">
        <v>2730</v>
      </c>
      <c r="G1066" s="217"/>
      <c r="H1066" s="25"/>
    </row>
    <row r="1067">
      <c r="A1067" s="216">
        <v>1.1440001E7</v>
      </c>
      <c r="B1067" s="216" t="s">
        <v>3527</v>
      </c>
      <c r="C1067" s="216" t="s">
        <v>3526</v>
      </c>
      <c r="D1067" s="25"/>
      <c r="E1067" s="216">
        <v>-5.0E-4</v>
      </c>
      <c r="F1067" s="216">
        <v>-5.0E-4</v>
      </c>
      <c r="G1067" s="216" t="s">
        <v>389</v>
      </c>
      <c r="H1067" s="25"/>
    </row>
    <row r="1068">
      <c r="A1068" s="216">
        <v>1.1440002E7</v>
      </c>
      <c r="B1068" s="216" t="s">
        <v>3528</v>
      </c>
      <c r="C1068" s="216" t="s">
        <v>3526</v>
      </c>
      <c r="D1068" s="25"/>
      <c r="E1068" s="216">
        <v>-5.0E-4</v>
      </c>
      <c r="F1068" s="216">
        <v>-5.0E-4</v>
      </c>
      <c r="G1068" s="216" t="s">
        <v>389</v>
      </c>
      <c r="H1068" s="25"/>
    </row>
    <row r="1069">
      <c r="A1069" s="216">
        <v>1.1440003E7</v>
      </c>
      <c r="B1069" s="216" t="s">
        <v>3529</v>
      </c>
      <c r="C1069" s="216" t="s">
        <v>3526</v>
      </c>
      <c r="D1069" s="25"/>
      <c r="E1069" s="216">
        <v>-5.0E-4</v>
      </c>
      <c r="F1069" s="216">
        <v>-5.0E-4</v>
      </c>
      <c r="G1069" s="216" t="s">
        <v>389</v>
      </c>
      <c r="H1069" s="25"/>
    </row>
    <row r="1070">
      <c r="A1070" s="216">
        <v>1.1440004E7</v>
      </c>
      <c r="B1070" s="216" t="s">
        <v>3530</v>
      </c>
      <c r="C1070" s="216" t="s">
        <v>3526</v>
      </c>
      <c r="D1070" s="25"/>
      <c r="E1070" s="216">
        <v>-0.01</v>
      </c>
      <c r="F1070" s="216">
        <v>-0.01</v>
      </c>
      <c r="G1070" s="216" t="s">
        <v>389</v>
      </c>
      <c r="H1070" s="25"/>
    </row>
    <row r="1071">
      <c r="A1071" s="216">
        <v>1.1440005E7</v>
      </c>
      <c r="B1071" s="216" t="s">
        <v>3531</v>
      </c>
      <c r="C1071" s="216" t="s">
        <v>3526</v>
      </c>
      <c r="D1071" s="25"/>
      <c r="E1071" s="216">
        <v>0.0</v>
      </c>
      <c r="F1071" s="216">
        <v>0.0</v>
      </c>
      <c r="G1071" s="216" t="s">
        <v>2850</v>
      </c>
      <c r="H1071" s="25"/>
    </row>
    <row r="1072">
      <c r="A1072" s="216">
        <v>1.06811E7</v>
      </c>
      <c r="B1072" s="216" t="s">
        <v>3041</v>
      </c>
      <c r="C1072" s="216" t="s">
        <v>3532</v>
      </c>
      <c r="D1072" s="25"/>
      <c r="E1072" s="216" t="s">
        <v>2730</v>
      </c>
      <c r="F1072" s="216" t="s">
        <v>2730</v>
      </c>
      <c r="G1072" s="217"/>
      <c r="H1072" s="25"/>
    </row>
    <row r="1073">
      <c r="A1073" s="216">
        <v>1.0601102E7</v>
      </c>
      <c r="B1073" s="216" t="s">
        <v>3039</v>
      </c>
      <c r="C1073" s="216" t="s">
        <v>3532</v>
      </c>
      <c r="D1073" s="25"/>
      <c r="E1073" s="216" t="s">
        <v>2730</v>
      </c>
      <c r="F1073" s="216" t="s">
        <v>2730</v>
      </c>
      <c r="G1073" s="217"/>
      <c r="H1073" s="25"/>
    </row>
    <row r="1074">
      <c r="A1074" s="216">
        <v>1.06812E7</v>
      </c>
      <c r="B1074" s="216" t="s">
        <v>3041</v>
      </c>
      <c r="C1074" s="216" t="s">
        <v>3532</v>
      </c>
      <c r="D1074" s="25"/>
      <c r="E1074" s="216" t="s">
        <v>2730</v>
      </c>
      <c r="F1074" s="216" t="s">
        <v>2730</v>
      </c>
      <c r="G1074" s="217"/>
      <c r="H1074" s="25"/>
    </row>
    <row r="1075">
      <c r="A1075" s="216">
        <v>1.0601202E7</v>
      </c>
      <c r="B1075" s="216" t="s">
        <v>3039</v>
      </c>
      <c r="C1075" s="216" t="s">
        <v>3532</v>
      </c>
      <c r="D1075" s="25"/>
      <c r="E1075" s="216" t="s">
        <v>2730</v>
      </c>
      <c r="F1075" s="216" t="s">
        <v>2730</v>
      </c>
      <c r="G1075" s="217"/>
      <c r="H1075" s="25"/>
    </row>
    <row r="1076">
      <c r="A1076" s="216">
        <v>1.06813E7</v>
      </c>
      <c r="B1076" s="216" t="s">
        <v>3041</v>
      </c>
      <c r="C1076" s="216" t="s">
        <v>3532</v>
      </c>
      <c r="D1076" s="25"/>
      <c r="E1076" s="216" t="s">
        <v>2730</v>
      </c>
      <c r="F1076" s="216" t="s">
        <v>2730</v>
      </c>
      <c r="G1076" s="217"/>
      <c r="H1076" s="25"/>
    </row>
    <row r="1077">
      <c r="A1077" s="216">
        <v>1.0601302E7</v>
      </c>
      <c r="B1077" s="216" t="s">
        <v>3039</v>
      </c>
      <c r="C1077" s="216" t="s">
        <v>3532</v>
      </c>
      <c r="D1077" s="25"/>
      <c r="E1077" s="216" t="s">
        <v>2730</v>
      </c>
      <c r="F1077" s="216" t="s">
        <v>2730</v>
      </c>
      <c r="G1077" s="217"/>
      <c r="H1077" s="25"/>
    </row>
    <row r="1078">
      <c r="A1078" s="216">
        <v>1.0685E7</v>
      </c>
      <c r="B1078" s="216" t="s">
        <v>3043</v>
      </c>
      <c r="C1078" s="216" t="s">
        <v>3532</v>
      </c>
      <c r="D1078" s="25"/>
      <c r="E1078" s="216">
        <v>1.0</v>
      </c>
      <c r="F1078" s="216">
        <v>1.0</v>
      </c>
      <c r="G1078" s="217"/>
      <c r="H1078" s="25"/>
    </row>
    <row r="1079">
      <c r="A1079" s="216">
        <v>1.068501E7</v>
      </c>
      <c r="B1079" s="216" t="s">
        <v>3533</v>
      </c>
      <c r="C1079" s="216" t="s">
        <v>3532</v>
      </c>
      <c r="D1079" s="25"/>
      <c r="E1079" s="216">
        <v>9.0</v>
      </c>
      <c r="F1079" s="216">
        <v>9.0</v>
      </c>
      <c r="G1079" s="217"/>
      <c r="H1079" s="25"/>
    </row>
    <row r="1080">
      <c r="A1080" s="216">
        <v>1.0685011E7</v>
      </c>
      <c r="B1080" s="216" t="s">
        <v>3534</v>
      </c>
      <c r="C1080" s="216" t="s">
        <v>3532</v>
      </c>
      <c r="D1080" s="25"/>
      <c r="E1080" s="216">
        <v>0.0</v>
      </c>
      <c r="F1080" s="216">
        <v>0.0</v>
      </c>
      <c r="G1080" s="217"/>
      <c r="H1080" s="25"/>
    </row>
    <row r="1081">
      <c r="A1081" s="216">
        <v>1.0685012E7</v>
      </c>
      <c r="B1081" s="216" t="s">
        <v>3535</v>
      </c>
      <c r="C1081" s="216" t="s">
        <v>3532</v>
      </c>
      <c r="D1081" s="25"/>
      <c r="E1081" s="216">
        <v>0.0</v>
      </c>
      <c r="F1081" s="216">
        <v>0.0</v>
      </c>
      <c r="G1081" s="217"/>
      <c r="H1081" s="25"/>
    </row>
    <row r="1082">
      <c r="A1082" s="216">
        <v>1.0685013E7</v>
      </c>
      <c r="B1082" s="216" t="s">
        <v>3066</v>
      </c>
      <c r="C1082" s="216" t="s">
        <v>3532</v>
      </c>
      <c r="D1082" s="25"/>
      <c r="E1082" s="216">
        <v>0.0</v>
      </c>
      <c r="F1082" s="216">
        <v>0.0</v>
      </c>
      <c r="G1082" s="217"/>
      <c r="H1082" s="25"/>
    </row>
    <row r="1083">
      <c r="A1083" s="216">
        <v>1.068504E7</v>
      </c>
      <c r="B1083" s="216" t="s">
        <v>3536</v>
      </c>
      <c r="C1083" s="216" t="s">
        <v>3532</v>
      </c>
      <c r="D1083" s="25"/>
      <c r="E1083" s="216">
        <v>9.0</v>
      </c>
      <c r="F1083" s="216">
        <v>9.0</v>
      </c>
      <c r="G1083" s="217"/>
      <c r="H1083" s="25"/>
    </row>
    <row r="1084">
      <c r="A1084" s="216">
        <v>1.0685041E7</v>
      </c>
      <c r="B1084" s="216" t="s">
        <v>3537</v>
      </c>
      <c r="C1084" s="216" t="s">
        <v>3532</v>
      </c>
      <c r="D1084" s="25"/>
      <c r="E1084" s="216">
        <v>0.0</v>
      </c>
      <c r="F1084" s="216">
        <v>0.0</v>
      </c>
      <c r="G1084" s="217"/>
      <c r="H1084" s="25"/>
    </row>
    <row r="1085">
      <c r="A1085" s="216">
        <v>1.0685042E7</v>
      </c>
      <c r="B1085" s="216" t="s">
        <v>3538</v>
      </c>
      <c r="C1085" s="216" t="s">
        <v>3532</v>
      </c>
      <c r="D1085" s="25"/>
      <c r="E1085" s="216">
        <v>0.0</v>
      </c>
      <c r="F1085" s="216">
        <v>0.0</v>
      </c>
      <c r="G1085" s="217"/>
      <c r="H1085" s="25"/>
    </row>
    <row r="1086">
      <c r="A1086" s="216">
        <v>1.0685043E7</v>
      </c>
      <c r="B1086" s="216" t="s">
        <v>3089</v>
      </c>
      <c r="C1086" s="216" t="s">
        <v>3532</v>
      </c>
      <c r="D1086" s="25"/>
      <c r="E1086" s="216">
        <v>0.0</v>
      </c>
      <c r="F1086" s="216">
        <v>0.0</v>
      </c>
      <c r="G1086" s="217"/>
      <c r="H1086" s="25"/>
    </row>
    <row r="1087">
      <c r="A1087" s="216">
        <v>1.068507E7</v>
      </c>
      <c r="B1087" s="216" t="s">
        <v>3539</v>
      </c>
      <c r="C1087" s="216" t="s">
        <v>3532</v>
      </c>
      <c r="D1087" s="25"/>
      <c r="E1087" s="216">
        <v>1.0</v>
      </c>
      <c r="F1087" s="216">
        <v>1.0</v>
      </c>
      <c r="G1087" s="217"/>
      <c r="H1087" s="25"/>
    </row>
    <row r="1088">
      <c r="A1088" s="216">
        <v>1.0685071E7</v>
      </c>
      <c r="B1088" s="216" t="s">
        <v>3540</v>
      </c>
      <c r="C1088" s="216" t="s">
        <v>3532</v>
      </c>
      <c r="D1088" s="25"/>
      <c r="E1088" s="216">
        <v>1.0</v>
      </c>
      <c r="F1088" s="216">
        <v>1.0</v>
      </c>
      <c r="G1088" s="217"/>
      <c r="H1088" s="25"/>
    </row>
    <row r="1089">
      <c r="A1089" s="216">
        <v>1.0685072E7</v>
      </c>
      <c r="B1089" s="216" t="s">
        <v>3541</v>
      </c>
      <c r="C1089" s="216" t="s">
        <v>3532</v>
      </c>
      <c r="D1089" s="25"/>
      <c r="E1089" s="216">
        <v>1.0</v>
      </c>
      <c r="F1089" s="216">
        <v>1.0</v>
      </c>
      <c r="G1089" s="217"/>
      <c r="H1089" s="25"/>
    </row>
    <row r="1090">
      <c r="A1090" s="216">
        <v>1.0685073E7</v>
      </c>
      <c r="B1090" s="216" t="s">
        <v>3112</v>
      </c>
      <c r="C1090" s="216" t="s">
        <v>3532</v>
      </c>
      <c r="D1090" s="25"/>
      <c r="E1090" s="216">
        <v>1.0</v>
      </c>
      <c r="F1090" s="216">
        <v>1.0</v>
      </c>
      <c r="G1090" s="217"/>
      <c r="H1090" s="25"/>
    </row>
    <row r="1091">
      <c r="A1091" s="216">
        <v>1.06811E7</v>
      </c>
      <c r="B1091" s="216" t="s">
        <v>3041</v>
      </c>
      <c r="C1091" s="216" t="s">
        <v>3542</v>
      </c>
      <c r="D1091" s="25"/>
      <c r="E1091" s="216" t="s">
        <v>2730</v>
      </c>
      <c r="F1091" s="216" t="s">
        <v>2730</v>
      </c>
      <c r="G1091" s="217"/>
      <c r="H1091" s="25"/>
    </row>
    <row r="1092">
      <c r="A1092" s="216">
        <v>1.0601102E7</v>
      </c>
      <c r="B1092" s="216" t="s">
        <v>3039</v>
      </c>
      <c r="C1092" s="216" t="s">
        <v>3542</v>
      </c>
      <c r="D1092" s="25"/>
      <c r="E1092" s="216" t="s">
        <v>2730</v>
      </c>
      <c r="F1092" s="216" t="s">
        <v>2730</v>
      </c>
      <c r="G1092" s="217"/>
      <c r="H1092" s="25"/>
    </row>
    <row r="1093">
      <c r="A1093" s="216">
        <v>1.06812E7</v>
      </c>
      <c r="B1093" s="216" t="s">
        <v>3041</v>
      </c>
      <c r="C1093" s="216" t="s">
        <v>3542</v>
      </c>
      <c r="D1093" s="25"/>
      <c r="E1093" s="216" t="s">
        <v>2730</v>
      </c>
      <c r="F1093" s="216" t="s">
        <v>2730</v>
      </c>
      <c r="G1093" s="217"/>
      <c r="H1093" s="25"/>
    </row>
    <row r="1094">
      <c r="A1094" s="216">
        <v>1.0601202E7</v>
      </c>
      <c r="B1094" s="216" t="s">
        <v>3039</v>
      </c>
      <c r="C1094" s="216" t="s">
        <v>3542</v>
      </c>
      <c r="D1094" s="25"/>
      <c r="E1094" s="216" t="s">
        <v>2730</v>
      </c>
      <c r="F1094" s="216" t="s">
        <v>2730</v>
      </c>
      <c r="G1094" s="217"/>
      <c r="H1094" s="25"/>
    </row>
    <row r="1095">
      <c r="A1095" s="216">
        <v>1.06813E7</v>
      </c>
      <c r="B1095" s="216" t="s">
        <v>3041</v>
      </c>
      <c r="C1095" s="216" t="s">
        <v>3542</v>
      </c>
      <c r="D1095" s="25"/>
      <c r="E1095" s="216" t="s">
        <v>2730</v>
      </c>
      <c r="F1095" s="216" t="s">
        <v>2730</v>
      </c>
      <c r="G1095" s="217"/>
      <c r="H1095" s="25"/>
    </row>
    <row r="1096">
      <c r="A1096" s="216">
        <v>1.0601302E7</v>
      </c>
      <c r="B1096" s="216" t="s">
        <v>3039</v>
      </c>
      <c r="C1096" s="216" t="s">
        <v>3542</v>
      </c>
      <c r="D1096" s="25"/>
      <c r="E1096" s="216" t="s">
        <v>2730</v>
      </c>
      <c r="F1096" s="216" t="s">
        <v>2730</v>
      </c>
      <c r="G1096" s="217"/>
      <c r="H1096" s="25"/>
    </row>
    <row r="1097">
      <c r="A1097" s="216">
        <v>1.0685E7</v>
      </c>
      <c r="B1097" s="216" t="s">
        <v>3043</v>
      </c>
      <c r="C1097" s="216" t="s">
        <v>3542</v>
      </c>
      <c r="D1097" s="25"/>
      <c r="E1097" s="216">
        <v>1.0</v>
      </c>
      <c r="F1097" s="216">
        <v>1.0</v>
      </c>
      <c r="G1097" s="217"/>
      <c r="H1097" s="25"/>
    </row>
    <row r="1098">
      <c r="A1098" s="216">
        <v>1.068501E7</v>
      </c>
      <c r="B1098" s="216" t="s">
        <v>3533</v>
      </c>
      <c r="C1098" s="216" t="s">
        <v>3542</v>
      </c>
      <c r="D1098" s="25"/>
      <c r="E1098" s="216">
        <v>9.0</v>
      </c>
      <c r="F1098" s="216">
        <v>9.0</v>
      </c>
      <c r="G1098" s="217"/>
      <c r="H1098" s="25"/>
    </row>
    <row r="1099">
      <c r="A1099" s="216">
        <v>1.0685011E7</v>
      </c>
      <c r="B1099" s="216" t="s">
        <v>3534</v>
      </c>
      <c r="C1099" s="216" t="s">
        <v>3542</v>
      </c>
      <c r="D1099" s="25"/>
      <c r="E1099" s="216">
        <v>0.0</v>
      </c>
      <c r="F1099" s="216">
        <v>0.0</v>
      </c>
      <c r="G1099" s="217"/>
      <c r="H1099" s="25"/>
    </row>
    <row r="1100">
      <c r="A1100" s="216">
        <v>1.0685012E7</v>
      </c>
      <c r="B1100" s="216" t="s">
        <v>3535</v>
      </c>
      <c r="C1100" s="216" t="s">
        <v>3542</v>
      </c>
      <c r="D1100" s="25"/>
      <c r="E1100" s="216">
        <v>0.0</v>
      </c>
      <c r="F1100" s="216">
        <v>0.0</v>
      </c>
      <c r="G1100" s="217"/>
      <c r="H1100" s="25"/>
    </row>
    <row r="1101">
      <c r="A1101" s="216">
        <v>1.0685013E7</v>
      </c>
      <c r="B1101" s="216" t="s">
        <v>3066</v>
      </c>
      <c r="C1101" s="216" t="s">
        <v>3542</v>
      </c>
      <c r="D1101" s="25"/>
      <c r="E1101" s="216">
        <v>0.0</v>
      </c>
      <c r="F1101" s="216">
        <v>0.0</v>
      </c>
      <c r="G1101" s="217"/>
      <c r="H1101" s="25"/>
    </row>
    <row r="1102">
      <c r="A1102" s="216">
        <v>1.0685014E7</v>
      </c>
      <c r="B1102" s="216" t="s">
        <v>3543</v>
      </c>
      <c r="C1102" s="216" t="s">
        <v>3542</v>
      </c>
      <c r="D1102" s="25"/>
      <c r="E1102" s="216">
        <v>9.0</v>
      </c>
      <c r="F1102" s="216">
        <v>9.0</v>
      </c>
      <c r="G1102" s="217"/>
      <c r="H1102" s="25"/>
    </row>
    <row r="1103">
      <c r="A1103" s="216">
        <v>1.0685015E7</v>
      </c>
      <c r="B1103" s="216" t="s">
        <v>3544</v>
      </c>
      <c r="C1103" s="216" t="s">
        <v>3542</v>
      </c>
      <c r="D1103" s="25"/>
      <c r="E1103" s="216">
        <v>0.0</v>
      </c>
      <c r="F1103" s="216">
        <v>0.0</v>
      </c>
      <c r="G1103" s="217"/>
      <c r="H1103" s="25"/>
    </row>
    <row r="1104">
      <c r="A1104" s="216">
        <v>1.0685016E7</v>
      </c>
      <c r="B1104" s="216" t="s">
        <v>3114</v>
      </c>
      <c r="C1104" s="216" t="s">
        <v>3542</v>
      </c>
      <c r="D1104" s="25"/>
      <c r="E1104" s="216">
        <v>0.0</v>
      </c>
      <c r="F1104" s="216">
        <v>0.0</v>
      </c>
      <c r="G1104" s="217"/>
      <c r="H1104" s="25"/>
    </row>
    <row r="1105">
      <c r="A1105" s="216">
        <v>1.0685017E7</v>
      </c>
      <c r="B1105" s="216" t="s">
        <v>3545</v>
      </c>
      <c r="C1105" s="216" t="s">
        <v>3542</v>
      </c>
      <c r="D1105" s="25"/>
      <c r="E1105" s="216">
        <v>0.0</v>
      </c>
      <c r="F1105" s="216">
        <v>0.0</v>
      </c>
      <c r="G1105" s="217"/>
      <c r="H1105" s="25"/>
    </row>
    <row r="1106">
      <c r="A1106" s="216">
        <v>1.0685018E7</v>
      </c>
      <c r="B1106" s="216" t="s">
        <v>3546</v>
      </c>
      <c r="C1106" s="216" t="s">
        <v>3542</v>
      </c>
      <c r="D1106" s="25"/>
      <c r="E1106" s="216">
        <v>0.0</v>
      </c>
      <c r="F1106" s="216">
        <v>0.0</v>
      </c>
      <c r="G1106" s="217"/>
      <c r="H1106" s="25"/>
    </row>
    <row r="1107">
      <c r="A1107" s="216">
        <v>1.0685019E7</v>
      </c>
      <c r="B1107" s="216" t="s">
        <v>3547</v>
      </c>
      <c r="C1107" s="216" t="s">
        <v>3542</v>
      </c>
      <c r="D1107" s="25"/>
      <c r="E1107" s="216">
        <v>0.0</v>
      </c>
      <c r="F1107" s="216">
        <v>0.0</v>
      </c>
      <c r="G1107" s="217"/>
      <c r="H1107" s="25"/>
    </row>
    <row r="1108">
      <c r="A1108" s="216">
        <v>1.068502E7</v>
      </c>
      <c r="B1108" s="216" t="s">
        <v>3548</v>
      </c>
      <c r="C1108" s="216" t="s">
        <v>3542</v>
      </c>
      <c r="D1108" s="25"/>
      <c r="E1108" s="216">
        <v>0.0</v>
      </c>
      <c r="F1108" s="216">
        <v>0.0</v>
      </c>
      <c r="G1108" s="217"/>
      <c r="H1108" s="25"/>
    </row>
    <row r="1109">
      <c r="A1109" s="216">
        <v>1.0685021E7</v>
      </c>
      <c r="B1109" s="216" t="s">
        <v>3115</v>
      </c>
      <c r="C1109" s="216" t="s">
        <v>3542</v>
      </c>
      <c r="D1109" s="25"/>
      <c r="E1109" s="216">
        <v>0.0</v>
      </c>
      <c r="F1109" s="216">
        <v>0.0</v>
      </c>
      <c r="G1109" s="217"/>
      <c r="H1109" s="25"/>
    </row>
    <row r="1110">
      <c r="A1110" s="216">
        <v>1.0685022E7</v>
      </c>
      <c r="B1110" s="216" t="s">
        <v>3549</v>
      </c>
      <c r="C1110" s="216" t="s">
        <v>3542</v>
      </c>
      <c r="D1110" s="25"/>
      <c r="E1110" s="216">
        <v>0.0</v>
      </c>
      <c r="F1110" s="216">
        <v>0.0</v>
      </c>
      <c r="G1110" s="217"/>
      <c r="H1110" s="25"/>
    </row>
    <row r="1111">
      <c r="A1111" s="216">
        <v>1.0685023E7</v>
      </c>
      <c r="B1111" s="216" t="s">
        <v>3550</v>
      </c>
      <c r="C1111" s="216" t="s">
        <v>3542</v>
      </c>
      <c r="D1111" s="25"/>
      <c r="E1111" s="216">
        <v>-2048.0</v>
      </c>
      <c r="F1111" s="216">
        <v>-2048.0</v>
      </c>
      <c r="G1111" s="217"/>
      <c r="H1111" s="25"/>
    </row>
    <row r="1112">
      <c r="A1112" s="216">
        <v>1.0685024E7</v>
      </c>
      <c r="B1112" s="216" t="s">
        <v>3551</v>
      </c>
      <c r="C1112" s="216" t="s">
        <v>3542</v>
      </c>
      <c r="D1112" s="25"/>
      <c r="E1112" s="216">
        <v>0.0</v>
      </c>
      <c r="F1112" s="216">
        <v>0.0</v>
      </c>
      <c r="G1112" s="217"/>
      <c r="H1112" s="25"/>
    </row>
    <row r="1113">
      <c r="A1113" s="216">
        <v>1.0685025E7</v>
      </c>
      <c r="B1113" s="216" t="s">
        <v>3552</v>
      </c>
      <c r="C1113" s="216" t="s">
        <v>3542</v>
      </c>
      <c r="D1113" s="25"/>
      <c r="E1113" s="216">
        <v>0.0</v>
      </c>
      <c r="F1113" s="216">
        <v>0.0</v>
      </c>
      <c r="G1113" s="217"/>
      <c r="H1113" s="25"/>
    </row>
    <row r="1114">
      <c r="A1114" s="216">
        <v>1.0685026E7</v>
      </c>
      <c r="B1114" s="216" t="s">
        <v>3553</v>
      </c>
      <c r="C1114" s="216" t="s">
        <v>3542</v>
      </c>
      <c r="D1114" s="25"/>
      <c r="E1114" s="216">
        <v>0.0</v>
      </c>
      <c r="F1114" s="216">
        <v>0.0</v>
      </c>
      <c r="G1114" s="217"/>
      <c r="H1114" s="25"/>
    </row>
    <row r="1115">
      <c r="A1115" s="216">
        <v>1.0685027E7</v>
      </c>
      <c r="B1115" s="216" t="s">
        <v>3554</v>
      </c>
      <c r="C1115" s="216" t="s">
        <v>3542</v>
      </c>
      <c r="D1115" s="25"/>
      <c r="E1115" s="216">
        <v>0.0</v>
      </c>
      <c r="F1115" s="216">
        <v>0.0</v>
      </c>
      <c r="G1115" s="217"/>
      <c r="H1115" s="25"/>
    </row>
    <row r="1116">
      <c r="A1116" s="216">
        <v>1.0685028E7</v>
      </c>
      <c r="B1116" s="216" t="s">
        <v>3116</v>
      </c>
      <c r="C1116" s="216" t="s">
        <v>3542</v>
      </c>
      <c r="D1116" s="25"/>
      <c r="E1116" s="216">
        <v>0.0</v>
      </c>
      <c r="F1116" s="216">
        <v>0.0</v>
      </c>
      <c r="G1116" s="217"/>
      <c r="H1116" s="25"/>
    </row>
    <row r="1117">
      <c r="A1117" s="216">
        <v>1.0685029E7</v>
      </c>
      <c r="B1117" s="216" t="s">
        <v>3555</v>
      </c>
      <c r="C1117" s="216" t="s">
        <v>3542</v>
      </c>
      <c r="D1117" s="25"/>
      <c r="E1117" s="216">
        <v>0.0</v>
      </c>
      <c r="F1117" s="216">
        <v>0.0</v>
      </c>
      <c r="G1117" s="217"/>
      <c r="H1117" s="25"/>
    </row>
    <row r="1118">
      <c r="A1118" s="216">
        <v>1.068504E7</v>
      </c>
      <c r="B1118" s="216" t="s">
        <v>3536</v>
      </c>
      <c r="C1118" s="216" t="s">
        <v>3542</v>
      </c>
      <c r="D1118" s="25"/>
      <c r="E1118" s="216">
        <v>9.0</v>
      </c>
      <c r="F1118" s="216">
        <v>9.0</v>
      </c>
      <c r="G1118" s="217"/>
      <c r="H1118" s="25"/>
    </row>
    <row r="1119">
      <c r="A1119" s="216">
        <v>1.0685041E7</v>
      </c>
      <c r="B1119" s="216" t="s">
        <v>3537</v>
      </c>
      <c r="C1119" s="216" t="s">
        <v>3542</v>
      </c>
      <c r="D1119" s="25"/>
      <c r="E1119" s="216">
        <v>0.0</v>
      </c>
      <c r="F1119" s="216">
        <v>0.0</v>
      </c>
      <c r="G1119" s="217"/>
      <c r="H1119" s="25"/>
    </row>
    <row r="1120">
      <c r="A1120" s="216">
        <v>1.0685042E7</v>
      </c>
      <c r="B1120" s="216" t="s">
        <v>3538</v>
      </c>
      <c r="C1120" s="216" t="s">
        <v>3542</v>
      </c>
      <c r="D1120" s="25"/>
      <c r="E1120" s="216">
        <v>0.0</v>
      </c>
      <c r="F1120" s="216">
        <v>0.0</v>
      </c>
      <c r="G1120" s="217"/>
      <c r="H1120" s="25"/>
    </row>
    <row r="1121">
      <c r="A1121" s="216">
        <v>1.0685043E7</v>
      </c>
      <c r="B1121" s="216" t="s">
        <v>3089</v>
      </c>
      <c r="C1121" s="216" t="s">
        <v>3542</v>
      </c>
      <c r="D1121" s="25"/>
      <c r="E1121" s="216">
        <v>0.0</v>
      </c>
      <c r="F1121" s="216">
        <v>0.0</v>
      </c>
      <c r="G1121" s="217"/>
      <c r="H1121" s="25"/>
    </row>
    <row r="1122">
      <c r="A1122" s="216">
        <v>1.0685044E7</v>
      </c>
      <c r="B1122" s="216" t="s">
        <v>3556</v>
      </c>
      <c r="C1122" s="216" t="s">
        <v>3542</v>
      </c>
      <c r="D1122" s="25"/>
      <c r="E1122" s="216">
        <v>9.0</v>
      </c>
      <c r="F1122" s="216">
        <v>9.0</v>
      </c>
      <c r="G1122" s="217"/>
      <c r="H1122" s="25"/>
    </row>
    <row r="1123">
      <c r="A1123" s="216">
        <v>1.0685045E7</v>
      </c>
      <c r="B1123" s="216" t="s">
        <v>3557</v>
      </c>
      <c r="C1123" s="216" t="s">
        <v>3542</v>
      </c>
      <c r="D1123" s="25"/>
      <c r="E1123" s="216">
        <v>0.0</v>
      </c>
      <c r="F1123" s="216">
        <v>0.0</v>
      </c>
      <c r="G1123" s="217"/>
      <c r="H1123" s="25"/>
    </row>
    <row r="1124">
      <c r="A1124" s="216">
        <v>1.0685046E7</v>
      </c>
      <c r="B1124" s="216" t="s">
        <v>3117</v>
      </c>
      <c r="C1124" s="216" t="s">
        <v>3542</v>
      </c>
      <c r="D1124" s="25"/>
      <c r="E1124" s="216">
        <v>0.0</v>
      </c>
      <c r="F1124" s="216">
        <v>0.0</v>
      </c>
      <c r="G1124" s="217"/>
      <c r="H1124" s="25"/>
    </row>
    <row r="1125">
      <c r="A1125" s="216">
        <v>1.0685047E7</v>
      </c>
      <c r="B1125" s="216" t="s">
        <v>3558</v>
      </c>
      <c r="C1125" s="216" t="s">
        <v>3542</v>
      </c>
      <c r="D1125" s="25"/>
      <c r="E1125" s="216">
        <v>0.0</v>
      </c>
      <c r="F1125" s="216">
        <v>0.0</v>
      </c>
      <c r="G1125" s="217"/>
      <c r="H1125" s="25"/>
    </row>
    <row r="1126">
      <c r="A1126" s="216">
        <v>1.0685048E7</v>
      </c>
      <c r="B1126" s="216" t="s">
        <v>3559</v>
      </c>
      <c r="C1126" s="216" t="s">
        <v>3542</v>
      </c>
      <c r="D1126" s="25"/>
      <c r="E1126" s="216">
        <v>0.0</v>
      </c>
      <c r="F1126" s="216">
        <v>0.0</v>
      </c>
      <c r="G1126" s="217"/>
      <c r="H1126" s="25"/>
    </row>
    <row r="1127">
      <c r="A1127" s="216">
        <v>1.0685049E7</v>
      </c>
      <c r="B1127" s="216" t="s">
        <v>3560</v>
      </c>
      <c r="C1127" s="216" t="s">
        <v>3542</v>
      </c>
      <c r="D1127" s="25"/>
      <c r="E1127" s="216">
        <v>0.0</v>
      </c>
      <c r="F1127" s="216">
        <v>0.0</v>
      </c>
      <c r="G1127" s="217"/>
      <c r="H1127" s="25"/>
    </row>
    <row r="1128">
      <c r="A1128" s="216">
        <v>1.068505E7</v>
      </c>
      <c r="B1128" s="216" t="s">
        <v>3561</v>
      </c>
      <c r="C1128" s="216" t="s">
        <v>3542</v>
      </c>
      <c r="D1128" s="25"/>
      <c r="E1128" s="216">
        <v>0.0</v>
      </c>
      <c r="F1128" s="216">
        <v>0.0</v>
      </c>
      <c r="G1128" s="217"/>
      <c r="H1128" s="25"/>
    </row>
    <row r="1129">
      <c r="A1129" s="216">
        <v>1.0685051E7</v>
      </c>
      <c r="B1129" s="216" t="s">
        <v>3118</v>
      </c>
      <c r="C1129" s="216" t="s">
        <v>3542</v>
      </c>
      <c r="D1129" s="25"/>
      <c r="E1129" s="216">
        <v>0.0</v>
      </c>
      <c r="F1129" s="216">
        <v>0.0</v>
      </c>
      <c r="G1129" s="217"/>
      <c r="H1129" s="25"/>
    </row>
    <row r="1130">
      <c r="A1130" s="216">
        <v>1.0685052E7</v>
      </c>
      <c r="B1130" s="216" t="s">
        <v>3562</v>
      </c>
      <c r="C1130" s="216" t="s">
        <v>3542</v>
      </c>
      <c r="D1130" s="25"/>
      <c r="E1130" s="216">
        <v>0.0</v>
      </c>
      <c r="F1130" s="216">
        <v>0.0</v>
      </c>
      <c r="G1130" s="217"/>
      <c r="H1130" s="25"/>
    </row>
    <row r="1131">
      <c r="A1131" s="216">
        <v>1.0685053E7</v>
      </c>
      <c r="B1131" s="216" t="s">
        <v>3563</v>
      </c>
      <c r="C1131" s="216" t="s">
        <v>3542</v>
      </c>
      <c r="D1131" s="25"/>
      <c r="E1131" s="216">
        <v>-2048.0</v>
      </c>
      <c r="F1131" s="216">
        <v>-2048.0</v>
      </c>
      <c r="G1131" s="217"/>
      <c r="H1131" s="25"/>
    </row>
    <row r="1132">
      <c r="A1132" s="216">
        <v>1.0685054E7</v>
      </c>
      <c r="B1132" s="216" t="s">
        <v>3564</v>
      </c>
      <c r="C1132" s="216" t="s">
        <v>3542</v>
      </c>
      <c r="D1132" s="25"/>
      <c r="E1132" s="216">
        <v>0.0</v>
      </c>
      <c r="F1132" s="216">
        <v>0.0</v>
      </c>
      <c r="G1132" s="217"/>
      <c r="H1132" s="25"/>
    </row>
    <row r="1133">
      <c r="A1133" s="216">
        <v>1.0685055E7</v>
      </c>
      <c r="B1133" s="216" t="s">
        <v>3565</v>
      </c>
      <c r="C1133" s="216" t="s">
        <v>3542</v>
      </c>
      <c r="D1133" s="25"/>
      <c r="E1133" s="216">
        <v>0.0</v>
      </c>
      <c r="F1133" s="216">
        <v>0.0</v>
      </c>
      <c r="G1133" s="217"/>
      <c r="H1133" s="25"/>
    </row>
    <row r="1134">
      <c r="A1134" s="216">
        <v>1.0685056E7</v>
      </c>
      <c r="B1134" s="216" t="s">
        <v>3566</v>
      </c>
      <c r="C1134" s="216" t="s">
        <v>3542</v>
      </c>
      <c r="D1134" s="25"/>
      <c r="E1134" s="216">
        <v>0.0</v>
      </c>
      <c r="F1134" s="216">
        <v>0.0</v>
      </c>
      <c r="G1134" s="217"/>
      <c r="H1134" s="25"/>
    </row>
    <row r="1135">
      <c r="A1135" s="216">
        <v>1.0685057E7</v>
      </c>
      <c r="B1135" s="216" t="s">
        <v>3567</v>
      </c>
      <c r="C1135" s="216" t="s">
        <v>3542</v>
      </c>
      <c r="D1135" s="25"/>
      <c r="E1135" s="216">
        <v>0.0</v>
      </c>
      <c r="F1135" s="216">
        <v>0.0</v>
      </c>
      <c r="G1135" s="217"/>
      <c r="H1135" s="25"/>
    </row>
    <row r="1136">
      <c r="A1136" s="216">
        <v>1.0685058E7</v>
      </c>
      <c r="B1136" s="216" t="s">
        <v>3119</v>
      </c>
      <c r="C1136" s="216" t="s">
        <v>3542</v>
      </c>
      <c r="D1136" s="25"/>
      <c r="E1136" s="216">
        <v>0.0</v>
      </c>
      <c r="F1136" s="216">
        <v>0.0</v>
      </c>
      <c r="G1136" s="217"/>
      <c r="H1136" s="25"/>
    </row>
    <row r="1137">
      <c r="A1137" s="216">
        <v>1.0685059E7</v>
      </c>
      <c r="B1137" s="216" t="s">
        <v>3568</v>
      </c>
      <c r="C1137" s="216" t="s">
        <v>3542</v>
      </c>
      <c r="D1137" s="25"/>
      <c r="E1137" s="216">
        <v>0.0</v>
      </c>
      <c r="F1137" s="216">
        <v>0.0</v>
      </c>
      <c r="G1137" s="217"/>
      <c r="H1137" s="25"/>
    </row>
    <row r="1138">
      <c r="A1138" s="216">
        <v>1.068507E7</v>
      </c>
      <c r="B1138" s="216" t="s">
        <v>3539</v>
      </c>
      <c r="C1138" s="216" t="s">
        <v>3542</v>
      </c>
      <c r="D1138" s="25"/>
      <c r="E1138" s="216">
        <v>1.0</v>
      </c>
      <c r="F1138" s="216">
        <v>1.0</v>
      </c>
      <c r="G1138" s="217"/>
      <c r="H1138" s="25"/>
    </row>
    <row r="1139">
      <c r="A1139" s="216">
        <v>1.0685071E7</v>
      </c>
      <c r="B1139" s="216" t="s">
        <v>3540</v>
      </c>
      <c r="C1139" s="216" t="s">
        <v>3542</v>
      </c>
      <c r="D1139" s="25"/>
      <c r="E1139" s="216">
        <v>1.0</v>
      </c>
      <c r="F1139" s="216">
        <v>1.0</v>
      </c>
      <c r="G1139" s="217"/>
      <c r="H1139" s="25"/>
    </row>
    <row r="1140">
      <c r="A1140" s="216">
        <v>1.0685072E7</v>
      </c>
      <c r="B1140" s="216" t="s">
        <v>3541</v>
      </c>
      <c r="C1140" s="216" t="s">
        <v>3542</v>
      </c>
      <c r="D1140" s="25"/>
      <c r="E1140" s="216">
        <v>1.0</v>
      </c>
      <c r="F1140" s="216">
        <v>1.0</v>
      </c>
      <c r="G1140" s="217"/>
      <c r="H1140" s="25"/>
    </row>
    <row r="1141">
      <c r="A1141" s="216">
        <v>1.0685073E7</v>
      </c>
      <c r="B1141" s="216" t="s">
        <v>3112</v>
      </c>
      <c r="C1141" s="216" t="s">
        <v>3542</v>
      </c>
      <c r="D1141" s="25"/>
      <c r="E1141" s="216">
        <v>1.0</v>
      </c>
      <c r="F1141" s="216">
        <v>1.0</v>
      </c>
      <c r="G1141" s="217"/>
      <c r="H1141" s="25"/>
    </row>
    <row r="1142">
      <c r="A1142" s="216">
        <v>1.0685074E7</v>
      </c>
      <c r="B1142" s="216" t="s">
        <v>3569</v>
      </c>
      <c r="C1142" s="216" t="s">
        <v>3542</v>
      </c>
      <c r="D1142" s="25"/>
      <c r="E1142" s="216">
        <v>1.0</v>
      </c>
      <c r="F1142" s="216">
        <v>1.0</v>
      </c>
      <c r="G1142" s="217"/>
      <c r="H1142" s="25"/>
    </row>
    <row r="1143">
      <c r="A1143" s="216">
        <v>1.0685075E7</v>
      </c>
      <c r="B1143" s="216" t="s">
        <v>3570</v>
      </c>
      <c r="C1143" s="216" t="s">
        <v>3542</v>
      </c>
      <c r="D1143" s="25"/>
      <c r="E1143" s="216">
        <v>1.0</v>
      </c>
      <c r="F1143" s="216">
        <v>1.0</v>
      </c>
      <c r="G1143" s="217"/>
      <c r="H1143" s="25"/>
    </row>
    <row r="1144">
      <c r="A1144" s="216">
        <v>1.0685076E7</v>
      </c>
      <c r="B1144" s="216" t="s">
        <v>3120</v>
      </c>
      <c r="C1144" s="216" t="s">
        <v>3542</v>
      </c>
      <c r="D1144" s="25"/>
      <c r="E1144" s="216">
        <v>1.0</v>
      </c>
      <c r="F1144" s="216">
        <v>1.0</v>
      </c>
      <c r="G1144" s="217"/>
      <c r="H1144" s="25"/>
    </row>
    <row r="1145">
      <c r="A1145" s="216">
        <v>1.0685077E7</v>
      </c>
      <c r="B1145" s="216" t="s">
        <v>3571</v>
      </c>
      <c r="C1145" s="216" t="s">
        <v>3542</v>
      </c>
      <c r="D1145" s="25"/>
      <c r="E1145" s="216">
        <v>1.0</v>
      </c>
      <c r="F1145" s="216">
        <v>1.0</v>
      </c>
      <c r="G1145" s="217"/>
      <c r="H1145" s="25"/>
    </row>
    <row r="1146">
      <c r="A1146" s="216">
        <v>1.0685078E7</v>
      </c>
      <c r="B1146" s="216" t="s">
        <v>3572</v>
      </c>
      <c r="C1146" s="216" t="s">
        <v>3542</v>
      </c>
      <c r="D1146" s="25"/>
      <c r="E1146" s="216">
        <v>1.0</v>
      </c>
      <c r="F1146" s="216">
        <v>1.0</v>
      </c>
      <c r="G1146" s="217"/>
      <c r="H1146" s="25"/>
    </row>
    <row r="1147">
      <c r="A1147" s="216">
        <v>1.0685079E7</v>
      </c>
      <c r="B1147" s="216" t="s">
        <v>3573</v>
      </c>
      <c r="C1147" s="216" t="s">
        <v>3542</v>
      </c>
      <c r="D1147" s="25"/>
      <c r="E1147" s="216">
        <v>1.0</v>
      </c>
      <c r="F1147" s="216">
        <v>1.0</v>
      </c>
      <c r="G1147" s="217"/>
      <c r="H1147" s="25"/>
    </row>
    <row r="1148">
      <c r="A1148" s="216">
        <v>1.068508E7</v>
      </c>
      <c r="B1148" s="216" t="s">
        <v>3574</v>
      </c>
      <c r="C1148" s="216" t="s">
        <v>3542</v>
      </c>
      <c r="D1148" s="25"/>
      <c r="E1148" s="216">
        <v>1.0</v>
      </c>
      <c r="F1148" s="216">
        <v>1.0</v>
      </c>
      <c r="G1148" s="217"/>
      <c r="H1148" s="25"/>
    </row>
    <row r="1149">
      <c r="A1149" s="216">
        <v>1.0685081E7</v>
      </c>
      <c r="B1149" s="216" t="s">
        <v>3121</v>
      </c>
      <c r="C1149" s="216" t="s">
        <v>3542</v>
      </c>
      <c r="D1149" s="25"/>
      <c r="E1149" s="216">
        <v>1.0</v>
      </c>
      <c r="F1149" s="216">
        <v>1.0</v>
      </c>
      <c r="G1149" s="217"/>
      <c r="H1149" s="25"/>
    </row>
    <row r="1150">
      <c r="A1150" s="216">
        <v>1.0685082E7</v>
      </c>
      <c r="B1150" s="216" t="s">
        <v>3575</v>
      </c>
      <c r="C1150" s="216" t="s">
        <v>3542</v>
      </c>
      <c r="D1150" s="25"/>
      <c r="E1150" s="216">
        <v>1.0</v>
      </c>
      <c r="F1150" s="216">
        <v>1.0</v>
      </c>
      <c r="G1150" s="217"/>
      <c r="H1150" s="25"/>
    </row>
    <row r="1151">
      <c r="A1151" s="216">
        <v>1.0685083E7</v>
      </c>
      <c r="B1151" s="216" t="s">
        <v>3576</v>
      </c>
      <c r="C1151" s="216" t="s">
        <v>3542</v>
      </c>
      <c r="D1151" s="25"/>
      <c r="E1151" s="216">
        <v>1.0</v>
      </c>
      <c r="F1151" s="216">
        <v>1.0</v>
      </c>
      <c r="G1151" s="217"/>
      <c r="H1151" s="25"/>
    </row>
    <row r="1152">
      <c r="A1152" s="216">
        <v>1.0685084E7</v>
      </c>
      <c r="B1152" s="216" t="s">
        <v>3577</v>
      </c>
      <c r="C1152" s="216" t="s">
        <v>3542</v>
      </c>
      <c r="D1152" s="25"/>
      <c r="E1152" s="216">
        <v>1.0</v>
      </c>
      <c r="F1152" s="216">
        <v>1.0</v>
      </c>
      <c r="G1152" s="217"/>
      <c r="H1152" s="25"/>
    </row>
    <row r="1153">
      <c r="A1153" s="216">
        <v>1.0685085E7</v>
      </c>
      <c r="B1153" s="216" t="s">
        <v>3578</v>
      </c>
      <c r="C1153" s="216" t="s">
        <v>3542</v>
      </c>
      <c r="D1153" s="25"/>
      <c r="E1153" s="216">
        <v>1.0</v>
      </c>
      <c r="F1153" s="216">
        <v>1.0</v>
      </c>
      <c r="G1153" s="217"/>
      <c r="H1153" s="25"/>
    </row>
    <row r="1154">
      <c r="A1154" s="216">
        <v>1.0685086E7</v>
      </c>
      <c r="B1154" s="216" t="s">
        <v>3579</v>
      </c>
      <c r="C1154" s="216" t="s">
        <v>3542</v>
      </c>
      <c r="D1154" s="25"/>
      <c r="E1154" s="216">
        <v>1.0</v>
      </c>
      <c r="F1154" s="216">
        <v>1.0</v>
      </c>
      <c r="G1154" s="217"/>
      <c r="H1154" s="25"/>
    </row>
    <row r="1155">
      <c r="A1155" s="216">
        <v>1.0685087E7</v>
      </c>
      <c r="B1155" s="216" t="s">
        <v>3580</v>
      </c>
      <c r="C1155" s="216" t="s">
        <v>3542</v>
      </c>
      <c r="D1155" s="25"/>
      <c r="E1155" s="216">
        <v>1.0</v>
      </c>
      <c r="F1155" s="216">
        <v>1.0</v>
      </c>
      <c r="G1155" s="217"/>
      <c r="H1155" s="25"/>
    </row>
    <row r="1156">
      <c r="A1156" s="216">
        <v>1.0685088E7</v>
      </c>
      <c r="B1156" s="216" t="s">
        <v>3122</v>
      </c>
      <c r="C1156" s="216" t="s">
        <v>3542</v>
      </c>
      <c r="D1156" s="25"/>
      <c r="E1156" s="216">
        <v>1.0</v>
      </c>
      <c r="F1156" s="216">
        <v>1.0</v>
      </c>
      <c r="G1156" s="217"/>
      <c r="H1156" s="25"/>
    </row>
    <row r="1157">
      <c r="A1157" s="216">
        <v>1.0685089E7</v>
      </c>
      <c r="B1157" s="216" t="s">
        <v>3581</v>
      </c>
      <c r="C1157" s="216" t="s">
        <v>3542</v>
      </c>
      <c r="D1157" s="25"/>
      <c r="E1157" s="216">
        <v>1.0</v>
      </c>
      <c r="F1157" s="216">
        <v>1.0</v>
      </c>
      <c r="G1157" s="217"/>
      <c r="H1157" s="25"/>
    </row>
    <row r="1158">
      <c r="A1158" s="217"/>
      <c r="B1158" s="217"/>
      <c r="C1158" s="217"/>
      <c r="D1158" s="25"/>
      <c r="E1158" s="217"/>
      <c r="F1158" s="217"/>
      <c r="G1158" s="217"/>
      <c r="H1158" s="25"/>
    </row>
    <row r="1159">
      <c r="A1159" s="216">
        <v>1.06811E7</v>
      </c>
      <c r="B1159" s="216" t="s">
        <v>3041</v>
      </c>
      <c r="C1159" s="216" t="s">
        <v>3582</v>
      </c>
      <c r="D1159" s="25"/>
      <c r="E1159" s="216" t="s">
        <v>2730</v>
      </c>
      <c r="F1159" s="216" t="s">
        <v>2730</v>
      </c>
      <c r="G1159" s="217"/>
      <c r="H1159" s="25"/>
    </row>
    <row r="1160">
      <c r="A1160" s="216">
        <v>1.0601102E7</v>
      </c>
      <c r="B1160" s="216" t="s">
        <v>3039</v>
      </c>
      <c r="C1160" s="216" t="s">
        <v>3582</v>
      </c>
      <c r="D1160" s="25"/>
      <c r="E1160" s="216" t="s">
        <v>2730</v>
      </c>
      <c r="F1160" s="216" t="s">
        <v>2730</v>
      </c>
      <c r="G1160" s="217"/>
      <c r="H1160" s="25"/>
    </row>
    <row r="1161">
      <c r="A1161" s="216">
        <v>1.06812E7</v>
      </c>
      <c r="B1161" s="216" t="s">
        <v>3041</v>
      </c>
      <c r="C1161" s="216" t="s">
        <v>3582</v>
      </c>
      <c r="D1161" s="25"/>
      <c r="E1161" s="216" t="s">
        <v>2730</v>
      </c>
      <c r="F1161" s="216" t="s">
        <v>2730</v>
      </c>
      <c r="G1161" s="217"/>
      <c r="H1161" s="25"/>
    </row>
    <row r="1162">
      <c r="A1162" s="216">
        <v>1.0601202E7</v>
      </c>
      <c r="B1162" s="216" t="s">
        <v>3039</v>
      </c>
      <c r="C1162" s="216" t="s">
        <v>3582</v>
      </c>
      <c r="D1162" s="25"/>
      <c r="E1162" s="216" t="s">
        <v>2730</v>
      </c>
      <c r="F1162" s="216" t="s">
        <v>2730</v>
      </c>
      <c r="G1162" s="217"/>
      <c r="H1162" s="25"/>
    </row>
    <row r="1163">
      <c r="A1163" s="216">
        <v>1.06813E7</v>
      </c>
      <c r="B1163" s="216" t="s">
        <v>3041</v>
      </c>
      <c r="C1163" s="216" t="s">
        <v>3582</v>
      </c>
      <c r="D1163" s="25"/>
      <c r="E1163" s="216" t="s">
        <v>2730</v>
      </c>
      <c r="F1163" s="216" t="s">
        <v>2730</v>
      </c>
      <c r="G1163" s="217"/>
      <c r="H1163" s="25"/>
    </row>
    <row r="1164">
      <c r="A1164" s="216">
        <v>1.0601302E7</v>
      </c>
      <c r="B1164" s="216" t="s">
        <v>3039</v>
      </c>
      <c r="C1164" s="216" t="s">
        <v>3582</v>
      </c>
      <c r="D1164" s="25"/>
      <c r="E1164" s="216" t="s">
        <v>2730</v>
      </c>
      <c r="F1164" s="216" t="s">
        <v>2730</v>
      </c>
      <c r="G1164" s="217"/>
      <c r="H1164" s="25"/>
    </row>
    <row r="1165">
      <c r="A1165" s="216">
        <v>1.0685E7</v>
      </c>
      <c r="B1165" s="216" t="s">
        <v>3043</v>
      </c>
      <c r="C1165" s="216" t="s">
        <v>3582</v>
      </c>
      <c r="D1165" s="25"/>
      <c r="E1165" s="216">
        <v>1.0</v>
      </c>
      <c r="F1165" s="216">
        <v>1.0</v>
      </c>
      <c r="G1165" s="217"/>
      <c r="H1165" s="25"/>
    </row>
    <row r="1166">
      <c r="A1166" s="216">
        <v>1.068501E7</v>
      </c>
      <c r="B1166" s="216" t="s">
        <v>3543</v>
      </c>
      <c r="C1166" s="216" t="s">
        <v>3582</v>
      </c>
      <c r="D1166" s="25"/>
      <c r="E1166" s="216">
        <v>9.0</v>
      </c>
      <c r="F1166" s="216">
        <v>9.0</v>
      </c>
      <c r="G1166" s="217"/>
      <c r="H1166" s="25"/>
    </row>
    <row r="1167">
      <c r="A1167" s="216">
        <v>1.0685011E7</v>
      </c>
      <c r="B1167" s="216" t="s">
        <v>3544</v>
      </c>
      <c r="C1167" s="216" t="s">
        <v>3582</v>
      </c>
      <c r="D1167" s="25"/>
      <c r="E1167" s="216">
        <v>0.0</v>
      </c>
      <c r="F1167" s="216">
        <v>0.0</v>
      </c>
      <c r="G1167" s="217"/>
      <c r="H1167" s="25"/>
    </row>
    <row r="1168">
      <c r="A1168" s="216">
        <v>1.0685012E7</v>
      </c>
      <c r="B1168" s="216" t="s">
        <v>3114</v>
      </c>
      <c r="C1168" s="216" t="s">
        <v>3582</v>
      </c>
      <c r="D1168" s="25"/>
      <c r="E1168" s="216">
        <v>0.0</v>
      </c>
      <c r="F1168" s="216">
        <v>0.0</v>
      </c>
      <c r="G1168" s="217"/>
      <c r="H1168" s="25"/>
    </row>
    <row r="1169">
      <c r="A1169" s="216">
        <v>1.0685013E7</v>
      </c>
      <c r="B1169" s="216" t="s">
        <v>3545</v>
      </c>
      <c r="C1169" s="216" t="s">
        <v>3582</v>
      </c>
      <c r="D1169" s="25"/>
      <c r="E1169" s="216">
        <v>0.0</v>
      </c>
      <c r="F1169" s="216">
        <v>0.0</v>
      </c>
      <c r="G1169" s="217"/>
      <c r="H1169" s="25"/>
    </row>
    <row r="1170">
      <c r="A1170" s="216">
        <v>1.0685014E7</v>
      </c>
      <c r="B1170" s="216" t="s">
        <v>3546</v>
      </c>
      <c r="C1170" s="216" t="s">
        <v>3582</v>
      </c>
      <c r="D1170" s="25"/>
      <c r="E1170" s="216">
        <v>0.0</v>
      </c>
      <c r="F1170" s="216">
        <v>0.0</v>
      </c>
      <c r="G1170" s="217"/>
      <c r="H1170" s="25"/>
    </row>
    <row r="1171">
      <c r="A1171" s="216">
        <v>1.0685015E7</v>
      </c>
      <c r="B1171" s="216" t="s">
        <v>3547</v>
      </c>
      <c r="C1171" s="216" t="s">
        <v>3582</v>
      </c>
      <c r="D1171" s="25"/>
      <c r="E1171" s="216">
        <v>0.0</v>
      </c>
      <c r="F1171" s="216">
        <v>0.0</v>
      </c>
      <c r="G1171" s="217"/>
      <c r="H1171" s="25"/>
    </row>
    <row r="1172">
      <c r="A1172" s="216">
        <v>1.0685016E7</v>
      </c>
      <c r="B1172" s="216" t="s">
        <v>3548</v>
      </c>
      <c r="C1172" s="216" t="s">
        <v>3582</v>
      </c>
      <c r="D1172" s="25"/>
      <c r="E1172" s="216">
        <v>0.0</v>
      </c>
      <c r="F1172" s="216">
        <v>0.0</v>
      </c>
      <c r="G1172" s="217"/>
      <c r="H1172" s="25"/>
    </row>
    <row r="1173">
      <c r="A1173" s="216">
        <v>1.0685017E7</v>
      </c>
      <c r="B1173" s="216" t="s">
        <v>3115</v>
      </c>
      <c r="C1173" s="216" t="s">
        <v>3582</v>
      </c>
      <c r="D1173" s="25"/>
      <c r="E1173" s="216">
        <v>0.0</v>
      </c>
      <c r="F1173" s="216">
        <v>0.0</v>
      </c>
      <c r="G1173" s="217"/>
      <c r="H1173" s="25"/>
    </row>
    <row r="1174">
      <c r="A1174" s="216">
        <v>1.0685018E7</v>
      </c>
      <c r="B1174" s="216" t="s">
        <v>3549</v>
      </c>
      <c r="C1174" s="216" t="s">
        <v>3582</v>
      </c>
      <c r="D1174" s="25"/>
      <c r="E1174" s="216">
        <v>0.0</v>
      </c>
      <c r="F1174" s="216">
        <v>0.0</v>
      </c>
      <c r="G1174" s="217"/>
      <c r="H1174" s="25"/>
    </row>
    <row r="1175">
      <c r="A1175" s="216">
        <v>1.0685019E7</v>
      </c>
      <c r="B1175" s="216" t="s">
        <v>3550</v>
      </c>
      <c r="C1175" s="216" t="s">
        <v>3582</v>
      </c>
      <c r="D1175" s="25"/>
      <c r="E1175" s="216">
        <v>-2048.0</v>
      </c>
      <c r="F1175" s="216">
        <v>-2048.0</v>
      </c>
      <c r="G1175" s="217"/>
      <c r="H1175" s="25"/>
    </row>
    <row r="1176">
      <c r="A1176" s="216">
        <v>1.068502E7</v>
      </c>
      <c r="B1176" s="216" t="s">
        <v>3551</v>
      </c>
      <c r="C1176" s="216" t="s">
        <v>3582</v>
      </c>
      <c r="D1176" s="25"/>
      <c r="E1176" s="216">
        <v>0.0</v>
      </c>
      <c r="F1176" s="216">
        <v>0.0</v>
      </c>
      <c r="G1176" s="217"/>
      <c r="H1176" s="25"/>
    </row>
    <row r="1177">
      <c r="A1177" s="216">
        <v>1.0685021E7</v>
      </c>
      <c r="B1177" s="216" t="s">
        <v>3552</v>
      </c>
      <c r="C1177" s="216" t="s">
        <v>3582</v>
      </c>
      <c r="D1177" s="25"/>
      <c r="E1177" s="216">
        <v>0.0</v>
      </c>
      <c r="F1177" s="216">
        <v>0.0</v>
      </c>
      <c r="G1177" s="217"/>
      <c r="H1177" s="25"/>
    </row>
    <row r="1178">
      <c r="A1178" s="216">
        <v>1.0685022E7</v>
      </c>
      <c r="B1178" s="216" t="s">
        <v>3553</v>
      </c>
      <c r="C1178" s="216" t="s">
        <v>3582</v>
      </c>
      <c r="D1178" s="25"/>
      <c r="E1178" s="216">
        <v>0.0</v>
      </c>
      <c r="F1178" s="216">
        <v>0.0</v>
      </c>
      <c r="G1178" s="217"/>
      <c r="H1178" s="25"/>
    </row>
    <row r="1179">
      <c r="A1179" s="216">
        <v>1.0685023E7</v>
      </c>
      <c r="B1179" s="216" t="s">
        <v>3554</v>
      </c>
      <c r="C1179" s="216" t="s">
        <v>3582</v>
      </c>
      <c r="D1179" s="25"/>
      <c r="E1179" s="216">
        <v>0.0</v>
      </c>
      <c r="F1179" s="216">
        <v>0.0</v>
      </c>
      <c r="G1179" s="217"/>
      <c r="H1179" s="25"/>
    </row>
    <row r="1180">
      <c r="A1180" s="216">
        <v>1.0685024E7</v>
      </c>
      <c r="B1180" s="216" t="s">
        <v>3116</v>
      </c>
      <c r="C1180" s="216" t="s">
        <v>3582</v>
      </c>
      <c r="D1180" s="25"/>
      <c r="E1180" s="216">
        <v>0.0</v>
      </c>
      <c r="F1180" s="216">
        <v>0.0</v>
      </c>
      <c r="G1180" s="217"/>
      <c r="H1180" s="25"/>
    </row>
    <row r="1181">
      <c r="A1181" s="216">
        <v>1.0685025E7</v>
      </c>
      <c r="B1181" s="216" t="s">
        <v>3555</v>
      </c>
      <c r="C1181" s="216" t="s">
        <v>3582</v>
      </c>
      <c r="D1181" s="25"/>
      <c r="E1181" s="216">
        <v>0.0</v>
      </c>
      <c r="F1181" s="216">
        <v>0.0</v>
      </c>
      <c r="G1181" s="217"/>
      <c r="H1181" s="25"/>
    </row>
    <row r="1182">
      <c r="A1182" s="216">
        <v>1.068504E7</v>
      </c>
      <c r="B1182" s="216" t="s">
        <v>3556</v>
      </c>
      <c r="C1182" s="216" t="s">
        <v>3582</v>
      </c>
      <c r="D1182" s="25"/>
      <c r="E1182" s="216">
        <v>9.0</v>
      </c>
      <c r="F1182" s="216">
        <v>9.0</v>
      </c>
      <c r="G1182" s="217"/>
      <c r="H1182" s="25"/>
    </row>
    <row r="1183">
      <c r="A1183" s="216">
        <v>1.0685041E7</v>
      </c>
      <c r="B1183" s="216" t="s">
        <v>3557</v>
      </c>
      <c r="C1183" s="216" t="s">
        <v>3582</v>
      </c>
      <c r="D1183" s="25"/>
      <c r="E1183" s="216">
        <v>0.0</v>
      </c>
      <c r="F1183" s="216">
        <v>0.0</v>
      </c>
      <c r="G1183" s="217"/>
      <c r="H1183" s="25"/>
    </row>
    <row r="1184">
      <c r="A1184" s="216">
        <v>1.0685042E7</v>
      </c>
      <c r="B1184" s="216" t="s">
        <v>3117</v>
      </c>
      <c r="C1184" s="216" t="s">
        <v>3582</v>
      </c>
      <c r="D1184" s="25"/>
      <c r="E1184" s="216">
        <v>0.0</v>
      </c>
      <c r="F1184" s="216">
        <v>0.0</v>
      </c>
      <c r="G1184" s="217"/>
      <c r="H1184" s="25"/>
    </row>
    <row r="1185">
      <c r="A1185" s="216">
        <v>1.0685043E7</v>
      </c>
      <c r="B1185" s="216" t="s">
        <v>3558</v>
      </c>
      <c r="C1185" s="216" t="s">
        <v>3582</v>
      </c>
      <c r="D1185" s="25"/>
      <c r="E1185" s="216">
        <v>0.0</v>
      </c>
      <c r="F1185" s="216">
        <v>0.0</v>
      </c>
      <c r="G1185" s="217"/>
      <c r="H1185" s="25"/>
    </row>
    <row r="1186">
      <c r="A1186" s="216">
        <v>1.0685044E7</v>
      </c>
      <c r="B1186" s="216" t="s">
        <v>3559</v>
      </c>
      <c r="C1186" s="216" t="s">
        <v>3582</v>
      </c>
      <c r="D1186" s="25"/>
      <c r="E1186" s="216">
        <v>0.0</v>
      </c>
      <c r="F1186" s="216">
        <v>0.0</v>
      </c>
      <c r="G1186" s="217"/>
      <c r="H1186" s="25"/>
    </row>
    <row r="1187">
      <c r="A1187" s="216">
        <v>1.0685045E7</v>
      </c>
      <c r="B1187" s="216" t="s">
        <v>3560</v>
      </c>
      <c r="C1187" s="216" t="s">
        <v>3582</v>
      </c>
      <c r="D1187" s="25"/>
      <c r="E1187" s="216">
        <v>0.0</v>
      </c>
      <c r="F1187" s="216">
        <v>0.0</v>
      </c>
      <c r="G1187" s="217"/>
      <c r="H1187" s="25"/>
    </row>
    <row r="1188">
      <c r="A1188" s="216">
        <v>1.0685046E7</v>
      </c>
      <c r="B1188" s="216" t="s">
        <v>3561</v>
      </c>
      <c r="C1188" s="216" t="s">
        <v>3582</v>
      </c>
      <c r="D1188" s="25"/>
      <c r="E1188" s="216">
        <v>0.0</v>
      </c>
      <c r="F1188" s="216">
        <v>0.0</v>
      </c>
      <c r="G1188" s="217"/>
      <c r="H1188" s="25"/>
    </row>
    <row r="1189">
      <c r="A1189" s="216">
        <v>1.0685047E7</v>
      </c>
      <c r="B1189" s="216" t="s">
        <v>3118</v>
      </c>
      <c r="C1189" s="216" t="s">
        <v>3582</v>
      </c>
      <c r="D1189" s="25"/>
      <c r="E1189" s="216">
        <v>0.0</v>
      </c>
      <c r="F1189" s="216">
        <v>0.0</v>
      </c>
      <c r="G1189" s="217"/>
      <c r="H1189" s="25"/>
    </row>
    <row r="1190">
      <c r="A1190" s="216">
        <v>1.0685048E7</v>
      </c>
      <c r="B1190" s="216" t="s">
        <v>3562</v>
      </c>
      <c r="C1190" s="216" t="s">
        <v>3582</v>
      </c>
      <c r="D1190" s="25"/>
      <c r="E1190" s="216">
        <v>0.0</v>
      </c>
      <c r="F1190" s="216">
        <v>0.0</v>
      </c>
      <c r="G1190" s="217"/>
      <c r="H1190" s="25"/>
    </row>
    <row r="1191">
      <c r="A1191" s="216">
        <v>1.0685049E7</v>
      </c>
      <c r="B1191" s="216" t="s">
        <v>3563</v>
      </c>
      <c r="C1191" s="216" t="s">
        <v>3582</v>
      </c>
      <c r="D1191" s="25"/>
      <c r="E1191" s="216">
        <v>-2048.0</v>
      </c>
      <c r="F1191" s="216">
        <v>-2048.0</v>
      </c>
      <c r="G1191" s="217"/>
      <c r="H1191" s="25"/>
    </row>
    <row r="1192">
      <c r="A1192" s="216">
        <v>1.068505E7</v>
      </c>
      <c r="B1192" s="216" t="s">
        <v>3564</v>
      </c>
      <c r="C1192" s="216" t="s">
        <v>3582</v>
      </c>
      <c r="D1192" s="25"/>
      <c r="E1192" s="216">
        <v>0.0</v>
      </c>
      <c r="F1192" s="216">
        <v>0.0</v>
      </c>
      <c r="G1192" s="217"/>
      <c r="H1192" s="25"/>
    </row>
    <row r="1193">
      <c r="A1193" s="216">
        <v>1.0685051E7</v>
      </c>
      <c r="B1193" s="216" t="s">
        <v>3565</v>
      </c>
      <c r="C1193" s="216" t="s">
        <v>3582</v>
      </c>
      <c r="D1193" s="25"/>
      <c r="E1193" s="216">
        <v>0.0</v>
      </c>
      <c r="F1193" s="216">
        <v>0.0</v>
      </c>
      <c r="G1193" s="217"/>
      <c r="H1193" s="25"/>
    </row>
    <row r="1194">
      <c r="A1194" s="216">
        <v>1.0685052E7</v>
      </c>
      <c r="B1194" s="216" t="s">
        <v>3566</v>
      </c>
      <c r="C1194" s="216" t="s">
        <v>3582</v>
      </c>
      <c r="D1194" s="25"/>
      <c r="E1194" s="216">
        <v>0.0</v>
      </c>
      <c r="F1194" s="216">
        <v>0.0</v>
      </c>
      <c r="G1194" s="217"/>
      <c r="H1194" s="25"/>
    </row>
    <row r="1195">
      <c r="A1195" s="216">
        <v>1.0685053E7</v>
      </c>
      <c r="B1195" s="216" t="s">
        <v>3567</v>
      </c>
      <c r="C1195" s="216" t="s">
        <v>3582</v>
      </c>
      <c r="D1195" s="25"/>
      <c r="E1195" s="216">
        <v>0.0</v>
      </c>
      <c r="F1195" s="216">
        <v>0.0</v>
      </c>
      <c r="G1195" s="217"/>
      <c r="H1195" s="25"/>
    </row>
    <row r="1196">
      <c r="A1196" s="216">
        <v>1.0685054E7</v>
      </c>
      <c r="B1196" s="216" t="s">
        <v>3119</v>
      </c>
      <c r="C1196" s="216" t="s">
        <v>3582</v>
      </c>
      <c r="D1196" s="25"/>
      <c r="E1196" s="216">
        <v>0.0</v>
      </c>
      <c r="F1196" s="216">
        <v>0.0</v>
      </c>
      <c r="G1196" s="217"/>
      <c r="H1196" s="25"/>
    </row>
    <row r="1197">
      <c r="A1197" s="216">
        <v>1.0685055E7</v>
      </c>
      <c r="B1197" s="216" t="s">
        <v>3568</v>
      </c>
      <c r="C1197" s="216" t="s">
        <v>3582</v>
      </c>
      <c r="D1197" s="25"/>
      <c r="E1197" s="216">
        <v>0.0</v>
      </c>
      <c r="F1197" s="216">
        <v>0.0</v>
      </c>
      <c r="G1197" s="217"/>
      <c r="H1197" s="25"/>
    </row>
    <row r="1198">
      <c r="A1198" s="216">
        <v>1.068507E7</v>
      </c>
      <c r="B1198" s="216" t="s">
        <v>3569</v>
      </c>
      <c r="C1198" s="216" t="s">
        <v>3582</v>
      </c>
      <c r="D1198" s="25"/>
      <c r="E1198" s="216">
        <v>1.0</v>
      </c>
      <c r="F1198" s="216">
        <v>1.0</v>
      </c>
      <c r="G1198" s="217"/>
      <c r="H1198" s="25"/>
    </row>
    <row r="1199">
      <c r="A1199" s="216">
        <v>1.0685071E7</v>
      </c>
      <c r="B1199" s="216" t="s">
        <v>3570</v>
      </c>
      <c r="C1199" s="216" t="s">
        <v>3582</v>
      </c>
      <c r="D1199" s="25"/>
      <c r="E1199" s="216">
        <v>1.0</v>
      </c>
      <c r="F1199" s="216">
        <v>1.0</v>
      </c>
      <c r="G1199" s="217"/>
      <c r="H1199" s="25"/>
    </row>
    <row r="1200">
      <c r="A1200" s="216">
        <v>1.0685072E7</v>
      </c>
      <c r="B1200" s="216" t="s">
        <v>3120</v>
      </c>
      <c r="C1200" s="216" t="s">
        <v>3582</v>
      </c>
      <c r="D1200" s="25"/>
      <c r="E1200" s="216">
        <v>1.0</v>
      </c>
      <c r="F1200" s="216">
        <v>1.0</v>
      </c>
      <c r="G1200" s="217"/>
      <c r="H1200" s="25"/>
    </row>
    <row r="1201">
      <c r="A1201" s="216">
        <v>1.0685073E7</v>
      </c>
      <c r="B1201" s="216" t="s">
        <v>3571</v>
      </c>
      <c r="C1201" s="216" t="s">
        <v>3582</v>
      </c>
      <c r="D1201" s="25"/>
      <c r="E1201" s="216">
        <v>1.0</v>
      </c>
      <c r="F1201" s="216">
        <v>1.0</v>
      </c>
      <c r="G1201" s="217"/>
      <c r="H1201" s="25"/>
    </row>
    <row r="1202">
      <c r="A1202" s="216">
        <v>1.0685074E7</v>
      </c>
      <c r="B1202" s="216" t="s">
        <v>3572</v>
      </c>
      <c r="C1202" s="216" t="s">
        <v>3582</v>
      </c>
      <c r="D1202" s="25"/>
      <c r="E1202" s="216">
        <v>1.0</v>
      </c>
      <c r="F1202" s="216">
        <v>1.0</v>
      </c>
      <c r="G1202" s="217"/>
      <c r="H1202" s="25"/>
    </row>
    <row r="1203">
      <c r="A1203" s="216">
        <v>1.0685075E7</v>
      </c>
      <c r="B1203" s="216" t="s">
        <v>3573</v>
      </c>
      <c r="C1203" s="216" t="s">
        <v>3582</v>
      </c>
      <c r="D1203" s="25"/>
      <c r="E1203" s="216">
        <v>1.0</v>
      </c>
      <c r="F1203" s="216">
        <v>1.0</v>
      </c>
      <c r="G1203" s="217"/>
      <c r="H1203" s="25"/>
    </row>
    <row r="1204">
      <c r="A1204" s="216">
        <v>1.0685076E7</v>
      </c>
      <c r="B1204" s="216" t="s">
        <v>3574</v>
      </c>
      <c r="C1204" s="216" t="s">
        <v>3582</v>
      </c>
      <c r="D1204" s="25"/>
      <c r="E1204" s="216">
        <v>1.0</v>
      </c>
      <c r="F1204" s="216">
        <v>1.0</v>
      </c>
      <c r="G1204" s="217"/>
      <c r="H1204" s="25"/>
    </row>
    <row r="1205">
      <c r="A1205" s="216">
        <v>1.0685077E7</v>
      </c>
      <c r="B1205" s="216" t="s">
        <v>3121</v>
      </c>
      <c r="C1205" s="216" t="s">
        <v>3582</v>
      </c>
      <c r="D1205" s="25"/>
      <c r="E1205" s="216">
        <v>1.0</v>
      </c>
      <c r="F1205" s="216">
        <v>1.0</v>
      </c>
      <c r="G1205" s="217"/>
      <c r="H1205" s="25"/>
    </row>
    <row r="1206">
      <c r="A1206" s="216">
        <v>1.0685078E7</v>
      </c>
      <c r="B1206" s="216" t="s">
        <v>3575</v>
      </c>
      <c r="C1206" s="216" t="s">
        <v>3582</v>
      </c>
      <c r="D1206" s="25"/>
      <c r="E1206" s="216">
        <v>1.0</v>
      </c>
      <c r="F1206" s="216">
        <v>1.0</v>
      </c>
      <c r="G1206" s="217"/>
      <c r="H1206" s="25"/>
    </row>
    <row r="1207">
      <c r="A1207" s="216">
        <v>1.0685079E7</v>
      </c>
      <c r="B1207" s="216" t="s">
        <v>3576</v>
      </c>
      <c r="C1207" s="216" t="s">
        <v>3582</v>
      </c>
      <c r="D1207" s="25"/>
      <c r="E1207" s="216">
        <v>1.0</v>
      </c>
      <c r="F1207" s="216">
        <v>1.0</v>
      </c>
      <c r="G1207" s="217"/>
      <c r="H1207" s="25"/>
    </row>
    <row r="1208">
      <c r="A1208" s="216">
        <v>1.068508E7</v>
      </c>
      <c r="B1208" s="216" t="s">
        <v>3577</v>
      </c>
      <c r="C1208" s="216" t="s">
        <v>3582</v>
      </c>
      <c r="D1208" s="25"/>
      <c r="E1208" s="216">
        <v>1.0</v>
      </c>
      <c r="F1208" s="216">
        <v>1.0</v>
      </c>
      <c r="G1208" s="217"/>
      <c r="H1208" s="25"/>
    </row>
    <row r="1209">
      <c r="A1209" s="216">
        <v>1.0685081E7</v>
      </c>
      <c r="B1209" s="216" t="s">
        <v>3578</v>
      </c>
      <c r="C1209" s="216" t="s">
        <v>3582</v>
      </c>
      <c r="D1209" s="25"/>
      <c r="E1209" s="216">
        <v>1.0</v>
      </c>
      <c r="F1209" s="216">
        <v>1.0</v>
      </c>
      <c r="G1209" s="217"/>
      <c r="H1209" s="25"/>
    </row>
    <row r="1210">
      <c r="A1210" s="216">
        <v>1.0685082E7</v>
      </c>
      <c r="B1210" s="216" t="s">
        <v>3579</v>
      </c>
      <c r="C1210" s="216" t="s">
        <v>3582</v>
      </c>
      <c r="D1210" s="25"/>
      <c r="E1210" s="216">
        <v>1.0</v>
      </c>
      <c r="F1210" s="216">
        <v>1.0</v>
      </c>
      <c r="G1210" s="217"/>
      <c r="H1210" s="25"/>
    </row>
    <row r="1211">
      <c r="A1211" s="216">
        <v>1.0685083E7</v>
      </c>
      <c r="B1211" s="216" t="s">
        <v>3580</v>
      </c>
      <c r="C1211" s="216" t="s">
        <v>3582</v>
      </c>
      <c r="D1211" s="25"/>
      <c r="E1211" s="216">
        <v>1.0</v>
      </c>
      <c r="F1211" s="216">
        <v>1.0</v>
      </c>
      <c r="G1211" s="217"/>
      <c r="H1211" s="25"/>
    </row>
    <row r="1212">
      <c r="A1212" s="216">
        <v>1.0685084E7</v>
      </c>
      <c r="B1212" s="216" t="s">
        <v>3122</v>
      </c>
      <c r="C1212" s="216" t="s">
        <v>3582</v>
      </c>
      <c r="D1212" s="25"/>
      <c r="E1212" s="216">
        <v>1.0</v>
      </c>
      <c r="F1212" s="216">
        <v>1.0</v>
      </c>
      <c r="G1212" s="217"/>
      <c r="H1212" s="25"/>
    </row>
    <row r="1213">
      <c r="A1213" s="216">
        <v>1.0685085E7</v>
      </c>
      <c r="B1213" s="216" t="s">
        <v>3581</v>
      </c>
      <c r="C1213" s="216" t="s">
        <v>3582</v>
      </c>
      <c r="D1213" s="25"/>
      <c r="E1213" s="216">
        <v>1.0</v>
      </c>
      <c r="F1213" s="216">
        <v>1.0</v>
      </c>
      <c r="G1213" s="217"/>
      <c r="H1213" s="25"/>
    </row>
    <row r="1214">
      <c r="A1214" s="216">
        <v>3.00252E7</v>
      </c>
      <c r="B1214" s="216" t="s">
        <v>3583</v>
      </c>
      <c r="C1214" s="216" t="s">
        <v>3584</v>
      </c>
      <c r="D1214" s="25"/>
      <c r="E1214" s="216" t="s">
        <v>2730</v>
      </c>
      <c r="F1214" s="216" t="s">
        <v>2730</v>
      </c>
      <c r="G1214" s="217"/>
      <c r="H1214" s="25"/>
    </row>
    <row r="1215">
      <c r="A1215" s="220"/>
      <c r="B1215" s="220"/>
      <c r="C1215" s="220"/>
      <c r="E1215" s="220"/>
      <c r="F1215" s="220"/>
      <c r="G1215" s="221"/>
    </row>
    <row r="1216">
      <c r="A1216" s="220"/>
      <c r="B1216" s="220"/>
      <c r="C1216" s="220"/>
      <c r="E1216" s="220"/>
      <c r="F1216" s="220"/>
      <c r="G1216" s="221"/>
    </row>
    <row r="1217">
      <c r="A1217" s="220"/>
      <c r="B1217" s="220"/>
      <c r="C1217" s="220"/>
      <c r="E1217" s="220"/>
      <c r="F1217" s="220"/>
      <c r="G1217" s="221"/>
    </row>
    <row r="1218">
      <c r="A1218" s="220"/>
      <c r="B1218" s="220"/>
      <c r="C1218" s="220"/>
      <c r="E1218" s="220"/>
      <c r="F1218" s="220"/>
      <c r="G1218" s="221"/>
    </row>
    <row r="1219">
      <c r="A1219" s="220"/>
      <c r="B1219" s="220"/>
      <c r="C1219" s="220"/>
      <c r="E1219" s="220"/>
      <c r="F1219" s="220"/>
      <c r="G1219" s="221"/>
    </row>
    <row r="1220">
      <c r="A1220" s="220"/>
      <c r="B1220" s="220"/>
      <c r="C1220" s="220"/>
      <c r="E1220" s="220"/>
      <c r="F1220" s="220"/>
      <c r="G1220" s="221"/>
    </row>
    <row r="1221">
      <c r="A1221" s="220"/>
      <c r="B1221" s="220"/>
      <c r="C1221" s="220"/>
      <c r="E1221" s="220"/>
      <c r="F1221" s="220"/>
      <c r="G1221" s="221"/>
    </row>
    <row r="1222">
      <c r="A1222" s="220"/>
      <c r="B1222" s="220"/>
      <c r="C1222" s="220"/>
      <c r="E1222" s="220"/>
      <c r="F1222" s="220"/>
      <c r="G1222" s="221"/>
    </row>
    <row r="1223">
      <c r="A1223" s="220"/>
      <c r="B1223" s="220"/>
      <c r="C1223" s="220"/>
      <c r="E1223" s="220"/>
      <c r="F1223" s="220"/>
      <c r="G1223" s="221"/>
    </row>
    <row r="1224">
      <c r="A1224" s="220"/>
      <c r="B1224" s="220"/>
      <c r="C1224" s="220"/>
      <c r="E1224" s="220"/>
      <c r="F1224" s="220"/>
      <c r="G1224" s="221"/>
    </row>
    <row r="1225">
      <c r="A1225" s="220"/>
      <c r="B1225" s="220"/>
      <c r="C1225" s="220"/>
      <c r="E1225" s="220"/>
      <c r="F1225" s="220"/>
      <c r="G1225" s="221"/>
    </row>
    <row r="1226">
      <c r="A1226" s="220"/>
      <c r="B1226" s="220"/>
      <c r="C1226" s="220"/>
      <c r="E1226" s="220"/>
      <c r="F1226" s="220"/>
      <c r="G1226" s="221"/>
    </row>
    <row r="1227">
      <c r="A1227" s="220"/>
      <c r="B1227" s="220"/>
      <c r="C1227" s="220"/>
      <c r="E1227" s="220"/>
      <c r="F1227" s="220"/>
      <c r="G1227" s="221"/>
    </row>
    <row r="1228">
      <c r="A1228" s="220"/>
      <c r="B1228" s="220"/>
      <c r="C1228" s="220"/>
      <c r="E1228" s="220"/>
      <c r="F1228" s="220"/>
      <c r="G1228" s="221"/>
    </row>
    <row r="1229">
      <c r="A1229" s="220"/>
      <c r="B1229" s="220"/>
      <c r="C1229" s="220"/>
      <c r="E1229" s="220"/>
      <c r="F1229" s="220"/>
      <c r="G1229" s="221"/>
    </row>
    <row r="1230">
      <c r="A1230" s="220"/>
      <c r="B1230" s="220"/>
      <c r="C1230" s="220"/>
      <c r="E1230" s="220"/>
      <c r="F1230" s="220"/>
      <c r="G1230" s="221"/>
    </row>
    <row r="1231">
      <c r="A1231" s="220"/>
      <c r="B1231" s="220"/>
      <c r="C1231" s="220"/>
      <c r="E1231" s="220"/>
      <c r="F1231" s="220"/>
      <c r="G1231" s="221"/>
    </row>
    <row r="1232">
      <c r="A1232" s="220"/>
      <c r="B1232" s="220"/>
      <c r="C1232" s="220"/>
      <c r="E1232" s="220"/>
      <c r="F1232" s="220"/>
      <c r="G1232" s="221"/>
    </row>
    <row r="1233">
      <c r="A1233" s="220"/>
      <c r="B1233" s="220"/>
      <c r="C1233" s="220"/>
      <c r="E1233" s="220"/>
      <c r="F1233" s="220"/>
      <c r="G1233" s="221"/>
    </row>
    <row r="1234">
      <c r="A1234" s="220"/>
      <c r="B1234" s="220"/>
      <c r="C1234" s="220"/>
      <c r="E1234" s="220"/>
      <c r="F1234" s="220"/>
      <c r="G1234" s="221"/>
    </row>
    <row r="1235">
      <c r="A1235" s="220"/>
      <c r="B1235" s="220"/>
      <c r="C1235" s="220"/>
      <c r="E1235" s="220"/>
      <c r="F1235" s="220"/>
      <c r="G1235" s="221"/>
    </row>
    <row r="1236">
      <c r="A1236" s="220"/>
      <c r="B1236" s="220"/>
      <c r="C1236" s="220"/>
      <c r="E1236" s="220"/>
      <c r="F1236" s="220"/>
      <c r="G1236" s="221"/>
    </row>
    <row r="1237">
      <c r="A1237" s="220"/>
      <c r="B1237" s="220"/>
      <c r="C1237" s="220"/>
      <c r="E1237" s="220"/>
      <c r="F1237" s="220"/>
      <c r="G1237" s="221"/>
    </row>
    <row r="1238">
      <c r="A1238" s="220"/>
      <c r="B1238" s="220"/>
      <c r="C1238" s="220"/>
      <c r="E1238" s="220"/>
      <c r="F1238" s="220"/>
      <c r="G1238" s="221"/>
    </row>
    <row r="1239">
      <c r="A1239" s="220"/>
      <c r="B1239" s="220"/>
      <c r="C1239" s="220"/>
      <c r="E1239" s="220"/>
      <c r="F1239" s="220"/>
      <c r="G1239" s="221"/>
    </row>
    <row r="1240">
      <c r="A1240" s="220"/>
      <c r="B1240" s="220"/>
      <c r="C1240" s="220"/>
      <c r="E1240" s="220"/>
      <c r="F1240" s="220"/>
      <c r="G1240" s="221"/>
    </row>
    <row r="1241">
      <c r="A1241" s="220"/>
      <c r="B1241" s="220"/>
      <c r="C1241" s="220"/>
      <c r="E1241" s="220"/>
      <c r="F1241" s="220"/>
      <c r="G1241" s="221"/>
    </row>
    <row r="1242">
      <c r="A1242" s="220"/>
      <c r="B1242" s="220"/>
      <c r="C1242" s="220"/>
      <c r="E1242" s="220"/>
      <c r="F1242" s="220"/>
      <c r="G1242" s="221"/>
    </row>
    <row r="1243">
      <c r="A1243" s="220"/>
      <c r="B1243" s="220"/>
      <c r="C1243" s="220"/>
      <c r="E1243" s="220"/>
      <c r="F1243" s="220"/>
      <c r="G1243" s="221"/>
    </row>
    <row r="1244">
      <c r="A1244" s="220"/>
      <c r="B1244" s="220"/>
      <c r="C1244" s="220"/>
      <c r="E1244" s="220"/>
      <c r="F1244" s="220"/>
      <c r="G1244" s="221"/>
    </row>
    <row r="1245">
      <c r="A1245" s="220"/>
      <c r="B1245" s="220"/>
      <c r="C1245" s="220"/>
      <c r="E1245" s="220"/>
      <c r="F1245" s="220"/>
      <c r="G1245" s="221"/>
    </row>
    <row r="1246">
      <c r="A1246" s="220"/>
      <c r="B1246" s="220"/>
      <c r="C1246" s="220"/>
      <c r="E1246" s="220"/>
      <c r="F1246" s="220"/>
      <c r="G1246" s="221"/>
    </row>
    <row r="1247">
      <c r="A1247" s="220"/>
      <c r="B1247" s="220"/>
      <c r="C1247" s="220"/>
      <c r="E1247" s="220"/>
      <c r="F1247" s="220"/>
      <c r="G1247" s="221"/>
    </row>
    <row r="1248">
      <c r="A1248" s="220"/>
      <c r="B1248" s="220"/>
      <c r="C1248" s="220"/>
      <c r="E1248" s="220"/>
      <c r="F1248" s="220"/>
      <c r="G1248" s="221"/>
    </row>
    <row r="1249">
      <c r="A1249" s="220"/>
      <c r="B1249" s="220"/>
      <c r="C1249" s="220"/>
      <c r="E1249" s="220"/>
      <c r="F1249" s="220"/>
      <c r="G1249" s="221"/>
    </row>
    <row r="1250">
      <c r="A1250" s="220"/>
      <c r="B1250" s="220"/>
      <c r="C1250" s="220"/>
      <c r="E1250" s="220"/>
      <c r="F1250" s="220"/>
      <c r="G1250" s="221"/>
    </row>
    <row r="1251">
      <c r="A1251" s="220"/>
      <c r="B1251" s="220"/>
      <c r="C1251" s="220"/>
      <c r="E1251" s="220"/>
      <c r="F1251" s="220"/>
      <c r="G1251" s="221"/>
    </row>
    <row r="1252">
      <c r="A1252" s="220"/>
      <c r="B1252" s="220"/>
      <c r="C1252" s="220"/>
      <c r="E1252" s="220"/>
      <c r="F1252" s="220"/>
      <c r="G1252" s="221"/>
    </row>
    <row r="1253">
      <c r="A1253" s="220"/>
      <c r="B1253" s="220"/>
      <c r="C1253" s="220"/>
      <c r="E1253" s="220"/>
      <c r="F1253" s="220"/>
      <c r="G1253" s="221"/>
    </row>
    <row r="1254">
      <c r="A1254" s="220"/>
      <c r="B1254" s="220"/>
      <c r="C1254" s="220"/>
      <c r="E1254" s="220"/>
      <c r="F1254" s="220"/>
      <c r="G1254" s="221"/>
    </row>
    <row r="1255">
      <c r="A1255" s="220"/>
      <c r="B1255" s="220"/>
      <c r="C1255" s="220"/>
      <c r="E1255" s="220"/>
      <c r="F1255" s="220"/>
      <c r="G1255" s="221"/>
    </row>
    <row r="1256">
      <c r="A1256" s="220"/>
      <c r="B1256" s="220"/>
      <c r="C1256" s="220"/>
      <c r="E1256" s="220"/>
      <c r="F1256" s="220"/>
      <c r="G1256" s="221"/>
    </row>
    <row r="1257">
      <c r="A1257" s="220"/>
      <c r="B1257" s="220"/>
      <c r="C1257" s="220"/>
      <c r="E1257" s="220"/>
      <c r="F1257" s="220"/>
      <c r="G1257" s="221"/>
    </row>
    <row r="1258">
      <c r="A1258" s="220"/>
      <c r="B1258" s="220"/>
      <c r="C1258" s="220"/>
      <c r="E1258" s="220"/>
      <c r="F1258" s="220"/>
      <c r="G1258" s="221"/>
    </row>
    <row r="1259">
      <c r="A1259" s="220"/>
      <c r="B1259" s="220"/>
      <c r="C1259" s="220"/>
      <c r="E1259" s="220"/>
      <c r="F1259" s="220"/>
      <c r="G1259" s="221"/>
    </row>
    <row r="1260">
      <c r="A1260" s="220"/>
      <c r="B1260" s="220"/>
      <c r="C1260" s="220"/>
      <c r="E1260" s="220"/>
      <c r="F1260" s="220"/>
      <c r="G1260" s="221"/>
    </row>
    <row r="1261">
      <c r="A1261" s="220"/>
      <c r="B1261" s="220"/>
      <c r="C1261" s="220"/>
      <c r="E1261" s="220"/>
      <c r="F1261" s="220"/>
      <c r="G1261" s="221"/>
    </row>
    <row r="1262">
      <c r="A1262" s="220"/>
      <c r="B1262" s="220"/>
      <c r="C1262" s="220"/>
      <c r="E1262" s="220"/>
      <c r="F1262" s="220"/>
      <c r="G1262" s="221"/>
    </row>
    <row r="1263">
      <c r="A1263" s="220"/>
      <c r="B1263" s="220"/>
      <c r="C1263" s="220"/>
      <c r="E1263" s="220"/>
      <c r="F1263" s="220"/>
      <c r="G1263" s="221"/>
    </row>
    <row r="1264">
      <c r="A1264" s="220"/>
      <c r="B1264" s="220"/>
      <c r="C1264" s="220"/>
      <c r="E1264" s="220"/>
      <c r="F1264" s="220"/>
      <c r="G1264" s="221"/>
    </row>
    <row r="1265">
      <c r="A1265" s="220"/>
      <c r="B1265" s="220"/>
      <c r="C1265" s="220"/>
      <c r="E1265" s="220"/>
      <c r="F1265" s="220"/>
      <c r="G1265" s="221"/>
    </row>
    <row r="1266">
      <c r="A1266" s="220"/>
      <c r="B1266" s="220"/>
      <c r="C1266" s="220"/>
      <c r="E1266" s="220"/>
      <c r="F1266" s="220"/>
      <c r="G1266" s="221"/>
    </row>
    <row r="1267">
      <c r="A1267" s="220"/>
      <c r="B1267" s="220"/>
      <c r="C1267" s="220"/>
      <c r="E1267" s="220"/>
      <c r="F1267" s="220"/>
      <c r="G1267" s="221"/>
    </row>
    <row r="1268">
      <c r="A1268" s="220"/>
      <c r="B1268" s="220"/>
      <c r="C1268" s="220"/>
      <c r="E1268" s="220"/>
      <c r="F1268" s="220"/>
      <c r="G1268" s="221"/>
    </row>
    <row r="1269">
      <c r="A1269" s="220"/>
      <c r="B1269" s="220"/>
      <c r="C1269" s="220"/>
      <c r="E1269" s="220"/>
      <c r="F1269" s="220"/>
      <c r="G1269" s="221"/>
    </row>
    <row r="1270">
      <c r="A1270" s="220"/>
      <c r="B1270" s="220"/>
      <c r="C1270" s="220"/>
      <c r="E1270" s="220"/>
      <c r="F1270" s="220"/>
      <c r="G1270" s="221"/>
    </row>
    <row r="1271">
      <c r="A1271" s="220"/>
      <c r="B1271" s="220"/>
      <c r="C1271" s="220"/>
      <c r="E1271" s="220"/>
      <c r="F1271" s="220"/>
      <c r="G1271" s="221"/>
    </row>
    <row r="1272">
      <c r="A1272" s="220"/>
      <c r="B1272" s="220"/>
      <c r="C1272" s="220"/>
      <c r="E1272" s="220"/>
      <c r="F1272" s="220"/>
      <c r="G1272" s="221"/>
    </row>
    <row r="1273">
      <c r="A1273" s="220"/>
      <c r="B1273" s="220"/>
      <c r="C1273" s="220"/>
      <c r="E1273" s="220"/>
      <c r="F1273" s="220"/>
      <c r="G1273" s="221"/>
    </row>
    <row r="1274">
      <c r="A1274" s="220"/>
      <c r="B1274" s="220"/>
      <c r="C1274" s="220"/>
      <c r="E1274" s="220"/>
      <c r="F1274" s="220"/>
      <c r="G1274" s="221"/>
    </row>
    <row r="1275">
      <c r="A1275" s="220"/>
      <c r="B1275" s="220"/>
      <c r="C1275" s="220"/>
      <c r="E1275" s="220"/>
      <c r="F1275" s="220"/>
      <c r="G1275" s="221"/>
    </row>
    <row r="1276">
      <c r="A1276" s="220"/>
      <c r="B1276" s="220"/>
      <c r="C1276" s="220"/>
      <c r="E1276" s="220"/>
      <c r="F1276" s="220"/>
      <c r="G1276" s="221"/>
    </row>
    <row r="1277">
      <c r="A1277" s="220"/>
      <c r="B1277" s="220"/>
      <c r="C1277" s="220"/>
      <c r="E1277" s="220"/>
      <c r="F1277" s="220"/>
      <c r="G1277" s="221"/>
    </row>
    <row r="1278">
      <c r="A1278" s="220"/>
      <c r="B1278" s="220"/>
      <c r="C1278" s="220"/>
      <c r="E1278" s="220"/>
      <c r="F1278" s="220"/>
      <c r="G1278" s="221"/>
    </row>
    <row r="1279">
      <c r="A1279" s="220"/>
      <c r="B1279" s="220"/>
      <c r="C1279" s="220"/>
      <c r="E1279" s="220"/>
      <c r="F1279" s="220"/>
      <c r="G1279" s="221"/>
    </row>
    <row r="1280">
      <c r="A1280" s="220"/>
      <c r="B1280" s="220"/>
      <c r="C1280" s="220"/>
      <c r="E1280" s="220"/>
      <c r="F1280" s="220"/>
      <c r="G1280" s="221"/>
    </row>
    <row r="1281">
      <c r="A1281" s="220"/>
      <c r="B1281" s="220"/>
      <c r="C1281" s="220"/>
      <c r="E1281" s="220"/>
      <c r="F1281" s="220"/>
      <c r="G1281" s="221"/>
    </row>
    <row r="1282">
      <c r="A1282" s="220"/>
      <c r="B1282" s="220"/>
      <c r="C1282" s="220"/>
      <c r="E1282" s="220"/>
      <c r="F1282" s="220"/>
      <c r="G1282" s="221"/>
    </row>
    <row r="1283">
      <c r="A1283" s="220"/>
      <c r="B1283" s="220"/>
      <c r="C1283" s="220"/>
      <c r="E1283" s="220"/>
      <c r="F1283" s="220"/>
      <c r="G1283" s="221"/>
    </row>
    <row r="1284">
      <c r="A1284" s="220"/>
      <c r="B1284" s="220"/>
      <c r="C1284" s="220"/>
      <c r="E1284" s="220"/>
      <c r="F1284" s="220"/>
      <c r="G1284" s="221"/>
    </row>
    <row r="1285">
      <c r="A1285" s="220"/>
      <c r="B1285" s="220"/>
      <c r="C1285" s="220"/>
      <c r="E1285" s="220"/>
      <c r="F1285" s="220"/>
      <c r="G1285" s="221"/>
    </row>
    <row r="1286">
      <c r="A1286" s="220"/>
      <c r="B1286" s="220"/>
      <c r="C1286" s="220"/>
      <c r="E1286" s="220"/>
      <c r="F1286" s="220"/>
      <c r="G1286" s="221"/>
    </row>
    <row r="1287">
      <c r="A1287" s="220"/>
      <c r="B1287" s="220"/>
      <c r="C1287" s="220"/>
      <c r="E1287" s="220"/>
      <c r="F1287" s="220"/>
      <c r="G1287" s="221"/>
    </row>
    <row r="1288">
      <c r="A1288" s="220"/>
      <c r="B1288" s="220"/>
      <c r="C1288" s="220"/>
      <c r="E1288" s="220"/>
      <c r="F1288" s="220"/>
      <c r="G1288" s="221"/>
    </row>
    <row r="1289">
      <c r="A1289" s="220"/>
      <c r="B1289" s="220"/>
      <c r="C1289" s="220"/>
      <c r="E1289" s="220"/>
      <c r="F1289" s="220"/>
      <c r="G1289" s="221"/>
    </row>
    <row r="1290">
      <c r="A1290" s="220"/>
      <c r="B1290" s="220"/>
      <c r="C1290" s="220"/>
      <c r="E1290" s="220"/>
      <c r="F1290" s="220"/>
      <c r="G1290" s="221"/>
    </row>
    <row r="1291">
      <c r="A1291" s="220"/>
      <c r="B1291" s="220"/>
      <c r="C1291" s="220"/>
      <c r="E1291" s="220"/>
      <c r="F1291" s="220"/>
      <c r="G1291" s="221"/>
    </row>
    <row r="1292">
      <c r="A1292" s="220"/>
      <c r="B1292" s="220"/>
      <c r="C1292" s="220"/>
      <c r="E1292" s="220"/>
      <c r="F1292" s="220"/>
      <c r="G1292" s="221"/>
    </row>
    <row r="1293">
      <c r="A1293" s="220"/>
      <c r="B1293" s="220"/>
      <c r="C1293" s="220"/>
      <c r="E1293" s="220"/>
      <c r="F1293" s="220"/>
      <c r="G1293" s="221"/>
    </row>
    <row r="1294">
      <c r="A1294" s="220"/>
      <c r="B1294" s="220"/>
      <c r="C1294" s="220"/>
      <c r="E1294" s="220"/>
      <c r="F1294" s="220"/>
      <c r="G1294" s="221"/>
    </row>
    <row r="1295">
      <c r="A1295" s="220"/>
      <c r="B1295" s="220"/>
      <c r="C1295" s="220"/>
      <c r="E1295" s="220"/>
      <c r="F1295" s="220"/>
      <c r="G1295" s="221"/>
    </row>
    <row r="1296">
      <c r="A1296" s="220"/>
      <c r="B1296" s="220"/>
      <c r="C1296" s="220"/>
      <c r="E1296" s="220"/>
      <c r="F1296" s="220"/>
      <c r="G1296" s="221"/>
    </row>
    <row r="1297">
      <c r="A1297" s="220"/>
      <c r="B1297" s="220"/>
      <c r="C1297" s="220"/>
      <c r="E1297" s="220"/>
      <c r="F1297" s="220"/>
      <c r="G1297" s="221"/>
    </row>
    <row r="1298">
      <c r="A1298" s="220"/>
      <c r="B1298" s="220"/>
      <c r="C1298" s="220"/>
      <c r="E1298" s="220"/>
      <c r="F1298" s="220"/>
      <c r="G1298" s="221"/>
    </row>
    <row r="1299">
      <c r="A1299" s="220"/>
      <c r="B1299" s="220"/>
      <c r="C1299" s="220"/>
      <c r="E1299" s="220"/>
      <c r="F1299" s="220"/>
      <c r="G1299" s="221"/>
    </row>
    <row r="1300">
      <c r="A1300" s="220"/>
      <c r="B1300" s="220"/>
      <c r="C1300" s="220"/>
      <c r="E1300" s="220"/>
      <c r="F1300" s="220"/>
      <c r="G1300" s="221"/>
    </row>
    <row r="1301">
      <c r="A1301" s="220"/>
      <c r="B1301" s="220"/>
      <c r="C1301" s="220"/>
      <c r="E1301" s="220"/>
      <c r="F1301" s="220"/>
      <c r="G1301" s="221"/>
    </row>
    <row r="1302">
      <c r="A1302" s="220"/>
      <c r="B1302" s="220"/>
      <c r="C1302" s="220"/>
      <c r="E1302" s="220"/>
      <c r="F1302" s="220"/>
      <c r="G1302" s="221"/>
    </row>
    <row r="1303">
      <c r="A1303" s="220"/>
      <c r="B1303" s="220"/>
      <c r="C1303" s="220"/>
      <c r="E1303" s="220"/>
      <c r="F1303" s="220"/>
      <c r="G1303" s="221"/>
    </row>
    <row r="1304">
      <c r="A1304" s="220"/>
      <c r="B1304" s="220"/>
      <c r="C1304" s="220"/>
      <c r="E1304" s="220"/>
      <c r="F1304" s="220"/>
      <c r="G1304" s="221"/>
    </row>
    <row r="1305">
      <c r="A1305" s="220"/>
      <c r="B1305" s="220"/>
      <c r="C1305" s="220"/>
      <c r="E1305" s="220"/>
      <c r="F1305" s="220"/>
      <c r="G1305" s="221"/>
    </row>
    <row r="1306">
      <c r="A1306" s="220"/>
      <c r="B1306" s="220"/>
      <c r="C1306" s="220"/>
      <c r="E1306" s="220"/>
      <c r="F1306" s="220"/>
      <c r="G1306" s="221"/>
    </row>
    <row r="1307">
      <c r="A1307" s="220"/>
      <c r="B1307" s="220"/>
      <c r="C1307" s="220"/>
      <c r="E1307" s="220"/>
      <c r="F1307" s="220"/>
      <c r="G1307" s="221"/>
    </row>
    <row r="1308">
      <c r="A1308" s="220"/>
      <c r="B1308" s="220"/>
      <c r="C1308" s="220"/>
      <c r="E1308" s="220"/>
      <c r="F1308" s="220"/>
      <c r="G1308" s="221"/>
    </row>
    <row r="1309">
      <c r="A1309" s="220"/>
      <c r="B1309" s="220"/>
      <c r="C1309" s="220"/>
      <c r="E1309" s="220"/>
      <c r="F1309" s="220"/>
      <c r="G1309" s="221"/>
    </row>
    <row r="1310">
      <c r="A1310" s="220"/>
      <c r="B1310" s="220"/>
      <c r="C1310" s="220"/>
      <c r="E1310" s="220"/>
      <c r="F1310" s="220"/>
      <c r="G1310" s="221"/>
    </row>
    <row r="1311">
      <c r="A1311" s="220"/>
      <c r="B1311" s="220"/>
      <c r="C1311" s="220"/>
      <c r="E1311" s="220"/>
      <c r="F1311" s="220"/>
      <c r="G1311" s="221"/>
    </row>
    <row r="1312">
      <c r="A1312" s="220"/>
      <c r="B1312" s="220"/>
      <c r="C1312" s="220"/>
      <c r="E1312" s="220"/>
      <c r="F1312" s="220"/>
      <c r="G1312" s="221"/>
    </row>
    <row r="1313">
      <c r="A1313" s="220"/>
      <c r="B1313" s="220"/>
      <c r="C1313" s="220"/>
      <c r="E1313" s="220"/>
      <c r="F1313" s="220"/>
      <c r="G1313" s="221"/>
    </row>
    <row r="1314">
      <c r="A1314" s="220"/>
      <c r="B1314" s="220"/>
      <c r="C1314" s="220"/>
      <c r="E1314" s="220"/>
      <c r="F1314" s="220"/>
      <c r="G1314" s="221"/>
    </row>
    <row r="1315">
      <c r="A1315" s="220"/>
      <c r="B1315" s="220"/>
      <c r="C1315" s="220"/>
      <c r="E1315" s="220"/>
      <c r="F1315" s="220"/>
      <c r="G1315" s="221"/>
    </row>
    <row r="1316">
      <c r="A1316" s="220"/>
      <c r="B1316" s="220"/>
      <c r="C1316" s="220"/>
      <c r="E1316" s="220"/>
      <c r="F1316" s="220"/>
      <c r="G1316" s="221"/>
    </row>
    <row r="1317">
      <c r="A1317" s="220"/>
      <c r="B1317" s="220"/>
      <c r="C1317" s="220"/>
      <c r="E1317" s="220"/>
      <c r="F1317" s="220"/>
      <c r="G1317" s="221"/>
    </row>
    <row r="1318">
      <c r="A1318" s="220"/>
      <c r="B1318" s="220"/>
      <c r="C1318" s="220"/>
      <c r="E1318" s="220"/>
      <c r="F1318" s="220"/>
      <c r="G1318" s="221"/>
    </row>
    <row r="1319">
      <c r="A1319" s="220"/>
      <c r="B1319" s="220"/>
      <c r="C1319" s="220"/>
      <c r="E1319" s="220"/>
      <c r="F1319" s="220"/>
      <c r="G1319" s="221"/>
    </row>
    <row r="1320">
      <c r="A1320" s="220"/>
      <c r="B1320" s="220"/>
      <c r="C1320" s="220"/>
      <c r="E1320" s="220"/>
      <c r="F1320" s="220"/>
      <c r="G1320" s="221"/>
    </row>
    <row r="1321">
      <c r="A1321" s="220"/>
      <c r="B1321" s="220"/>
      <c r="C1321" s="220"/>
      <c r="E1321" s="220"/>
      <c r="F1321" s="220"/>
      <c r="G1321" s="221"/>
    </row>
    <row r="1322">
      <c r="A1322" s="220"/>
      <c r="B1322" s="220"/>
      <c r="C1322" s="220"/>
      <c r="E1322" s="220"/>
      <c r="F1322" s="220"/>
      <c r="G1322" s="221"/>
    </row>
    <row r="1323">
      <c r="A1323" s="220"/>
      <c r="B1323" s="220"/>
      <c r="C1323" s="220"/>
      <c r="E1323" s="220"/>
      <c r="F1323" s="220"/>
      <c r="G1323" s="221"/>
    </row>
    <row r="1324">
      <c r="A1324" s="220"/>
      <c r="B1324" s="220"/>
      <c r="C1324" s="220"/>
      <c r="E1324" s="220"/>
      <c r="F1324" s="220"/>
      <c r="G1324" s="221"/>
    </row>
    <row r="1325">
      <c r="A1325" s="220"/>
      <c r="B1325" s="220"/>
      <c r="C1325" s="220"/>
      <c r="E1325" s="220"/>
      <c r="F1325" s="220"/>
      <c r="G1325" s="221"/>
    </row>
    <row r="1326">
      <c r="A1326" s="220"/>
      <c r="B1326" s="220"/>
      <c r="C1326" s="220"/>
      <c r="E1326" s="220"/>
      <c r="F1326" s="220"/>
      <c r="G1326" s="221"/>
    </row>
    <row r="1327">
      <c r="A1327" s="220"/>
      <c r="B1327" s="220"/>
      <c r="C1327" s="220"/>
      <c r="E1327" s="220"/>
      <c r="F1327" s="220"/>
      <c r="G1327" s="221"/>
    </row>
    <row r="1328">
      <c r="A1328" s="220"/>
      <c r="B1328" s="220"/>
      <c r="C1328" s="220"/>
      <c r="E1328" s="220"/>
      <c r="F1328" s="220"/>
      <c r="G1328" s="221"/>
    </row>
    <row r="1329">
      <c r="A1329" s="220"/>
      <c r="B1329" s="220"/>
      <c r="C1329" s="220"/>
      <c r="E1329" s="220"/>
      <c r="F1329" s="220"/>
      <c r="G1329" s="221"/>
    </row>
    <row r="1330">
      <c r="A1330" s="220"/>
      <c r="B1330" s="220"/>
      <c r="C1330" s="220"/>
      <c r="E1330" s="220"/>
      <c r="F1330" s="220"/>
      <c r="G1330" s="221"/>
    </row>
    <row r="1331">
      <c r="A1331" s="220"/>
      <c r="B1331" s="220"/>
      <c r="C1331" s="220"/>
      <c r="E1331" s="220"/>
      <c r="F1331" s="220"/>
      <c r="G1331" s="221"/>
    </row>
    <row r="1332">
      <c r="A1332" s="220"/>
      <c r="B1332" s="220"/>
      <c r="C1332" s="220"/>
      <c r="E1332" s="220"/>
      <c r="F1332" s="220"/>
      <c r="G1332" s="221"/>
    </row>
    <row r="1333">
      <c r="A1333" s="220"/>
      <c r="B1333" s="220"/>
      <c r="C1333" s="220"/>
      <c r="E1333" s="220"/>
      <c r="F1333" s="220"/>
      <c r="G1333" s="221"/>
    </row>
    <row r="1334">
      <c r="A1334" s="220"/>
      <c r="B1334" s="220"/>
      <c r="C1334" s="220"/>
      <c r="E1334" s="220"/>
      <c r="F1334" s="220"/>
      <c r="G1334" s="221"/>
    </row>
    <row r="1335">
      <c r="A1335" s="220"/>
      <c r="B1335" s="220"/>
      <c r="C1335" s="220"/>
      <c r="E1335" s="220"/>
      <c r="F1335" s="220"/>
      <c r="G1335" s="221"/>
    </row>
    <row r="1336">
      <c r="A1336" s="220"/>
      <c r="B1336" s="220"/>
      <c r="C1336" s="220"/>
      <c r="E1336" s="220"/>
      <c r="F1336" s="220"/>
      <c r="G1336" s="221"/>
    </row>
    <row r="1337">
      <c r="A1337" s="220"/>
      <c r="B1337" s="220"/>
      <c r="C1337" s="220"/>
      <c r="E1337" s="220"/>
      <c r="F1337" s="220"/>
      <c r="G1337" s="221"/>
    </row>
    <row r="1338">
      <c r="A1338" s="220"/>
      <c r="B1338" s="220"/>
      <c r="C1338" s="220"/>
      <c r="E1338" s="220"/>
      <c r="F1338" s="220"/>
      <c r="G1338" s="221"/>
    </row>
    <row r="1339">
      <c r="A1339" s="220"/>
      <c r="B1339" s="220"/>
      <c r="C1339" s="220"/>
      <c r="E1339" s="220"/>
      <c r="F1339" s="220"/>
      <c r="G1339" s="221"/>
    </row>
    <row r="1340">
      <c r="A1340" s="220"/>
      <c r="B1340" s="220"/>
      <c r="C1340" s="220"/>
      <c r="E1340" s="220"/>
      <c r="F1340" s="220"/>
      <c r="G1340" s="221"/>
    </row>
    <row r="1341">
      <c r="A1341" s="220"/>
      <c r="B1341" s="220"/>
      <c r="C1341" s="220"/>
      <c r="E1341" s="220"/>
      <c r="F1341" s="220"/>
      <c r="G1341" s="221"/>
    </row>
    <row r="1342">
      <c r="A1342" s="220"/>
      <c r="B1342" s="220"/>
      <c r="C1342" s="220"/>
      <c r="E1342" s="220"/>
      <c r="F1342" s="220"/>
      <c r="G1342" s="221"/>
    </row>
    <row r="1343">
      <c r="A1343" s="220"/>
      <c r="B1343" s="220"/>
      <c r="C1343" s="220"/>
      <c r="E1343" s="220"/>
      <c r="F1343" s="220"/>
      <c r="G1343" s="221"/>
    </row>
    <row r="1344">
      <c r="A1344" s="220"/>
      <c r="B1344" s="220"/>
      <c r="C1344" s="220"/>
      <c r="E1344" s="220"/>
      <c r="F1344" s="220"/>
      <c r="G1344" s="221"/>
    </row>
    <row r="1345">
      <c r="A1345" s="220"/>
      <c r="B1345" s="220"/>
      <c r="C1345" s="220"/>
      <c r="E1345" s="220"/>
      <c r="F1345" s="220"/>
      <c r="G1345" s="221"/>
    </row>
    <row r="1346">
      <c r="A1346" s="220"/>
      <c r="B1346" s="220"/>
      <c r="C1346" s="220"/>
      <c r="E1346" s="220"/>
      <c r="F1346" s="220"/>
      <c r="G1346" s="221"/>
    </row>
    <row r="1347">
      <c r="A1347" s="220"/>
      <c r="B1347" s="220"/>
      <c r="C1347" s="220"/>
      <c r="E1347" s="220"/>
      <c r="F1347" s="220"/>
      <c r="G1347" s="221"/>
    </row>
    <row r="1348">
      <c r="A1348" s="220"/>
      <c r="B1348" s="220"/>
      <c r="C1348" s="220"/>
      <c r="E1348" s="220"/>
      <c r="F1348" s="220"/>
      <c r="G1348" s="221"/>
    </row>
    <row r="1349">
      <c r="A1349" s="220"/>
      <c r="B1349" s="220"/>
      <c r="C1349" s="220"/>
      <c r="E1349" s="220"/>
      <c r="F1349" s="220"/>
      <c r="G1349" s="221"/>
    </row>
    <row r="1350">
      <c r="A1350" s="220"/>
      <c r="B1350" s="220"/>
      <c r="C1350" s="220"/>
      <c r="E1350" s="220"/>
      <c r="F1350" s="220"/>
      <c r="G1350" s="221"/>
    </row>
    <row r="1351">
      <c r="A1351" s="220"/>
      <c r="B1351" s="220"/>
      <c r="C1351" s="220"/>
      <c r="E1351" s="220"/>
      <c r="F1351" s="220"/>
      <c r="G1351" s="221"/>
    </row>
    <row r="1352">
      <c r="A1352" s="220"/>
      <c r="B1352" s="220"/>
      <c r="C1352" s="220"/>
      <c r="E1352" s="220"/>
      <c r="F1352" s="220"/>
      <c r="G1352" s="221"/>
    </row>
    <row r="1353">
      <c r="A1353" s="220"/>
      <c r="B1353" s="220"/>
      <c r="C1353" s="220"/>
      <c r="E1353" s="220"/>
      <c r="F1353" s="220"/>
      <c r="G1353" s="221"/>
    </row>
    <row r="1354">
      <c r="A1354" s="220"/>
      <c r="B1354" s="220"/>
      <c r="C1354" s="220"/>
      <c r="E1354" s="220"/>
      <c r="F1354" s="220"/>
      <c r="G1354" s="221"/>
    </row>
    <row r="1355">
      <c r="A1355" s="220"/>
      <c r="B1355" s="220"/>
      <c r="C1355" s="220"/>
      <c r="E1355" s="220"/>
      <c r="F1355" s="220"/>
      <c r="G1355" s="221"/>
    </row>
    <row r="1356">
      <c r="A1356" s="220"/>
      <c r="B1356" s="220"/>
      <c r="C1356" s="220"/>
      <c r="E1356" s="220"/>
      <c r="F1356" s="220"/>
      <c r="G1356" s="221"/>
    </row>
    <row r="1357">
      <c r="A1357" s="220"/>
      <c r="B1357" s="220"/>
      <c r="C1357" s="220"/>
      <c r="E1357" s="220"/>
      <c r="F1357" s="220"/>
      <c r="G1357" s="221"/>
    </row>
    <row r="1358">
      <c r="A1358" s="220"/>
      <c r="B1358" s="220"/>
      <c r="C1358" s="220"/>
      <c r="E1358" s="220"/>
      <c r="F1358" s="220"/>
      <c r="G1358" s="221"/>
    </row>
    <row r="1359">
      <c r="A1359" s="220"/>
      <c r="B1359" s="220"/>
      <c r="C1359" s="220"/>
      <c r="E1359" s="220"/>
      <c r="F1359" s="220"/>
      <c r="G1359" s="221"/>
    </row>
    <row r="1360">
      <c r="A1360" s="220"/>
      <c r="B1360" s="220"/>
      <c r="C1360" s="220"/>
      <c r="E1360" s="220"/>
      <c r="F1360" s="220"/>
      <c r="G1360" s="221"/>
    </row>
    <row r="1361">
      <c r="A1361" s="220"/>
      <c r="B1361" s="220"/>
      <c r="C1361" s="220"/>
      <c r="E1361" s="220"/>
      <c r="F1361" s="220"/>
      <c r="G1361" s="221"/>
    </row>
    <row r="1362">
      <c r="A1362" s="220"/>
      <c r="B1362" s="220"/>
      <c r="C1362" s="220"/>
      <c r="E1362" s="220"/>
      <c r="F1362" s="220"/>
      <c r="G1362" s="221"/>
    </row>
    <row r="1363">
      <c r="A1363" s="220"/>
      <c r="B1363" s="220"/>
      <c r="C1363" s="220"/>
      <c r="E1363" s="220"/>
      <c r="F1363" s="220"/>
      <c r="G1363" s="221"/>
    </row>
    <row r="1364">
      <c r="A1364" s="220"/>
      <c r="B1364" s="220"/>
      <c r="C1364" s="220"/>
      <c r="E1364" s="220"/>
      <c r="F1364" s="220"/>
      <c r="G1364" s="221"/>
    </row>
    <row r="1365">
      <c r="A1365" s="220"/>
      <c r="B1365" s="220"/>
      <c r="C1365" s="220"/>
      <c r="E1365" s="220"/>
      <c r="F1365" s="220"/>
      <c r="G1365" s="221"/>
    </row>
    <row r="1366">
      <c r="A1366" s="220"/>
      <c r="B1366" s="220"/>
      <c r="C1366" s="220"/>
      <c r="E1366" s="220"/>
      <c r="F1366" s="220"/>
      <c r="G1366" s="221"/>
    </row>
    <row r="1367">
      <c r="A1367" s="220"/>
      <c r="B1367" s="220"/>
      <c r="C1367" s="220"/>
      <c r="E1367" s="220"/>
      <c r="F1367" s="220"/>
      <c r="G1367" s="221"/>
    </row>
    <row r="1368">
      <c r="A1368" s="220"/>
      <c r="B1368" s="220"/>
      <c r="C1368" s="220"/>
      <c r="E1368" s="220"/>
      <c r="F1368" s="220"/>
      <c r="G1368" s="221"/>
    </row>
    <row r="1369">
      <c r="A1369" s="220"/>
      <c r="B1369" s="220"/>
      <c r="C1369" s="220"/>
      <c r="E1369" s="220"/>
      <c r="F1369" s="220"/>
      <c r="G1369" s="221"/>
    </row>
    <row r="1370">
      <c r="A1370" s="220"/>
      <c r="B1370" s="220"/>
      <c r="C1370" s="220"/>
      <c r="E1370" s="220"/>
      <c r="F1370" s="220"/>
      <c r="G1370" s="221"/>
    </row>
    <row r="1371">
      <c r="A1371" s="220"/>
      <c r="B1371" s="220"/>
      <c r="C1371" s="220"/>
      <c r="E1371" s="220"/>
      <c r="F1371" s="220"/>
      <c r="G1371" s="221"/>
    </row>
    <row r="1372">
      <c r="A1372" s="220"/>
      <c r="B1372" s="220"/>
      <c r="C1372" s="220"/>
      <c r="E1372" s="220"/>
      <c r="F1372" s="220"/>
      <c r="G1372" s="221"/>
    </row>
    <row r="1373">
      <c r="A1373" s="220"/>
      <c r="B1373" s="220"/>
      <c r="C1373" s="220"/>
      <c r="E1373" s="220"/>
      <c r="F1373" s="220"/>
      <c r="G1373" s="221"/>
    </row>
    <row r="1374">
      <c r="A1374" s="220"/>
      <c r="B1374" s="220"/>
      <c r="C1374" s="220"/>
      <c r="E1374" s="220"/>
      <c r="F1374" s="220"/>
      <c r="G1374" s="221"/>
    </row>
    <row r="1375">
      <c r="A1375" s="220"/>
      <c r="B1375" s="220"/>
      <c r="C1375" s="220"/>
      <c r="E1375" s="220"/>
      <c r="F1375" s="220"/>
      <c r="G1375" s="221"/>
    </row>
    <row r="1376">
      <c r="A1376" s="220"/>
      <c r="B1376" s="220"/>
      <c r="C1376" s="220"/>
      <c r="E1376" s="220"/>
      <c r="F1376" s="220"/>
      <c r="G1376" s="221"/>
    </row>
    <row r="1377">
      <c r="A1377" s="220"/>
      <c r="B1377" s="220"/>
      <c r="C1377" s="220"/>
      <c r="E1377" s="220"/>
      <c r="F1377" s="220"/>
      <c r="G1377" s="221"/>
    </row>
    <row r="1378">
      <c r="A1378" s="220"/>
      <c r="B1378" s="220"/>
      <c r="C1378" s="220"/>
      <c r="E1378" s="220"/>
      <c r="F1378" s="220"/>
      <c r="G1378" s="221"/>
    </row>
    <row r="1379">
      <c r="A1379" s="220"/>
      <c r="B1379" s="220"/>
      <c r="C1379" s="220"/>
      <c r="E1379" s="220"/>
      <c r="F1379" s="220"/>
      <c r="G1379" s="221"/>
    </row>
    <row r="1380">
      <c r="A1380" s="220"/>
      <c r="B1380" s="220"/>
      <c r="C1380" s="220"/>
      <c r="E1380" s="220"/>
      <c r="F1380" s="220"/>
      <c r="G1380" s="221"/>
    </row>
    <row r="1381">
      <c r="A1381" s="220"/>
      <c r="B1381" s="220"/>
      <c r="C1381" s="220"/>
      <c r="E1381" s="220"/>
      <c r="F1381" s="220"/>
      <c r="G1381" s="221"/>
    </row>
    <row r="1382">
      <c r="A1382" s="220"/>
      <c r="B1382" s="220"/>
      <c r="C1382" s="220"/>
      <c r="E1382" s="220"/>
      <c r="F1382" s="220"/>
      <c r="G1382" s="221"/>
    </row>
    <row r="1383">
      <c r="A1383" s="220"/>
      <c r="B1383" s="220"/>
      <c r="C1383" s="220"/>
      <c r="E1383" s="220"/>
      <c r="F1383" s="220"/>
      <c r="G1383" s="221"/>
    </row>
    <row r="1384">
      <c r="A1384" s="220"/>
      <c r="B1384" s="220"/>
      <c r="C1384" s="220"/>
      <c r="E1384" s="220"/>
      <c r="F1384" s="220"/>
      <c r="G1384" s="221"/>
    </row>
    <row r="1385">
      <c r="A1385" s="220"/>
      <c r="B1385" s="220"/>
      <c r="C1385" s="220"/>
      <c r="E1385" s="220"/>
      <c r="F1385" s="220"/>
      <c r="G1385" s="221"/>
    </row>
    <row r="1386">
      <c r="A1386" s="220"/>
      <c r="B1386" s="220"/>
      <c r="C1386" s="220"/>
      <c r="E1386" s="220"/>
      <c r="F1386" s="220"/>
      <c r="G1386" s="221"/>
    </row>
    <row r="1387">
      <c r="A1387" s="220"/>
      <c r="B1387" s="220"/>
      <c r="C1387" s="220"/>
      <c r="E1387" s="220"/>
      <c r="F1387" s="220"/>
      <c r="G1387" s="221"/>
    </row>
    <row r="1388">
      <c r="A1388" s="220"/>
      <c r="B1388" s="220"/>
      <c r="C1388" s="220"/>
      <c r="E1388" s="220"/>
      <c r="F1388" s="220"/>
      <c r="G1388" s="221"/>
    </row>
    <row r="1389">
      <c r="A1389" s="220"/>
      <c r="B1389" s="220"/>
      <c r="C1389" s="220"/>
      <c r="E1389" s="220"/>
      <c r="F1389" s="220"/>
      <c r="G1389" s="221"/>
    </row>
    <row r="1390">
      <c r="A1390" s="220"/>
      <c r="B1390" s="220"/>
      <c r="C1390" s="220"/>
      <c r="E1390" s="220"/>
      <c r="F1390" s="220"/>
      <c r="G1390" s="221"/>
    </row>
    <row r="1391">
      <c r="A1391" s="220"/>
      <c r="B1391" s="220"/>
      <c r="C1391" s="220"/>
      <c r="E1391" s="220"/>
      <c r="F1391" s="220"/>
      <c r="G1391" s="221"/>
    </row>
    <row r="1392">
      <c r="A1392" s="220"/>
      <c r="B1392" s="220"/>
      <c r="C1392" s="220"/>
      <c r="E1392" s="220"/>
      <c r="F1392" s="220"/>
      <c r="G1392" s="221"/>
    </row>
    <row r="1393">
      <c r="A1393" s="220"/>
      <c r="B1393" s="220"/>
      <c r="C1393" s="220"/>
      <c r="E1393" s="220"/>
      <c r="F1393" s="220"/>
      <c r="G1393" s="221"/>
    </row>
    <row r="1394">
      <c r="A1394" s="220"/>
      <c r="B1394" s="220"/>
      <c r="C1394" s="220"/>
      <c r="E1394" s="220"/>
      <c r="F1394" s="220"/>
      <c r="G1394" s="221"/>
    </row>
    <row r="1395">
      <c r="A1395" s="220"/>
      <c r="B1395" s="220"/>
      <c r="C1395" s="220"/>
      <c r="E1395" s="220"/>
      <c r="F1395" s="220"/>
      <c r="G1395" s="221"/>
    </row>
    <row r="1396">
      <c r="A1396" s="220"/>
      <c r="B1396" s="220"/>
      <c r="C1396" s="220"/>
      <c r="E1396" s="220"/>
      <c r="F1396" s="220"/>
      <c r="G1396" s="221"/>
    </row>
    <row r="1397">
      <c r="A1397" s="220"/>
      <c r="B1397" s="220"/>
      <c r="C1397" s="220"/>
      <c r="E1397" s="220"/>
      <c r="F1397" s="220"/>
      <c r="G1397" s="221"/>
    </row>
    <row r="1398">
      <c r="A1398" s="220"/>
      <c r="B1398" s="220"/>
      <c r="C1398" s="220"/>
      <c r="E1398" s="220"/>
      <c r="F1398" s="220"/>
      <c r="G1398" s="221"/>
    </row>
    <row r="1399">
      <c r="A1399" s="220"/>
      <c r="B1399" s="220"/>
      <c r="C1399" s="220"/>
      <c r="E1399" s="220"/>
      <c r="F1399" s="220"/>
      <c r="G1399" s="221"/>
    </row>
    <row r="1400">
      <c r="A1400" s="220"/>
      <c r="B1400" s="220"/>
      <c r="C1400" s="220"/>
      <c r="E1400" s="220"/>
      <c r="F1400" s="220"/>
      <c r="G1400" s="221"/>
    </row>
    <row r="1401">
      <c r="A1401" s="220"/>
      <c r="B1401" s="220"/>
      <c r="C1401" s="220"/>
      <c r="E1401" s="220"/>
      <c r="F1401" s="220"/>
      <c r="G1401" s="221"/>
    </row>
    <row r="1402">
      <c r="A1402" s="220"/>
      <c r="B1402" s="220"/>
      <c r="C1402" s="220"/>
      <c r="E1402" s="220"/>
      <c r="F1402" s="220"/>
      <c r="G1402" s="221"/>
    </row>
    <row r="1403">
      <c r="A1403" s="220"/>
      <c r="B1403" s="220"/>
      <c r="C1403" s="220"/>
      <c r="E1403" s="220"/>
      <c r="F1403" s="220"/>
      <c r="G1403" s="221"/>
    </row>
    <row r="1404">
      <c r="A1404" s="220"/>
      <c r="B1404" s="220"/>
      <c r="C1404" s="220"/>
      <c r="E1404" s="220"/>
      <c r="F1404" s="220"/>
      <c r="G1404" s="221"/>
    </row>
    <row r="1405">
      <c r="A1405" s="220"/>
      <c r="B1405" s="220"/>
      <c r="C1405" s="220"/>
      <c r="E1405" s="220"/>
      <c r="F1405" s="220"/>
      <c r="G1405" s="221"/>
    </row>
    <row r="1406">
      <c r="A1406" s="220"/>
      <c r="B1406" s="220"/>
      <c r="C1406" s="220"/>
      <c r="E1406" s="220"/>
      <c r="F1406" s="220"/>
      <c r="G1406" s="221"/>
    </row>
    <row r="1407">
      <c r="A1407" s="220"/>
      <c r="B1407" s="220"/>
      <c r="C1407" s="220"/>
      <c r="E1407" s="220"/>
      <c r="F1407" s="220"/>
      <c r="G1407" s="221"/>
    </row>
    <row r="1408">
      <c r="A1408" s="220"/>
      <c r="B1408" s="220"/>
      <c r="C1408" s="220"/>
      <c r="E1408" s="220"/>
      <c r="F1408" s="220"/>
      <c r="G1408" s="221"/>
    </row>
    <row r="1409">
      <c r="A1409" s="220"/>
      <c r="B1409" s="220"/>
      <c r="C1409" s="220"/>
      <c r="E1409" s="220"/>
      <c r="F1409" s="220"/>
      <c r="G1409" s="221"/>
    </row>
    <row r="1410">
      <c r="A1410" s="220"/>
      <c r="B1410" s="220"/>
      <c r="C1410" s="220"/>
      <c r="E1410" s="220"/>
      <c r="F1410" s="220"/>
      <c r="G1410" s="221"/>
    </row>
    <row r="1411">
      <c r="A1411" s="220"/>
      <c r="B1411" s="220"/>
      <c r="C1411" s="220"/>
      <c r="E1411" s="220"/>
      <c r="F1411" s="220"/>
      <c r="G1411" s="221"/>
    </row>
    <row r="1412">
      <c r="A1412" s="220"/>
      <c r="B1412" s="220"/>
      <c r="C1412" s="220"/>
      <c r="E1412" s="220"/>
      <c r="F1412" s="220"/>
      <c r="G1412" s="221"/>
    </row>
    <row r="1413">
      <c r="A1413" s="220"/>
      <c r="B1413" s="220"/>
      <c r="C1413" s="220"/>
      <c r="E1413" s="220"/>
      <c r="F1413" s="220"/>
      <c r="G1413" s="221"/>
    </row>
    <row r="1414">
      <c r="A1414" s="220"/>
      <c r="B1414" s="220"/>
      <c r="C1414" s="220"/>
      <c r="E1414" s="220"/>
      <c r="F1414" s="220"/>
      <c r="G1414" s="221"/>
    </row>
    <row r="1415">
      <c r="A1415" s="220"/>
      <c r="B1415" s="220"/>
      <c r="C1415" s="220"/>
      <c r="E1415" s="220"/>
      <c r="F1415" s="220"/>
      <c r="G1415" s="221"/>
    </row>
    <row r="1416">
      <c r="A1416" s="220"/>
      <c r="B1416" s="220"/>
      <c r="C1416" s="220"/>
      <c r="E1416" s="220"/>
      <c r="F1416" s="220"/>
      <c r="G1416" s="221"/>
    </row>
    <row r="1417">
      <c r="A1417" s="220"/>
      <c r="B1417" s="220"/>
      <c r="C1417" s="220"/>
      <c r="E1417" s="220"/>
      <c r="F1417" s="220"/>
      <c r="G1417" s="221"/>
    </row>
    <row r="1418">
      <c r="A1418" s="220"/>
      <c r="B1418" s="220"/>
      <c r="C1418" s="220"/>
      <c r="E1418" s="220"/>
      <c r="F1418" s="220"/>
      <c r="G1418" s="221"/>
    </row>
    <row r="1419">
      <c r="A1419" s="220"/>
      <c r="B1419" s="220"/>
      <c r="C1419" s="220"/>
      <c r="E1419" s="220"/>
      <c r="F1419" s="220"/>
      <c r="G1419" s="221"/>
    </row>
    <row r="1420">
      <c r="A1420" s="220"/>
      <c r="B1420" s="220"/>
      <c r="C1420" s="220"/>
      <c r="E1420" s="220"/>
      <c r="F1420" s="220"/>
      <c r="G1420" s="221"/>
    </row>
    <row r="1421">
      <c r="A1421" s="220"/>
      <c r="B1421" s="220"/>
      <c r="C1421" s="220"/>
      <c r="E1421" s="220"/>
      <c r="F1421" s="220"/>
      <c r="G1421" s="221"/>
    </row>
    <row r="1422">
      <c r="A1422" s="220"/>
      <c r="B1422" s="220"/>
      <c r="C1422" s="220"/>
      <c r="E1422" s="220"/>
      <c r="F1422" s="220"/>
      <c r="G1422" s="221"/>
    </row>
    <row r="1423">
      <c r="A1423" s="220"/>
      <c r="B1423" s="220"/>
      <c r="C1423" s="220"/>
      <c r="E1423" s="220"/>
      <c r="F1423" s="220"/>
      <c r="G1423" s="221"/>
    </row>
    <row r="1424">
      <c r="A1424" s="220"/>
      <c r="B1424" s="220"/>
      <c r="C1424" s="220"/>
      <c r="E1424" s="220"/>
      <c r="F1424" s="220"/>
      <c r="G1424" s="221"/>
    </row>
    <row r="1425">
      <c r="A1425" s="220"/>
      <c r="B1425" s="220"/>
      <c r="C1425" s="220"/>
      <c r="E1425" s="220"/>
      <c r="F1425" s="220"/>
      <c r="G1425" s="221"/>
    </row>
    <row r="1426">
      <c r="A1426" s="220"/>
      <c r="B1426" s="220"/>
      <c r="C1426" s="220"/>
      <c r="E1426" s="220"/>
      <c r="F1426" s="220"/>
      <c r="G1426" s="221"/>
    </row>
    <row r="1427">
      <c r="A1427" s="220"/>
      <c r="B1427" s="220"/>
      <c r="C1427" s="220"/>
      <c r="E1427" s="220"/>
      <c r="F1427" s="220"/>
      <c r="G1427" s="221"/>
    </row>
    <row r="1428">
      <c r="A1428" s="220"/>
      <c r="B1428" s="220"/>
      <c r="C1428" s="220"/>
      <c r="E1428" s="220"/>
      <c r="F1428" s="220"/>
      <c r="G1428" s="221"/>
    </row>
    <row r="1429">
      <c r="A1429" s="220"/>
      <c r="B1429" s="220"/>
      <c r="C1429" s="220"/>
      <c r="E1429" s="220"/>
      <c r="F1429" s="220"/>
      <c r="G1429" s="221"/>
    </row>
    <row r="1430">
      <c r="A1430" s="220"/>
      <c r="B1430" s="220"/>
      <c r="C1430" s="220"/>
      <c r="E1430" s="220"/>
      <c r="F1430" s="220"/>
      <c r="G1430" s="221"/>
    </row>
    <row r="1431">
      <c r="A1431" s="220"/>
      <c r="B1431" s="220"/>
      <c r="C1431" s="220"/>
      <c r="E1431" s="220"/>
      <c r="F1431" s="220"/>
      <c r="G1431" s="221"/>
    </row>
    <row r="1432">
      <c r="A1432" s="220"/>
      <c r="B1432" s="220"/>
      <c r="C1432" s="220"/>
      <c r="E1432" s="220"/>
      <c r="F1432" s="220"/>
      <c r="G1432" s="221"/>
    </row>
    <row r="1433">
      <c r="A1433" s="220"/>
      <c r="B1433" s="220"/>
      <c r="C1433" s="220"/>
      <c r="E1433" s="220"/>
      <c r="F1433" s="220"/>
      <c r="G1433" s="221"/>
    </row>
    <row r="1434">
      <c r="A1434" s="220"/>
      <c r="B1434" s="220"/>
      <c r="C1434" s="220"/>
      <c r="E1434" s="220"/>
      <c r="F1434" s="220"/>
      <c r="G1434" s="221"/>
    </row>
    <row r="1435">
      <c r="A1435" s="220"/>
      <c r="B1435" s="220"/>
      <c r="C1435" s="220"/>
      <c r="E1435" s="220"/>
      <c r="F1435" s="220"/>
      <c r="G1435" s="221"/>
    </row>
    <row r="1436">
      <c r="A1436" s="220"/>
      <c r="B1436" s="220"/>
      <c r="C1436" s="220"/>
      <c r="E1436" s="220"/>
      <c r="F1436" s="220"/>
      <c r="G1436" s="221"/>
    </row>
    <row r="1437">
      <c r="A1437" s="220"/>
      <c r="B1437" s="220"/>
      <c r="C1437" s="220"/>
      <c r="E1437" s="220"/>
      <c r="F1437" s="220"/>
      <c r="G1437" s="221"/>
    </row>
    <row r="1438">
      <c r="A1438" s="220"/>
      <c r="B1438" s="220"/>
      <c r="C1438" s="220"/>
      <c r="E1438" s="220"/>
      <c r="F1438" s="220"/>
      <c r="G1438" s="221"/>
    </row>
    <row r="1439">
      <c r="A1439" s="220"/>
      <c r="B1439" s="220"/>
      <c r="C1439" s="220"/>
      <c r="E1439" s="220"/>
      <c r="F1439" s="220"/>
      <c r="G1439" s="221"/>
    </row>
    <row r="1440">
      <c r="A1440" s="220"/>
      <c r="B1440" s="220"/>
      <c r="C1440" s="220"/>
      <c r="E1440" s="220"/>
      <c r="F1440" s="220"/>
      <c r="G1440" s="221"/>
    </row>
    <row r="1441">
      <c r="A1441" s="220"/>
      <c r="B1441" s="220"/>
      <c r="C1441" s="220"/>
      <c r="E1441" s="220"/>
      <c r="F1441" s="220"/>
      <c r="G1441" s="221"/>
    </row>
    <row r="1442">
      <c r="A1442" s="220"/>
      <c r="B1442" s="220"/>
      <c r="C1442" s="220"/>
      <c r="E1442" s="220"/>
      <c r="F1442" s="220"/>
      <c r="G1442" s="221"/>
    </row>
    <row r="1443">
      <c r="A1443" s="220"/>
      <c r="B1443" s="220"/>
      <c r="C1443" s="220"/>
      <c r="E1443" s="220"/>
      <c r="F1443" s="220"/>
      <c r="G1443" s="221"/>
    </row>
    <row r="1444">
      <c r="A1444" s="220"/>
      <c r="B1444" s="220"/>
      <c r="C1444" s="220"/>
      <c r="E1444" s="220"/>
      <c r="F1444" s="220"/>
      <c r="G1444" s="221"/>
    </row>
    <row r="1445">
      <c r="A1445" s="220"/>
      <c r="B1445" s="220"/>
      <c r="C1445" s="220"/>
      <c r="E1445" s="220"/>
      <c r="F1445" s="220"/>
      <c r="G1445" s="221"/>
    </row>
    <row r="1446">
      <c r="A1446" s="220"/>
      <c r="B1446" s="220"/>
      <c r="C1446" s="220"/>
      <c r="E1446" s="220"/>
      <c r="F1446" s="220"/>
      <c r="G1446" s="221"/>
    </row>
    <row r="1447">
      <c r="A1447" s="220"/>
      <c r="B1447" s="220"/>
      <c r="C1447" s="220"/>
      <c r="E1447" s="220"/>
      <c r="F1447" s="220"/>
      <c r="G1447" s="221"/>
    </row>
    <row r="1448">
      <c r="A1448" s="220"/>
      <c r="B1448" s="220"/>
      <c r="C1448" s="220"/>
      <c r="E1448" s="220"/>
      <c r="F1448" s="220"/>
      <c r="G1448" s="221"/>
    </row>
    <row r="1449">
      <c r="A1449" s="220"/>
      <c r="B1449" s="220"/>
      <c r="C1449" s="220"/>
      <c r="E1449" s="220"/>
      <c r="F1449" s="220"/>
      <c r="G1449" s="221"/>
    </row>
    <row r="1450">
      <c r="A1450" s="220"/>
      <c r="B1450" s="220"/>
      <c r="C1450" s="220"/>
      <c r="E1450" s="220"/>
      <c r="F1450" s="220"/>
      <c r="G1450" s="221"/>
    </row>
    <row r="1451">
      <c r="A1451" s="220"/>
      <c r="B1451" s="220"/>
      <c r="C1451" s="220"/>
      <c r="E1451" s="220"/>
      <c r="F1451" s="220"/>
      <c r="G1451" s="221"/>
    </row>
    <row r="1452">
      <c r="A1452" s="220"/>
      <c r="B1452" s="220"/>
      <c r="C1452" s="220"/>
      <c r="E1452" s="220"/>
      <c r="F1452" s="220"/>
      <c r="G1452" s="221"/>
    </row>
    <row r="1453">
      <c r="A1453" s="220"/>
      <c r="B1453" s="220"/>
      <c r="C1453" s="220"/>
      <c r="E1453" s="220"/>
      <c r="F1453" s="220"/>
      <c r="G1453" s="221"/>
    </row>
    <row r="1454">
      <c r="A1454" s="220"/>
      <c r="B1454" s="220"/>
      <c r="C1454" s="220"/>
      <c r="E1454" s="220"/>
      <c r="F1454" s="220"/>
      <c r="G1454" s="221"/>
    </row>
    <row r="1455">
      <c r="A1455" s="220"/>
      <c r="B1455" s="220"/>
      <c r="C1455" s="220"/>
      <c r="E1455" s="220"/>
      <c r="F1455" s="220"/>
      <c r="G1455" s="221"/>
    </row>
    <row r="1456">
      <c r="A1456" s="220"/>
      <c r="B1456" s="220"/>
      <c r="C1456" s="220"/>
      <c r="E1456" s="220"/>
      <c r="F1456" s="220"/>
      <c r="G1456" s="221"/>
    </row>
    <row r="1457">
      <c r="A1457" s="220"/>
      <c r="B1457" s="220"/>
      <c r="C1457" s="220"/>
      <c r="E1457" s="220"/>
      <c r="F1457" s="220"/>
      <c r="G1457" s="221"/>
    </row>
    <row r="1458">
      <c r="A1458" s="220"/>
      <c r="B1458" s="220"/>
      <c r="C1458" s="220"/>
      <c r="E1458" s="220"/>
      <c r="F1458" s="220"/>
      <c r="G1458" s="221"/>
    </row>
    <row r="1459">
      <c r="A1459" s="220"/>
      <c r="B1459" s="220"/>
      <c r="C1459" s="220"/>
      <c r="E1459" s="220"/>
      <c r="F1459" s="220"/>
      <c r="G1459" s="221"/>
    </row>
    <row r="1460">
      <c r="A1460" s="220"/>
      <c r="B1460" s="220"/>
      <c r="C1460" s="220"/>
      <c r="E1460" s="220"/>
      <c r="F1460" s="220"/>
      <c r="G1460" s="221"/>
    </row>
    <row r="1461">
      <c r="A1461" s="220"/>
      <c r="B1461" s="220"/>
      <c r="C1461" s="220"/>
      <c r="E1461" s="220"/>
      <c r="F1461" s="220"/>
      <c r="G1461" s="221"/>
    </row>
    <row r="1462">
      <c r="A1462" s="220"/>
      <c r="B1462" s="220"/>
      <c r="C1462" s="220"/>
      <c r="E1462" s="220"/>
      <c r="F1462" s="220"/>
      <c r="G1462" s="221"/>
    </row>
    <row r="1463">
      <c r="A1463" s="220"/>
      <c r="B1463" s="220"/>
      <c r="C1463" s="220"/>
      <c r="E1463" s="220"/>
      <c r="F1463" s="220"/>
      <c r="G1463" s="221"/>
    </row>
    <row r="1464">
      <c r="A1464" s="220"/>
      <c r="B1464" s="220"/>
      <c r="C1464" s="220"/>
      <c r="E1464" s="220"/>
      <c r="F1464" s="220"/>
      <c r="G1464" s="221"/>
    </row>
    <row r="1465">
      <c r="A1465" s="220"/>
      <c r="B1465" s="220"/>
      <c r="C1465" s="220"/>
      <c r="E1465" s="220"/>
      <c r="F1465" s="220"/>
      <c r="G1465" s="221"/>
    </row>
    <row r="1466">
      <c r="A1466" s="220"/>
      <c r="B1466" s="220"/>
      <c r="C1466" s="220"/>
      <c r="E1466" s="220"/>
      <c r="F1466" s="220"/>
      <c r="G1466" s="221"/>
    </row>
    <row r="1467">
      <c r="A1467" s="220"/>
      <c r="B1467" s="220"/>
      <c r="C1467" s="220"/>
      <c r="E1467" s="220"/>
      <c r="F1467" s="220"/>
      <c r="G1467" s="221"/>
    </row>
    <row r="1468">
      <c r="A1468" s="220"/>
      <c r="B1468" s="220"/>
      <c r="C1468" s="220"/>
      <c r="E1468" s="220"/>
      <c r="F1468" s="220"/>
      <c r="G1468" s="221"/>
    </row>
    <row r="1469">
      <c r="A1469" s="220"/>
      <c r="B1469" s="220"/>
      <c r="C1469" s="220"/>
      <c r="E1469" s="220"/>
      <c r="F1469" s="220"/>
      <c r="G1469" s="221"/>
    </row>
    <row r="1470">
      <c r="A1470" s="220"/>
      <c r="B1470" s="220"/>
      <c r="C1470" s="220"/>
      <c r="E1470" s="220"/>
      <c r="F1470" s="220"/>
      <c r="G1470" s="221"/>
    </row>
    <row r="1471">
      <c r="A1471" s="220"/>
      <c r="B1471" s="220"/>
      <c r="C1471" s="220"/>
      <c r="E1471" s="220"/>
      <c r="F1471" s="220"/>
      <c r="G1471" s="221"/>
    </row>
    <row r="1472">
      <c r="A1472" s="220"/>
      <c r="B1472" s="220"/>
      <c r="C1472" s="220"/>
      <c r="E1472" s="220"/>
      <c r="F1472" s="220"/>
      <c r="G1472" s="221"/>
    </row>
    <row r="1473">
      <c r="A1473" s="220"/>
      <c r="B1473" s="220"/>
      <c r="C1473" s="220"/>
      <c r="E1473" s="220"/>
      <c r="F1473" s="220"/>
      <c r="G1473" s="221"/>
    </row>
    <row r="1474">
      <c r="A1474" s="220"/>
      <c r="B1474" s="220"/>
      <c r="C1474" s="220"/>
      <c r="E1474" s="220"/>
      <c r="F1474" s="220"/>
      <c r="G1474" s="221"/>
    </row>
    <row r="1475">
      <c r="A1475" s="220"/>
      <c r="B1475" s="220"/>
      <c r="C1475" s="220"/>
      <c r="E1475" s="220"/>
      <c r="F1475" s="220"/>
      <c r="G1475" s="221"/>
    </row>
    <row r="1476">
      <c r="A1476" s="220"/>
      <c r="B1476" s="220"/>
      <c r="C1476" s="220"/>
      <c r="E1476" s="220"/>
      <c r="F1476" s="220"/>
      <c r="G1476" s="221"/>
    </row>
    <row r="1477">
      <c r="A1477" s="220"/>
      <c r="B1477" s="220"/>
      <c r="C1477" s="220"/>
      <c r="E1477" s="220"/>
      <c r="F1477" s="220"/>
      <c r="G1477" s="221"/>
    </row>
    <row r="1478">
      <c r="A1478" s="220"/>
      <c r="B1478" s="220"/>
      <c r="C1478" s="220"/>
      <c r="E1478" s="220"/>
      <c r="F1478" s="220"/>
      <c r="G1478" s="221"/>
    </row>
    <row r="1479">
      <c r="A1479" s="220"/>
      <c r="B1479" s="220"/>
      <c r="C1479" s="220"/>
      <c r="E1479" s="220"/>
      <c r="F1479" s="220"/>
      <c r="G1479" s="221"/>
    </row>
    <row r="1480">
      <c r="A1480" s="220"/>
      <c r="B1480" s="220"/>
      <c r="C1480" s="220"/>
      <c r="E1480" s="220"/>
      <c r="F1480" s="220"/>
      <c r="G1480" s="221"/>
    </row>
    <row r="1481">
      <c r="A1481" s="220"/>
      <c r="B1481" s="220"/>
      <c r="C1481" s="220"/>
      <c r="E1481" s="220"/>
      <c r="F1481" s="220"/>
      <c r="G1481" s="221"/>
    </row>
    <row r="1482">
      <c r="A1482" s="220"/>
      <c r="B1482" s="220"/>
      <c r="C1482" s="220"/>
      <c r="E1482" s="220"/>
      <c r="F1482" s="220"/>
      <c r="G1482" s="221"/>
    </row>
    <row r="1483">
      <c r="A1483" s="220"/>
      <c r="B1483" s="220"/>
      <c r="C1483" s="220"/>
      <c r="E1483" s="220"/>
      <c r="F1483" s="220"/>
      <c r="G1483" s="221"/>
    </row>
    <row r="1484">
      <c r="A1484" s="220"/>
      <c r="B1484" s="220"/>
      <c r="C1484" s="220"/>
      <c r="E1484" s="220"/>
      <c r="F1484" s="220"/>
      <c r="G1484" s="221"/>
    </row>
    <row r="1485">
      <c r="A1485" s="220"/>
      <c r="B1485" s="220"/>
      <c r="C1485" s="220"/>
      <c r="E1485" s="220"/>
      <c r="F1485" s="220"/>
      <c r="G1485" s="221"/>
    </row>
    <row r="1486">
      <c r="A1486" s="220"/>
      <c r="B1486" s="220"/>
      <c r="C1486" s="220"/>
      <c r="E1486" s="220"/>
      <c r="F1486" s="220"/>
      <c r="G1486" s="221"/>
    </row>
    <row r="1487">
      <c r="A1487" s="220"/>
      <c r="B1487" s="220"/>
      <c r="C1487" s="220"/>
      <c r="E1487" s="220"/>
      <c r="F1487" s="220"/>
      <c r="G1487" s="221"/>
    </row>
    <row r="1488">
      <c r="A1488" s="220"/>
      <c r="B1488" s="220"/>
      <c r="C1488" s="220"/>
      <c r="E1488" s="220"/>
      <c r="F1488" s="220"/>
      <c r="G1488" s="221"/>
    </row>
    <row r="1489">
      <c r="A1489" s="220"/>
      <c r="B1489" s="220"/>
      <c r="C1489" s="220"/>
      <c r="E1489" s="220"/>
      <c r="F1489" s="220"/>
      <c r="G1489" s="221"/>
    </row>
    <row r="1490">
      <c r="A1490" s="220"/>
      <c r="B1490" s="220"/>
      <c r="C1490" s="220"/>
      <c r="E1490" s="220"/>
      <c r="F1490" s="220"/>
      <c r="G1490" s="221"/>
    </row>
    <row r="1491">
      <c r="A1491" s="220"/>
      <c r="B1491" s="220"/>
      <c r="C1491" s="220"/>
      <c r="E1491" s="220"/>
      <c r="F1491" s="220"/>
      <c r="G1491" s="221"/>
    </row>
    <row r="1492">
      <c r="A1492" s="220"/>
      <c r="B1492" s="220"/>
      <c r="C1492" s="220"/>
      <c r="E1492" s="220"/>
      <c r="F1492" s="220"/>
      <c r="G1492" s="221"/>
    </row>
    <row r="1493">
      <c r="A1493" s="220"/>
      <c r="B1493" s="220"/>
      <c r="C1493" s="220"/>
      <c r="E1493" s="220"/>
      <c r="F1493" s="220"/>
      <c r="G1493" s="221"/>
    </row>
    <row r="1494">
      <c r="A1494" s="220"/>
      <c r="B1494" s="220"/>
      <c r="C1494" s="220"/>
      <c r="E1494" s="220"/>
      <c r="F1494" s="220"/>
      <c r="G1494" s="221"/>
    </row>
    <row r="1495">
      <c r="A1495" s="220"/>
      <c r="B1495" s="220"/>
      <c r="C1495" s="220"/>
      <c r="E1495" s="220"/>
      <c r="F1495" s="220"/>
      <c r="G1495" s="221"/>
    </row>
    <row r="1496">
      <c r="A1496" s="220"/>
      <c r="B1496" s="220"/>
      <c r="C1496" s="220"/>
      <c r="E1496" s="220"/>
      <c r="F1496" s="220"/>
      <c r="G1496" s="221"/>
    </row>
    <row r="1497">
      <c r="A1497" s="220"/>
      <c r="B1497" s="220"/>
      <c r="C1497" s="220"/>
      <c r="E1497" s="220"/>
      <c r="F1497" s="220"/>
      <c r="G1497" s="221"/>
    </row>
    <row r="1498">
      <c r="A1498" s="220"/>
      <c r="B1498" s="220"/>
      <c r="C1498" s="220"/>
      <c r="E1498" s="220"/>
      <c r="F1498" s="220"/>
      <c r="G1498" s="221"/>
    </row>
    <row r="1499">
      <c r="A1499" s="220"/>
      <c r="B1499" s="220"/>
      <c r="C1499" s="220"/>
      <c r="E1499" s="220"/>
      <c r="F1499" s="220"/>
      <c r="G1499" s="221"/>
    </row>
    <row r="1500">
      <c r="A1500" s="220"/>
      <c r="B1500" s="220"/>
      <c r="C1500" s="220"/>
      <c r="E1500" s="220"/>
      <c r="F1500" s="220"/>
      <c r="G1500" s="221"/>
    </row>
    <row r="1501">
      <c r="A1501" s="220"/>
      <c r="B1501" s="220"/>
      <c r="C1501" s="220"/>
      <c r="E1501" s="220"/>
      <c r="F1501" s="220"/>
      <c r="G1501" s="221"/>
    </row>
    <row r="1502">
      <c r="A1502" s="220"/>
      <c r="B1502" s="220"/>
      <c r="C1502" s="220"/>
      <c r="E1502" s="220"/>
      <c r="F1502" s="220"/>
      <c r="G1502" s="221"/>
    </row>
    <row r="1503">
      <c r="A1503" s="220"/>
      <c r="B1503" s="220"/>
      <c r="C1503" s="220"/>
      <c r="E1503" s="220"/>
      <c r="F1503" s="220"/>
      <c r="G1503" s="221"/>
    </row>
    <row r="1504">
      <c r="A1504" s="220"/>
      <c r="B1504" s="220"/>
      <c r="C1504" s="220"/>
      <c r="E1504" s="220"/>
      <c r="F1504" s="220"/>
      <c r="G1504" s="221"/>
    </row>
    <row r="1505">
      <c r="A1505" s="220"/>
      <c r="B1505" s="220"/>
      <c r="C1505" s="220"/>
      <c r="E1505" s="220"/>
      <c r="F1505" s="220"/>
      <c r="G1505" s="221"/>
    </row>
    <row r="1506">
      <c r="A1506" s="220"/>
      <c r="B1506" s="220"/>
      <c r="C1506" s="220"/>
      <c r="E1506" s="220"/>
      <c r="F1506" s="220"/>
      <c r="G1506" s="221"/>
    </row>
    <row r="1507">
      <c r="A1507" s="220"/>
      <c r="B1507" s="220"/>
      <c r="C1507" s="220"/>
      <c r="E1507" s="220"/>
      <c r="F1507" s="220"/>
      <c r="G1507" s="221"/>
    </row>
    <row r="1508">
      <c r="A1508" s="220"/>
      <c r="B1508" s="220"/>
      <c r="C1508" s="220"/>
      <c r="E1508" s="220"/>
      <c r="F1508" s="220"/>
      <c r="G1508" s="221"/>
    </row>
    <row r="1509">
      <c r="A1509" s="220"/>
      <c r="B1509" s="220"/>
      <c r="C1509" s="220"/>
      <c r="E1509" s="220"/>
      <c r="F1509" s="220"/>
      <c r="G1509" s="221"/>
    </row>
    <row r="1510">
      <c r="A1510" s="220"/>
      <c r="B1510" s="220"/>
      <c r="C1510" s="220"/>
      <c r="E1510" s="220"/>
      <c r="F1510" s="220"/>
      <c r="G1510" s="221"/>
    </row>
    <row r="1511">
      <c r="A1511" s="220"/>
      <c r="B1511" s="220"/>
      <c r="C1511" s="220"/>
      <c r="E1511" s="220"/>
      <c r="F1511" s="220"/>
      <c r="G1511" s="221"/>
    </row>
    <row r="1512">
      <c r="A1512" s="220"/>
      <c r="B1512" s="220"/>
      <c r="C1512" s="220"/>
      <c r="E1512" s="220"/>
      <c r="F1512" s="220"/>
      <c r="G1512" s="221"/>
    </row>
    <row r="1513">
      <c r="A1513" s="220"/>
      <c r="B1513" s="220"/>
      <c r="C1513" s="220"/>
      <c r="E1513" s="220"/>
      <c r="F1513" s="220"/>
      <c r="G1513" s="221"/>
    </row>
    <row r="1514">
      <c r="A1514" s="220"/>
      <c r="B1514" s="220"/>
      <c r="C1514" s="220"/>
      <c r="E1514" s="220"/>
      <c r="F1514" s="220"/>
      <c r="G1514" s="221"/>
    </row>
    <row r="1515">
      <c r="A1515" s="220"/>
      <c r="B1515" s="220"/>
      <c r="C1515" s="220"/>
      <c r="E1515" s="220"/>
      <c r="F1515" s="220"/>
      <c r="G1515" s="221"/>
    </row>
    <row r="1516">
      <c r="A1516" s="220"/>
      <c r="B1516" s="220"/>
      <c r="C1516" s="220"/>
      <c r="E1516" s="220"/>
      <c r="F1516" s="220"/>
      <c r="G1516" s="221"/>
    </row>
    <row r="1517">
      <c r="A1517" s="220"/>
      <c r="B1517" s="220"/>
      <c r="C1517" s="220"/>
      <c r="E1517" s="220"/>
      <c r="F1517" s="220"/>
      <c r="G1517" s="221"/>
    </row>
    <row r="1518">
      <c r="A1518" s="220"/>
      <c r="B1518" s="220"/>
      <c r="C1518" s="220"/>
      <c r="E1518" s="220"/>
      <c r="F1518" s="220"/>
      <c r="G1518" s="221"/>
    </row>
    <row r="1519">
      <c r="A1519" s="220"/>
      <c r="B1519" s="220"/>
      <c r="C1519" s="220"/>
      <c r="E1519" s="220"/>
      <c r="F1519" s="220"/>
      <c r="G1519" s="221"/>
    </row>
    <row r="1520">
      <c r="A1520" s="220"/>
      <c r="B1520" s="220"/>
      <c r="C1520" s="220"/>
      <c r="E1520" s="220"/>
      <c r="F1520" s="220"/>
      <c r="G1520" s="221"/>
    </row>
    <row r="1521">
      <c r="A1521" s="220"/>
      <c r="B1521" s="220"/>
      <c r="C1521" s="220"/>
      <c r="E1521" s="220"/>
      <c r="F1521" s="220"/>
      <c r="G1521" s="221"/>
    </row>
    <row r="1522">
      <c r="A1522" s="220"/>
      <c r="B1522" s="220"/>
      <c r="C1522" s="220"/>
      <c r="E1522" s="220"/>
      <c r="F1522" s="220"/>
      <c r="G1522" s="221"/>
    </row>
    <row r="1523">
      <c r="A1523" s="220"/>
      <c r="B1523" s="220"/>
      <c r="C1523" s="220"/>
      <c r="E1523" s="220"/>
      <c r="F1523" s="220"/>
      <c r="G1523" s="221"/>
    </row>
    <row r="1524">
      <c r="A1524" s="220"/>
      <c r="B1524" s="220"/>
      <c r="C1524" s="220"/>
      <c r="E1524" s="220"/>
      <c r="F1524" s="220"/>
      <c r="G1524" s="221"/>
    </row>
    <row r="1525">
      <c r="A1525" s="220"/>
      <c r="B1525" s="220"/>
      <c r="C1525" s="220"/>
      <c r="E1525" s="220"/>
      <c r="F1525" s="220"/>
      <c r="G1525" s="221"/>
    </row>
    <row r="1526">
      <c r="A1526" s="220"/>
      <c r="B1526" s="220"/>
      <c r="C1526" s="220"/>
      <c r="E1526" s="220"/>
      <c r="F1526" s="220"/>
      <c r="G1526" s="221"/>
    </row>
    <row r="1527">
      <c r="A1527" s="220"/>
      <c r="B1527" s="220"/>
      <c r="C1527" s="220"/>
      <c r="E1527" s="220"/>
      <c r="F1527" s="220"/>
      <c r="G1527" s="221"/>
    </row>
    <row r="1528">
      <c r="A1528" s="220"/>
      <c r="B1528" s="220"/>
      <c r="C1528" s="220"/>
      <c r="E1528" s="220"/>
      <c r="F1528" s="220"/>
      <c r="G1528" s="221"/>
    </row>
    <row r="1529">
      <c r="A1529" s="220"/>
      <c r="B1529" s="220"/>
      <c r="C1529" s="220"/>
      <c r="E1529" s="220"/>
      <c r="F1529" s="220"/>
      <c r="G1529" s="221"/>
    </row>
    <row r="1530">
      <c r="A1530" s="220"/>
      <c r="B1530" s="220"/>
      <c r="C1530" s="220"/>
      <c r="E1530" s="220"/>
      <c r="F1530" s="220"/>
      <c r="G1530" s="221"/>
    </row>
    <row r="1531">
      <c r="A1531" s="220"/>
      <c r="B1531" s="220"/>
      <c r="C1531" s="220"/>
      <c r="E1531" s="220"/>
      <c r="F1531" s="220"/>
      <c r="G1531" s="221"/>
    </row>
    <row r="1532">
      <c r="A1532" s="220"/>
      <c r="B1532" s="220"/>
      <c r="C1532" s="220"/>
      <c r="E1532" s="220"/>
      <c r="F1532" s="220"/>
      <c r="G1532" s="221"/>
    </row>
    <row r="1533">
      <c r="A1533" s="220"/>
      <c r="B1533" s="220"/>
      <c r="C1533" s="220"/>
      <c r="E1533" s="220"/>
      <c r="F1533" s="220"/>
      <c r="G1533" s="221"/>
    </row>
    <row r="1534">
      <c r="A1534" s="220"/>
      <c r="B1534" s="220"/>
      <c r="C1534" s="220"/>
      <c r="E1534" s="220"/>
      <c r="F1534" s="220"/>
      <c r="G1534" s="221"/>
    </row>
    <row r="1535">
      <c r="A1535" s="220"/>
      <c r="B1535" s="220"/>
      <c r="C1535" s="220"/>
      <c r="E1535" s="220"/>
      <c r="F1535" s="220"/>
      <c r="G1535" s="221"/>
    </row>
    <row r="1536">
      <c r="A1536" s="220"/>
      <c r="B1536" s="220"/>
      <c r="C1536" s="220"/>
      <c r="E1536" s="220"/>
      <c r="F1536" s="220"/>
      <c r="G1536" s="221"/>
    </row>
    <row r="1537">
      <c r="A1537" s="220"/>
      <c r="B1537" s="220"/>
      <c r="C1537" s="220"/>
      <c r="E1537" s="220"/>
      <c r="F1537" s="220"/>
      <c r="G1537" s="221"/>
    </row>
    <row r="1538">
      <c r="A1538" s="220"/>
      <c r="B1538" s="220"/>
      <c r="C1538" s="220"/>
      <c r="E1538" s="220"/>
      <c r="F1538" s="220"/>
      <c r="G1538" s="221"/>
    </row>
    <row r="1539">
      <c r="A1539" s="220"/>
      <c r="B1539" s="220"/>
      <c r="C1539" s="220"/>
      <c r="E1539" s="220"/>
      <c r="F1539" s="220"/>
      <c r="G1539" s="221"/>
    </row>
    <row r="1540">
      <c r="A1540" s="220"/>
      <c r="B1540" s="220"/>
      <c r="C1540" s="220"/>
      <c r="E1540" s="220"/>
      <c r="F1540" s="220"/>
      <c r="G1540" s="221"/>
    </row>
    <row r="1541">
      <c r="A1541" s="220"/>
      <c r="B1541" s="220"/>
      <c r="C1541" s="220"/>
      <c r="E1541" s="220"/>
      <c r="F1541" s="220"/>
      <c r="G1541" s="221"/>
    </row>
    <row r="1542">
      <c r="A1542" s="220"/>
      <c r="B1542" s="220"/>
      <c r="C1542" s="220"/>
      <c r="E1542" s="220"/>
      <c r="F1542" s="220"/>
      <c r="G1542" s="221"/>
    </row>
    <row r="1543">
      <c r="A1543" s="220"/>
      <c r="B1543" s="220"/>
      <c r="C1543" s="220"/>
      <c r="E1543" s="220"/>
      <c r="F1543" s="220"/>
      <c r="G1543" s="221"/>
    </row>
    <row r="1544">
      <c r="A1544" s="220"/>
      <c r="B1544" s="220"/>
      <c r="C1544" s="220"/>
      <c r="E1544" s="220"/>
      <c r="F1544" s="220"/>
      <c r="G1544" s="221"/>
    </row>
    <row r="1545">
      <c r="A1545" s="220"/>
      <c r="B1545" s="220"/>
      <c r="C1545" s="220"/>
      <c r="E1545" s="220"/>
      <c r="F1545" s="220"/>
      <c r="G1545" s="221"/>
    </row>
    <row r="1546">
      <c r="A1546" s="220"/>
      <c r="B1546" s="220"/>
      <c r="C1546" s="220"/>
      <c r="E1546" s="220"/>
      <c r="F1546" s="220"/>
      <c r="G1546" s="221"/>
    </row>
    <row r="1547">
      <c r="A1547" s="220"/>
      <c r="B1547" s="220"/>
      <c r="C1547" s="220"/>
      <c r="E1547" s="220"/>
      <c r="F1547" s="220"/>
      <c r="G1547" s="221"/>
    </row>
    <row r="1548">
      <c r="A1548" s="220"/>
      <c r="B1548" s="220"/>
      <c r="C1548" s="220"/>
      <c r="E1548" s="220"/>
      <c r="F1548" s="220"/>
      <c r="G1548" s="221"/>
    </row>
    <row r="1549">
      <c r="A1549" s="220"/>
      <c r="B1549" s="220"/>
      <c r="C1549" s="220"/>
      <c r="E1549" s="220"/>
      <c r="F1549" s="220"/>
      <c r="G1549" s="221"/>
    </row>
    <row r="1550">
      <c r="A1550" s="220"/>
      <c r="B1550" s="220"/>
      <c r="C1550" s="220"/>
      <c r="E1550" s="220"/>
      <c r="F1550" s="220"/>
      <c r="G1550" s="221"/>
    </row>
    <row r="1551">
      <c r="A1551" s="220"/>
      <c r="B1551" s="220"/>
      <c r="C1551" s="220"/>
      <c r="E1551" s="220"/>
      <c r="F1551" s="220"/>
      <c r="G1551" s="221"/>
    </row>
    <row r="1552">
      <c r="A1552" s="220"/>
      <c r="B1552" s="220"/>
      <c r="C1552" s="220"/>
      <c r="E1552" s="220"/>
      <c r="F1552" s="220"/>
      <c r="G1552" s="221"/>
    </row>
    <row r="1553">
      <c r="A1553" s="220"/>
      <c r="B1553" s="220"/>
      <c r="C1553" s="220"/>
      <c r="E1553" s="220"/>
      <c r="F1553" s="220"/>
      <c r="G1553" s="221"/>
    </row>
    <row r="1554">
      <c r="A1554" s="220"/>
      <c r="B1554" s="220"/>
      <c r="C1554" s="220"/>
      <c r="E1554" s="220"/>
      <c r="F1554" s="220"/>
      <c r="G1554" s="221"/>
    </row>
    <row r="1555">
      <c r="A1555" s="220"/>
      <c r="B1555" s="220"/>
      <c r="C1555" s="220"/>
      <c r="E1555" s="220"/>
      <c r="F1555" s="220"/>
      <c r="G1555" s="221"/>
    </row>
    <row r="1556">
      <c r="A1556" s="220"/>
      <c r="B1556" s="220"/>
      <c r="C1556" s="220"/>
      <c r="E1556" s="220"/>
      <c r="F1556" s="220"/>
      <c r="G1556" s="221"/>
    </row>
    <row r="1557">
      <c r="A1557" s="220"/>
      <c r="B1557" s="220"/>
      <c r="C1557" s="220"/>
      <c r="E1557" s="220"/>
      <c r="F1557" s="220"/>
      <c r="G1557" s="221"/>
    </row>
    <row r="1558">
      <c r="A1558" s="220"/>
      <c r="B1558" s="220"/>
      <c r="C1558" s="220"/>
      <c r="E1558" s="220"/>
      <c r="F1558" s="220"/>
      <c r="G1558" s="221"/>
    </row>
    <row r="1559">
      <c r="A1559" s="220"/>
      <c r="B1559" s="220"/>
      <c r="C1559" s="220"/>
      <c r="E1559" s="220"/>
      <c r="F1559" s="220"/>
      <c r="G1559" s="221"/>
    </row>
    <row r="1560">
      <c r="A1560" s="220"/>
      <c r="B1560" s="220"/>
      <c r="C1560" s="220"/>
      <c r="E1560" s="220"/>
      <c r="F1560" s="220"/>
      <c r="G1560" s="221"/>
    </row>
    <row r="1561">
      <c r="A1561" s="220"/>
      <c r="B1561" s="220"/>
      <c r="C1561" s="220"/>
      <c r="E1561" s="220"/>
      <c r="F1561" s="220"/>
      <c r="G1561" s="221"/>
    </row>
    <row r="1562">
      <c r="A1562" s="220"/>
      <c r="B1562" s="220"/>
      <c r="C1562" s="220"/>
      <c r="E1562" s="220"/>
      <c r="F1562" s="220"/>
      <c r="G1562" s="221"/>
    </row>
    <row r="1563">
      <c r="A1563" s="220"/>
      <c r="B1563" s="220"/>
      <c r="C1563" s="220"/>
      <c r="E1563" s="220"/>
      <c r="F1563" s="220"/>
      <c r="G1563" s="221"/>
    </row>
    <row r="1564">
      <c r="A1564" s="220"/>
      <c r="B1564" s="220"/>
      <c r="C1564" s="220"/>
      <c r="E1564" s="220"/>
      <c r="F1564" s="220"/>
      <c r="G1564" s="221"/>
    </row>
    <row r="1565">
      <c r="A1565" s="220"/>
      <c r="B1565" s="220"/>
      <c r="C1565" s="220"/>
      <c r="E1565" s="220"/>
      <c r="F1565" s="220"/>
      <c r="G1565" s="221"/>
    </row>
    <row r="1566">
      <c r="A1566" s="220"/>
      <c r="B1566" s="220"/>
      <c r="C1566" s="220"/>
      <c r="E1566" s="220"/>
      <c r="F1566" s="220"/>
      <c r="G1566" s="221"/>
    </row>
    <row r="1567">
      <c r="A1567" s="220"/>
      <c r="B1567" s="220"/>
      <c r="C1567" s="220"/>
      <c r="E1567" s="220"/>
      <c r="F1567" s="220"/>
      <c r="G1567" s="221"/>
    </row>
    <row r="1568">
      <c r="A1568" s="220"/>
      <c r="B1568" s="220"/>
      <c r="C1568" s="220"/>
      <c r="E1568" s="220"/>
      <c r="F1568" s="220"/>
      <c r="G1568" s="221"/>
    </row>
    <row r="1569">
      <c r="A1569" s="220"/>
      <c r="B1569" s="220"/>
      <c r="C1569" s="220"/>
      <c r="E1569" s="220"/>
      <c r="F1569" s="220"/>
      <c r="G1569" s="221"/>
    </row>
    <row r="1570">
      <c r="A1570" s="220"/>
      <c r="B1570" s="220"/>
      <c r="C1570" s="220"/>
      <c r="E1570" s="220"/>
      <c r="F1570" s="220"/>
      <c r="G1570" s="221"/>
    </row>
    <row r="1571">
      <c r="A1571" s="220"/>
      <c r="B1571" s="220"/>
      <c r="C1571" s="220"/>
      <c r="E1571" s="220"/>
      <c r="F1571" s="220"/>
      <c r="G1571" s="221"/>
    </row>
    <row r="1572">
      <c r="A1572" s="220"/>
      <c r="B1572" s="220"/>
      <c r="C1572" s="220"/>
      <c r="E1572" s="220"/>
      <c r="F1572" s="220"/>
      <c r="G1572" s="221"/>
    </row>
    <row r="1573">
      <c r="A1573" s="220"/>
      <c r="B1573" s="220"/>
      <c r="C1573" s="220"/>
      <c r="E1573" s="220"/>
      <c r="F1573" s="220"/>
      <c r="G1573" s="221"/>
    </row>
    <row r="1574">
      <c r="A1574" s="220"/>
      <c r="B1574" s="220"/>
      <c r="C1574" s="220"/>
      <c r="E1574" s="220"/>
      <c r="F1574" s="220"/>
      <c r="G1574" s="221"/>
    </row>
    <row r="1575">
      <c r="A1575" s="220"/>
      <c r="B1575" s="220"/>
      <c r="C1575" s="220"/>
      <c r="E1575" s="220"/>
      <c r="F1575" s="220"/>
      <c r="G1575" s="221"/>
    </row>
    <row r="1576">
      <c r="A1576" s="220"/>
      <c r="B1576" s="220"/>
      <c r="C1576" s="220"/>
      <c r="E1576" s="220"/>
      <c r="F1576" s="220"/>
      <c r="G1576" s="221"/>
    </row>
    <row r="1577">
      <c r="A1577" s="220"/>
      <c r="B1577" s="220"/>
      <c r="C1577" s="220"/>
      <c r="E1577" s="220"/>
      <c r="F1577" s="220"/>
      <c r="G1577" s="221"/>
    </row>
    <row r="1578">
      <c r="A1578" s="220"/>
      <c r="B1578" s="220"/>
      <c r="C1578" s="220"/>
      <c r="E1578" s="220"/>
      <c r="F1578" s="220"/>
      <c r="G1578" s="221"/>
    </row>
    <row r="1579">
      <c r="A1579" s="220"/>
      <c r="B1579" s="220"/>
      <c r="C1579" s="220"/>
      <c r="E1579" s="220"/>
      <c r="F1579" s="220"/>
      <c r="G1579" s="221"/>
    </row>
    <row r="1580">
      <c r="A1580" s="220"/>
      <c r="B1580" s="220"/>
      <c r="C1580" s="220"/>
      <c r="E1580" s="220"/>
      <c r="F1580" s="220"/>
      <c r="G1580" s="221"/>
    </row>
    <row r="1581">
      <c r="A1581" s="220"/>
      <c r="B1581" s="220"/>
      <c r="C1581" s="220"/>
      <c r="E1581" s="220"/>
      <c r="F1581" s="220"/>
      <c r="G1581" s="221"/>
    </row>
    <row r="1582">
      <c r="A1582" s="220"/>
      <c r="B1582" s="220"/>
      <c r="C1582" s="220"/>
      <c r="E1582" s="220"/>
      <c r="F1582" s="220"/>
      <c r="G1582" s="221"/>
    </row>
    <row r="1583">
      <c r="A1583" s="220"/>
      <c r="B1583" s="220"/>
      <c r="C1583" s="220"/>
      <c r="E1583" s="220"/>
      <c r="F1583" s="220"/>
      <c r="G1583" s="221"/>
    </row>
    <row r="1584">
      <c r="A1584" s="220"/>
      <c r="B1584" s="220"/>
      <c r="C1584" s="220"/>
      <c r="E1584" s="220"/>
      <c r="F1584" s="220"/>
      <c r="G1584" s="221"/>
    </row>
    <row r="1585">
      <c r="A1585" s="220"/>
      <c r="B1585" s="220"/>
      <c r="C1585" s="220"/>
      <c r="E1585" s="220"/>
      <c r="F1585" s="220"/>
      <c r="G1585" s="221"/>
    </row>
    <row r="1586">
      <c r="A1586" s="220"/>
      <c r="B1586" s="220"/>
      <c r="C1586" s="220"/>
      <c r="E1586" s="220"/>
      <c r="F1586" s="220"/>
      <c r="G1586" s="221"/>
    </row>
    <row r="1587">
      <c r="A1587" s="220"/>
      <c r="B1587" s="220"/>
      <c r="C1587" s="220"/>
      <c r="E1587" s="220"/>
      <c r="F1587" s="220"/>
      <c r="G1587" s="221"/>
    </row>
    <row r="1588">
      <c r="A1588" s="220"/>
      <c r="B1588" s="220"/>
      <c r="C1588" s="220"/>
      <c r="E1588" s="220"/>
      <c r="F1588" s="220"/>
      <c r="G1588" s="221"/>
    </row>
    <row r="1589">
      <c r="A1589" s="220"/>
      <c r="B1589" s="220"/>
      <c r="C1589" s="220"/>
      <c r="E1589" s="220"/>
      <c r="F1589" s="220"/>
      <c r="G1589" s="221"/>
    </row>
    <row r="1590">
      <c r="A1590" s="220"/>
      <c r="B1590" s="220"/>
      <c r="C1590" s="220"/>
      <c r="E1590" s="220"/>
      <c r="F1590" s="220"/>
      <c r="G1590" s="221"/>
    </row>
    <row r="1591">
      <c r="A1591" s="220"/>
      <c r="B1591" s="220"/>
      <c r="C1591" s="220"/>
      <c r="E1591" s="220"/>
      <c r="F1591" s="220"/>
      <c r="G1591" s="221"/>
    </row>
    <row r="1592">
      <c r="A1592" s="220"/>
      <c r="B1592" s="220"/>
      <c r="C1592" s="220"/>
      <c r="E1592" s="220"/>
      <c r="F1592" s="220"/>
      <c r="G1592" s="221"/>
    </row>
    <row r="1593">
      <c r="A1593" s="220"/>
      <c r="B1593" s="220"/>
      <c r="C1593" s="220"/>
      <c r="E1593" s="220"/>
      <c r="F1593" s="220"/>
      <c r="G1593" s="221"/>
    </row>
    <row r="1594">
      <c r="A1594" s="220"/>
      <c r="B1594" s="220"/>
      <c r="C1594" s="220"/>
      <c r="E1594" s="220"/>
      <c r="F1594" s="220"/>
      <c r="G1594" s="221"/>
    </row>
    <row r="1595">
      <c r="A1595" s="220"/>
      <c r="B1595" s="220"/>
      <c r="C1595" s="220"/>
      <c r="E1595" s="220"/>
      <c r="F1595" s="220"/>
      <c r="G1595" s="221"/>
    </row>
    <row r="1596">
      <c r="A1596" s="220"/>
      <c r="B1596" s="220"/>
      <c r="C1596" s="220"/>
      <c r="E1596" s="220"/>
      <c r="F1596" s="220"/>
      <c r="G1596" s="221"/>
    </row>
    <row r="1597">
      <c r="A1597" s="220"/>
      <c r="B1597" s="220"/>
      <c r="C1597" s="220"/>
      <c r="E1597" s="220"/>
      <c r="F1597" s="220"/>
      <c r="G1597" s="221"/>
    </row>
    <row r="1598">
      <c r="A1598" s="220"/>
      <c r="B1598" s="220"/>
      <c r="C1598" s="220"/>
      <c r="E1598" s="220"/>
      <c r="F1598" s="220"/>
      <c r="G1598" s="221"/>
    </row>
    <row r="1599">
      <c r="A1599" s="220"/>
      <c r="B1599" s="220"/>
      <c r="C1599" s="220"/>
      <c r="E1599" s="220"/>
      <c r="F1599" s="220"/>
      <c r="G1599" s="221"/>
    </row>
    <row r="1600">
      <c r="A1600" s="220"/>
      <c r="B1600" s="220"/>
      <c r="C1600" s="220"/>
      <c r="E1600" s="220"/>
      <c r="F1600" s="220"/>
      <c r="G1600" s="221"/>
    </row>
    <row r="1601">
      <c r="A1601" s="220"/>
      <c r="B1601" s="220"/>
      <c r="C1601" s="220"/>
      <c r="E1601" s="220"/>
      <c r="F1601" s="220"/>
      <c r="G1601" s="221"/>
    </row>
    <row r="1602">
      <c r="A1602" s="220"/>
      <c r="B1602" s="220"/>
      <c r="C1602" s="220"/>
      <c r="E1602" s="220"/>
      <c r="F1602" s="220"/>
      <c r="G1602" s="221"/>
    </row>
    <row r="1603">
      <c r="A1603" s="220"/>
      <c r="B1603" s="220"/>
      <c r="C1603" s="220"/>
      <c r="E1603" s="220"/>
      <c r="F1603" s="220"/>
      <c r="G1603" s="221"/>
    </row>
    <row r="1604">
      <c r="A1604" s="220"/>
      <c r="B1604" s="220"/>
      <c r="C1604" s="220"/>
      <c r="E1604" s="220"/>
      <c r="F1604" s="220"/>
      <c r="G1604" s="221"/>
    </row>
    <row r="1605">
      <c r="A1605" s="220"/>
      <c r="B1605" s="220"/>
      <c r="C1605" s="220"/>
      <c r="E1605" s="220"/>
      <c r="F1605" s="220"/>
      <c r="G1605" s="221"/>
    </row>
    <row r="1606">
      <c r="A1606" s="220"/>
      <c r="B1606" s="220"/>
      <c r="C1606" s="220"/>
      <c r="E1606" s="220"/>
      <c r="F1606" s="220"/>
      <c r="G1606" s="221"/>
    </row>
    <row r="1607">
      <c r="A1607" s="220"/>
      <c r="B1607" s="220"/>
      <c r="C1607" s="220"/>
      <c r="E1607" s="220"/>
      <c r="F1607" s="220"/>
      <c r="G1607" s="221"/>
    </row>
    <row r="1608">
      <c r="A1608" s="220"/>
      <c r="B1608" s="220"/>
      <c r="C1608" s="220"/>
      <c r="E1608" s="220"/>
      <c r="F1608" s="220"/>
      <c r="G1608" s="221"/>
    </row>
    <row r="1609">
      <c r="A1609" s="220"/>
      <c r="B1609" s="220"/>
      <c r="C1609" s="220"/>
      <c r="E1609" s="220"/>
      <c r="F1609" s="220"/>
      <c r="G1609" s="221"/>
    </row>
    <row r="1610">
      <c r="A1610" s="220"/>
      <c r="B1610" s="220"/>
      <c r="C1610" s="220"/>
      <c r="E1610" s="220"/>
      <c r="F1610" s="220"/>
      <c r="G1610" s="221"/>
    </row>
    <row r="1611">
      <c r="A1611" s="220"/>
      <c r="B1611" s="220"/>
      <c r="C1611" s="220"/>
      <c r="E1611" s="220"/>
      <c r="F1611" s="220"/>
      <c r="G1611" s="221"/>
    </row>
    <row r="1612">
      <c r="A1612" s="220"/>
      <c r="B1612" s="220"/>
      <c r="C1612" s="220"/>
      <c r="E1612" s="220"/>
      <c r="F1612" s="220"/>
      <c r="G1612" s="221"/>
    </row>
    <row r="1613">
      <c r="A1613" s="220"/>
      <c r="B1613" s="220"/>
      <c r="C1613" s="220"/>
      <c r="E1613" s="220"/>
      <c r="F1613" s="220"/>
      <c r="G1613" s="221"/>
    </row>
    <row r="1614">
      <c r="A1614" s="220"/>
      <c r="B1614" s="220"/>
      <c r="C1614" s="220"/>
      <c r="E1614" s="220"/>
      <c r="F1614" s="220"/>
      <c r="G1614" s="221"/>
    </row>
    <row r="1615">
      <c r="A1615" s="220"/>
      <c r="B1615" s="220"/>
      <c r="C1615" s="220"/>
      <c r="E1615" s="220"/>
      <c r="F1615" s="220"/>
      <c r="G1615" s="221"/>
    </row>
    <row r="1616">
      <c r="A1616" s="220"/>
      <c r="B1616" s="220"/>
      <c r="C1616" s="220"/>
      <c r="E1616" s="220"/>
      <c r="F1616" s="220"/>
      <c r="G1616" s="221"/>
    </row>
    <row r="1617">
      <c r="A1617" s="220"/>
      <c r="B1617" s="220"/>
      <c r="C1617" s="220"/>
      <c r="E1617" s="220"/>
      <c r="F1617" s="220"/>
      <c r="G1617" s="221"/>
    </row>
    <row r="1618">
      <c r="A1618" s="220"/>
      <c r="B1618" s="220"/>
      <c r="C1618" s="220"/>
      <c r="E1618" s="220"/>
      <c r="F1618" s="220"/>
      <c r="G1618" s="221"/>
    </row>
    <row r="1619">
      <c r="A1619" s="220"/>
      <c r="B1619" s="220"/>
      <c r="C1619" s="220"/>
      <c r="E1619" s="220"/>
      <c r="F1619" s="220"/>
      <c r="G1619" s="221"/>
    </row>
    <row r="1620">
      <c r="A1620" s="220"/>
      <c r="B1620" s="220"/>
      <c r="C1620" s="220"/>
      <c r="E1620" s="220"/>
      <c r="F1620" s="220"/>
      <c r="G1620" s="221"/>
    </row>
    <row r="1621">
      <c r="A1621" s="220"/>
      <c r="B1621" s="220"/>
      <c r="C1621" s="220"/>
      <c r="E1621" s="220"/>
      <c r="F1621" s="220"/>
      <c r="G1621" s="221"/>
    </row>
    <row r="1622">
      <c r="A1622" s="220"/>
      <c r="B1622" s="220"/>
      <c r="C1622" s="220"/>
      <c r="E1622" s="220"/>
      <c r="F1622" s="220"/>
      <c r="G1622" s="221"/>
    </row>
    <row r="1623">
      <c r="A1623" s="220"/>
      <c r="B1623" s="220"/>
      <c r="C1623" s="220"/>
      <c r="E1623" s="220"/>
      <c r="F1623" s="220"/>
      <c r="G1623" s="221"/>
    </row>
    <row r="1624">
      <c r="A1624" s="220"/>
      <c r="B1624" s="220"/>
      <c r="C1624" s="220"/>
      <c r="E1624" s="220"/>
      <c r="F1624" s="220"/>
      <c r="G1624" s="221"/>
    </row>
    <row r="1625">
      <c r="A1625" s="220"/>
      <c r="B1625" s="220"/>
      <c r="C1625" s="220"/>
      <c r="E1625" s="220"/>
      <c r="F1625" s="220"/>
      <c r="G1625" s="221"/>
    </row>
    <row r="1626">
      <c r="A1626" s="220"/>
      <c r="B1626" s="220"/>
      <c r="C1626" s="220"/>
      <c r="E1626" s="220"/>
      <c r="F1626" s="220"/>
      <c r="G1626" s="221"/>
    </row>
    <row r="1627">
      <c r="A1627" s="220"/>
      <c r="B1627" s="220"/>
      <c r="C1627" s="220"/>
      <c r="E1627" s="220"/>
      <c r="F1627" s="220"/>
      <c r="G1627" s="221"/>
    </row>
    <row r="1628">
      <c r="A1628" s="220"/>
      <c r="B1628" s="220"/>
      <c r="C1628" s="220"/>
      <c r="E1628" s="220"/>
      <c r="F1628" s="220"/>
      <c r="G1628" s="221"/>
    </row>
    <row r="1629">
      <c r="A1629" s="220"/>
      <c r="B1629" s="220"/>
      <c r="C1629" s="220"/>
      <c r="E1629" s="220"/>
      <c r="F1629" s="220"/>
      <c r="G1629" s="221"/>
    </row>
    <row r="1630">
      <c r="A1630" s="220"/>
      <c r="B1630" s="220"/>
      <c r="C1630" s="220"/>
      <c r="E1630" s="220"/>
      <c r="F1630" s="220"/>
      <c r="G1630" s="221"/>
    </row>
    <row r="1631">
      <c r="A1631" s="220"/>
      <c r="B1631" s="220"/>
      <c r="C1631" s="220"/>
      <c r="E1631" s="220"/>
      <c r="F1631" s="220"/>
      <c r="G1631" s="221"/>
    </row>
    <row r="1632">
      <c r="A1632" s="220"/>
      <c r="B1632" s="220"/>
      <c r="C1632" s="220"/>
      <c r="E1632" s="220"/>
      <c r="F1632" s="220"/>
      <c r="G1632" s="221"/>
    </row>
    <row r="1633">
      <c r="A1633" s="220"/>
      <c r="B1633" s="220"/>
      <c r="C1633" s="220"/>
      <c r="E1633" s="220"/>
      <c r="F1633" s="220"/>
      <c r="G1633" s="221"/>
    </row>
    <row r="1634">
      <c r="A1634" s="220"/>
      <c r="B1634" s="220"/>
      <c r="C1634" s="220"/>
      <c r="E1634" s="220"/>
      <c r="F1634" s="220"/>
      <c r="G1634" s="221"/>
    </row>
    <row r="1635">
      <c r="A1635" s="220"/>
      <c r="B1635" s="220"/>
      <c r="C1635" s="220"/>
      <c r="E1635" s="220"/>
      <c r="F1635" s="220"/>
      <c r="G1635" s="221"/>
    </row>
    <row r="1636">
      <c r="A1636" s="220"/>
      <c r="B1636" s="220"/>
      <c r="C1636" s="220"/>
      <c r="E1636" s="220"/>
      <c r="F1636" s="220"/>
      <c r="G1636" s="221"/>
    </row>
    <row r="1637">
      <c r="A1637" s="220"/>
      <c r="B1637" s="220"/>
      <c r="C1637" s="220"/>
      <c r="E1637" s="220"/>
      <c r="F1637" s="220"/>
      <c r="G1637" s="221"/>
    </row>
    <row r="1638">
      <c r="A1638" s="220"/>
      <c r="B1638" s="220"/>
      <c r="C1638" s="220"/>
      <c r="E1638" s="220"/>
      <c r="F1638" s="220"/>
      <c r="G1638" s="221"/>
    </row>
    <row r="1639">
      <c r="A1639" s="220"/>
      <c r="B1639" s="220"/>
      <c r="C1639" s="220"/>
      <c r="E1639" s="220"/>
      <c r="F1639" s="220"/>
      <c r="G1639" s="221"/>
    </row>
    <row r="1640">
      <c r="A1640" s="220"/>
      <c r="B1640" s="220"/>
      <c r="C1640" s="220"/>
      <c r="E1640" s="220"/>
      <c r="F1640" s="220"/>
      <c r="G1640" s="221"/>
    </row>
    <row r="1641">
      <c r="A1641" s="220"/>
      <c r="B1641" s="220"/>
      <c r="C1641" s="220"/>
      <c r="E1641" s="220"/>
      <c r="F1641" s="220"/>
      <c r="G1641" s="221"/>
    </row>
    <row r="1642">
      <c r="A1642" s="220"/>
      <c r="B1642" s="220"/>
      <c r="C1642" s="220"/>
      <c r="E1642" s="220"/>
      <c r="F1642" s="220"/>
      <c r="G1642" s="221"/>
    </row>
    <row r="1643">
      <c r="A1643" s="220"/>
      <c r="B1643" s="220"/>
      <c r="C1643" s="220"/>
      <c r="E1643" s="220"/>
      <c r="F1643" s="220"/>
      <c r="G1643" s="221"/>
    </row>
    <row r="1644">
      <c r="A1644" s="220"/>
      <c r="B1644" s="220"/>
      <c r="C1644" s="220"/>
      <c r="E1644" s="220"/>
      <c r="F1644" s="220"/>
      <c r="G1644" s="221"/>
    </row>
    <row r="1645">
      <c r="A1645" s="220"/>
      <c r="B1645" s="220"/>
      <c r="C1645" s="220"/>
      <c r="E1645" s="220"/>
      <c r="F1645" s="220"/>
      <c r="G1645" s="221"/>
    </row>
    <row r="1646">
      <c r="A1646" s="220"/>
      <c r="B1646" s="220"/>
      <c r="C1646" s="220"/>
      <c r="E1646" s="220"/>
      <c r="F1646" s="220"/>
      <c r="G1646" s="221"/>
    </row>
    <row r="1647">
      <c r="A1647" s="220"/>
      <c r="B1647" s="220"/>
      <c r="C1647" s="220"/>
      <c r="E1647" s="220"/>
      <c r="F1647" s="220"/>
      <c r="G1647" s="221"/>
    </row>
    <row r="1648">
      <c r="A1648" s="220"/>
      <c r="B1648" s="220"/>
      <c r="C1648" s="220"/>
      <c r="E1648" s="220"/>
      <c r="F1648" s="220"/>
      <c r="G1648" s="221"/>
    </row>
    <row r="1649">
      <c r="A1649" s="220"/>
      <c r="B1649" s="220"/>
      <c r="C1649" s="220"/>
      <c r="E1649" s="220"/>
      <c r="F1649" s="220"/>
      <c r="G1649" s="221"/>
    </row>
    <row r="1650">
      <c r="A1650" s="220"/>
      <c r="B1650" s="220"/>
      <c r="C1650" s="220"/>
      <c r="E1650" s="220"/>
      <c r="F1650" s="220"/>
      <c r="G1650" s="221"/>
    </row>
    <row r="1651">
      <c r="A1651" s="220"/>
      <c r="B1651" s="220"/>
      <c r="C1651" s="220"/>
      <c r="E1651" s="220"/>
      <c r="F1651" s="220"/>
      <c r="G1651" s="221"/>
    </row>
    <row r="1652">
      <c r="A1652" s="220"/>
      <c r="B1652" s="220"/>
      <c r="C1652" s="220"/>
      <c r="E1652" s="220"/>
      <c r="F1652" s="220"/>
      <c r="G1652" s="221"/>
    </row>
    <row r="1653">
      <c r="A1653" s="220"/>
      <c r="B1653" s="220"/>
      <c r="C1653" s="220"/>
      <c r="E1653" s="220"/>
      <c r="F1653" s="220"/>
      <c r="G1653" s="221"/>
    </row>
    <row r="1654">
      <c r="A1654" s="220"/>
      <c r="B1654" s="220"/>
      <c r="C1654" s="220"/>
      <c r="E1654" s="220"/>
      <c r="F1654" s="220"/>
      <c r="G1654" s="221"/>
    </row>
    <row r="1655">
      <c r="A1655" s="220"/>
      <c r="B1655" s="220"/>
      <c r="C1655" s="220"/>
      <c r="E1655" s="220"/>
      <c r="F1655" s="220"/>
      <c r="G1655" s="221"/>
    </row>
    <row r="1656">
      <c r="A1656" s="220"/>
      <c r="B1656" s="220"/>
      <c r="C1656" s="220"/>
      <c r="E1656" s="220"/>
      <c r="F1656" s="220"/>
      <c r="G1656" s="221"/>
    </row>
    <row r="1657">
      <c r="A1657" s="220"/>
      <c r="B1657" s="220"/>
      <c r="C1657" s="220"/>
      <c r="E1657" s="220"/>
      <c r="F1657" s="220"/>
      <c r="G1657" s="221"/>
    </row>
    <row r="1658">
      <c r="A1658" s="220"/>
      <c r="B1658" s="220"/>
      <c r="C1658" s="220"/>
      <c r="E1658" s="220"/>
      <c r="F1658" s="220"/>
      <c r="G1658" s="221"/>
    </row>
    <row r="1659">
      <c r="A1659" s="220"/>
      <c r="B1659" s="220"/>
      <c r="C1659" s="220"/>
      <c r="E1659" s="220"/>
      <c r="F1659" s="220"/>
      <c r="G1659" s="221"/>
    </row>
    <row r="1660">
      <c r="A1660" s="220"/>
      <c r="B1660" s="220"/>
      <c r="C1660" s="220"/>
      <c r="E1660" s="220"/>
      <c r="F1660" s="220"/>
      <c r="G1660" s="221"/>
    </row>
    <row r="1661">
      <c r="A1661" s="220"/>
      <c r="B1661" s="220"/>
      <c r="C1661" s="220"/>
      <c r="E1661" s="220"/>
      <c r="F1661" s="220"/>
      <c r="G1661" s="221"/>
    </row>
    <row r="1662">
      <c r="A1662" s="220"/>
      <c r="B1662" s="220"/>
      <c r="C1662" s="220"/>
      <c r="E1662" s="220"/>
      <c r="F1662" s="220"/>
      <c r="G1662" s="221"/>
    </row>
    <row r="1663">
      <c r="A1663" s="220"/>
      <c r="B1663" s="220"/>
      <c r="C1663" s="220"/>
      <c r="E1663" s="220"/>
      <c r="F1663" s="220"/>
      <c r="G1663" s="221"/>
    </row>
    <row r="1664">
      <c r="A1664" s="220"/>
      <c r="B1664" s="220"/>
      <c r="C1664" s="220"/>
      <c r="E1664" s="220"/>
      <c r="F1664" s="220"/>
      <c r="G1664" s="221"/>
    </row>
    <row r="1665">
      <c r="A1665" s="220"/>
      <c r="B1665" s="220"/>
      <c r="C1665" s="220"/>
      <c r="E1665" s="220"/>
      <c r="F1665" s="220"/>
      <c r="G1665" s="221"/>
    </row>
    <row r="1666">
      <c r="A1666" s="220"/>
      <c r="B1666" s="220"/>
      <c r="C1666" s="220"/>
      <c r="E1666" s="220"/>
      <c r="F1666" s="220"/>
      <c r="G1666" s="221"/>
    </row>
    <row r="1667">
      <c r="A1667" s="220"/>
      <c r="B1667" s="220"/>
      <c r="C1667" s="220"/>
      <c r="E1667" s="220"/>
      <c r="F1667" s="220"/>
      <c r="G1667" s="221"/>
    </row>
    <row r="1668">
      <c r="A1668" s="220"/>
      <c r="B1668" s="220"/>
      <c r="C1668" s="220"/>
      <c r="E1668" s="220"/>
      <c r="F1668" s="220"/>
      <c r="G1668" s="221"/>
    </row>
    <row r="1669">
      <c r="A1669" s="220"/>
      <c r="B1669" s="220"/>
      <c r="C1669" s="220"/>
      <c r="E1669" s="220"/>
      <c r="F1669" s="220"/>
      <c r="G1669" s="221"/>
    </row>
    <row r="1670">
      <c r="A1670" s="220"/>
      <c r="B1670" s="220"/>
      <c r="C1670" s="220"/>
      <c r="E1670" s="220"/>
      <c r="F1670" s="220"/>
      <c r="G1670" s="221"/>
    </row>
    <row r="1671">
      <c r="A1671" s="220"/>
      <c r="B1671" s="220"/>
      <c r="C1671" s="220"/>
      <c r="E1671" s="220"/>
      <c r="F1671" s="220"/>
      <c r="G1671" s="221"/>
    </row>
    <row r="1672">
      <c r="A1672" s="220"/>
      <c r="B1672" s="220"/>
      <c r="C1672" s="220"/>
      <c r="E1672" s="220"/>
      <c r="F1672" s="220"/>
      <c r="G1672" s="221"/>
    </row>
    <row r="1673">
      <c r="A1673" s="220"/>
      <c r="B1673" s="220"/>
      <c r="C1673" s="220"/>
      <c r="E1673" s="220"/>
      <c r="F1673" s="220"/>
      <c r="G1673" s="221"/>
    </row>
    <row r="1674">
      <c r="A1674" s="220"/>
      <c r="B1674" s="220"/>
      <c r="C1674" s="220"/>
      <c r="E1674" s="220"/>
      <c r="F1674" s="220"/>
      <c r="G1674" s="221"/>
    </row>
    <row r="1675">
      <c r="A1675" s="220"/>
      <c r="B1675" s="220"/>
      <c r="C1675" s="220"/>
      <c r="E1675" s="220"/>
      <c r="F1675" s="220"/>
      <c r="G1675" s="221"/>
    </row>
    <row r="1676">
      <c r="A1676" s="220"/>
      <c r="B1676" s="220"/>
      <c r="C1676" s="220"/>
      <c r="E1676" s="220"/>
      <c r="F1676" s="220"/>
      <c r="G1676" s="221"/>
    </row>
    <row r="1677">
      <c r="A1677" s="220"/>
      <c r="B1677" s="220"/>
      <c r="C1677" s="220"/>
      <c r="E1677" s="220"/>
      <c r="F1677" s="220"/>
      <c r="G1677" s="221"/>
    </row>
    <row r="1678">
      <c r="A1678" s="220"/>
      <c r="B1678" s="220"/>
      <c r="C1678" s="220"/>
      <c r="E1678" s="220"/>
      <c r="F1678" s="220"/>
      <c r="G1678" s="221"/>
    </row>
    <row r="1679">
      <c r="A1679" s="220"/>
      <c r="B1679" s="220"/>
      <c r="C1679" s="220"/>
      <c r="E1679" s="220"/>
      <c r="F1679" s="220"/>
      <c r="G1679" s="221"/>
    </row>
    <row r="1680">
      <c r="A1680" s="220"/>
      <c r="B1680" s="220"/>
      <c r="C1680" s="220"/>
      <c r="E1680" s="220"/>
      <c r="F1680" s="220"/>
      <c r="G1680" s="221"/>
    </row>
    <row r="1681">
      <c r="A1681" s="220"/>
      <c r="B1681" s="220"/>
      <c r="C1681" s="220"/>
      <c r="E1681" s="220"/>
      <c r="F1681" s="220"/>
      <c r="G1681" s="221"/>
    </row>
    <row r="1682">
      <c r="A1682" s="220"/>
      <c r="B1682" s="220"/>
      <c r="C1682" s="220"/>
      <c r="E1682" s="220"/>
      <c r="F1682" s="220"/>
      <c r="G1682" s="221"/>
    </row>
    <row r="1683">
      <c r="A1683" s="220"/>
      <c r="B1683" s="220"/>
      <c r="C1683" s="220"/>
      <c r="E1683" s="220"/>
      <c r="F1683" s="220"/>
      <c r="G1683" s="221"/>
    </row>
    <row r="1684">
      <c r="A1684" s="220"/>
      <c r="B1684" s="220"/>
      <c r="C1684" s="220"/>
      <c r="E1684" s="220"/>
      <c r="F1684" s="220"/>
      <c r="G1684" s="221"/>
    </row>
    <row r="1685">
      <c r="A1685" s="220"/>
      <c r="B1685" s="220"/>
      <c r="C1685" s="220"/>
      <c r="E1685" s="220"/>
      <c r="F1685" s="220"/>
      <c r="G1685" s="221"/>
    </row>
    <row r="1686">
      <c r="A1686" s="220"/>
      <c r="B1686" s="220"/>
      <c r="C1686" s="220"/>
      <c r="E1686" s="220"/>
      <c r="F1686" s="220"/>
      <c r="G1686" s="221"/>
    </row>
    <row r="1687">
      <c r="A1687" s="220"/>
      <c r="B1687" s="220"/>
      <c r="C1687" s="220"/>
      <c r="E1687" s="220"/>
      <c r="F1687" s="220"/>
      <c r="G1687" s="221"/>
    </row>
    <row r="1688">
      <c r="A1688" s="220"/>
      <c r="B1688" s="220"/>
      <c r="C1688" s="220"/>
      <c r="E1688" s="220"/>
      <c r="F1688" s="220"/>
      <c r="G1688" s="221"/>
    </row>
    <row r="1689">
      <c r="A1689" s="220"/>
      <c r="B1689" s="220"/>
      <c r="C1689" s="220"/>
      <c r="E1689" s="220"/>
      <c r="F1689" s="220"/>
      <c r="G1689" s="221"/>
    </row>
    <row r="1690">
      <c r="A1690" s="220"/>
      <c r="B1690" s="220"/>
      <c r="C1690" s="220"/>
      <c r="E1690" s="220"/>
      <c r="F1690" s="220"/>
      <c r="G1690" s="221"/>
    </row>
    <row r="1691">
      <c r="A1691" s="220"/>
      <c r="B1691" s="220"/>
      <c r="C1691" s="220"/>
      <c r="E1691" s="220"/>
      <c r="F1691" s="220"/>
      <c r="G1691" s="221"/>
    </row>
    <row r="1692">
      <c r="A1692" s="220"/>
      <c r="B1692" s="220"/>
      <c r="C1692" s="220"/>
      <c r="E1692" s="220"/>
      <c r="F1692" s="220"/>
      <c r="G1692" s="221"/>
    </row>
    <row r="1693">
      <c r="A1693" s="220"/>
      <c r="B1693" s="220"/>
      <c r="C1693" s="220"/>
      <c r="E1693" s="220"/>
      <c r="F1693" s="220"/>
      <c r="G1693" s="221"/>
    </row>
    <row r="1694">
      <c r="A1694" s="220"/>
      <c r="B1694" s="220"/>
      <c r="C1694" s="220"/>
      <c r="E1694" s="220"/>
      <c r="F1694" s="220"/>
      <c r="G1694" s="221"/>
    </row>
    <row r="1695">
      <c r="A1695" s="220"/>
      <c r="B1695" s="220"/>
      <c r="C1695" s="220"/>
      <c r="E1695" s="220"/>
      <c r="F1695" s="220"/>
      <c r="G1695" s="221"/>
    </row>
    <row r="1696">
      <c r="A1696" s="220"/>
      <c r="B1696" s="220"/>
      <c r="C1696" s="220"/>
      <c r="E1696" s="220"/>
      <c r="F1696" s="220"/>
      <c r="G1696" s="221"/>
    </row>
    <row r="1697">
      <c r="A1697" s="220"/>
      <c r="B1697" s="220"/>
      <c r="C1697" s="220"/>
      <c r="E1697" s="220"/>
      <c r="F1697" s="220"/>
      <c r="G1697" s="221"/>
    </row>
    <row r="1698">
      <c r="A1698" s="220"/>
      <c r="B1698" s="220"/>
      <c r="C1698" s="220"/>
      <c r="E1698" s="220"/>
      <c r="F1698" s="220"/>
      <c r="G1698" s="221"/>
    </row>
    <row r="1699">
      <c r="A1699" s="220"/>
      <c r="B1699" s="220"/>
      <c r="C1699" s="220"/>
      <c r="E1699" s="220"/>
      <c r="F1699" s="220"/>
      <c r="G1699" s="221"/>
    </row>
    <row r="1700">
      <c r="A1700" s="220"/>
      <c r="B1700" s="220"/>
      <c r="C1700" s="220"/>
      <c r="E1700" s="220"/>
      <c r="F1700" s="220"/>
      <c r="G1700" s="221"/>
    </row>
    <row r="1701">
      <c r="A1701" s="220"/>
      <c r="B1701" s="220"/>
      <c r="C1701" s="220"/>
      <c r="E1701" s="220"/>
      <c r="F1701" s="220"/>
      <c r="G1701" s="221"/>
    </row>
    <row r="1702">
      <c r="A1702" s="220"/>
      <c r="B1702" s="220"/>
      <c r="C1702" s="220"/>
      <c r="E1702" s="220"/>
      <c r="F1702" s="220"/>
      <c r="G1702" s="221"/>
    </row>
    <row r="1703">
      <c r="A1703" s="220"/>
      <c r="B1703" s="220"/>
      <c r="C1703" s="220"/>
      <c r="E1703" s="220"/>
      <c r="F1703" s="220"/>
      <c r="G1703" s="221"/>
    </row>
    <row r="1704">
      <c r="A1704" s="220"/>
      <c r="B1704" s="220"/>
      <c r="C1704" s="220"/>
      <c r="E1704" s="220"/>
      <c r="F1704" s="220"/>
      <c r="G1704" s="221"/>
    </row>
    <row r="1705">
      <c r="A1705" s="220"/>
      <c r="B1705" s="220"/>
      <c r="C1705" s="220"/>
      <c r="E1705" s="220"/>
      <c r="F1705" s="220"/>
      <c r="G1705" s="221"/>
    </row>
    <row r="1706">
      <c r="A1706" s="220"/>
      <c r="B1706" s="220"/>
      <c r="C1706" s="220"/>
      <c r="E1706" s="220"/>
      <c r="F1706" s="220"/>
      <c r="G1706" s="221"/>
    </row>
    <row r="1707">
      <c r="A1707" s="220"/>
      <c r="B1707" s="220"/>
      <c r="C1707" s="220"/>
      <c r="E1707" s="220"/>
      <c r="F1707" s="220"/>
      <c r="G1707" s="221"/>
    </row>
    <row r="1708">
      <c r="A1708" s="220"/>
      <c r="B1708" s="220"/>
      <c r="C1708" s="220"/>
      <c r="E1708" s="220"/>
      <c r="F1708" s="220"/>
      <c r="G1708" s="221"/>
    </row>
    <row r="1709">
      <c r="A1709" s="220"/>
      <c r="B1709" s="220"/>
      <c r="C1709" s="220"/>
      <c r="E1709" s="220"/>
      <c r="F1709" s="220"/>
      <c r="G1709" s="221"/>
    </row>
    <row r="1710">
      <c r="A1710" s="220"/>
      <c r="B1710" s="220"/>
      <c r="C1710" s="220"/>
      <c r="E1710" s="220"/>
      <c r="F1710" s="220"/>
      <c r="G1710" s="221"/>
    </row>
    <row r="1711">
      <c r="A1711" s="220"/>
      <c r="B1711" s="220"/>
      <c r="C1711" s="220"/>
      <c r="E1711" s="220"/>
      <c r="F1711" s="220"/>
      <c r="G1711" s="221"/>
    </row>
    <row r="1712">
      <c r="A1712" s="220"/>
      <c r="B1712" s="220"/>
      <c r="C1712" s="220"/>
      <c r="E1712" s="220"/>
      <c r="F1712" s="220"/>
      <c r="G1712" s="221"/>
    </row>
    <row r="1713">
      <c r="A1713" s="220"/>
      <c r="B1713" s="220"/>
      <c r="C1713" s="220"/>
      <c r="E1713" s="220"/>
      <c r="F1713" s="220"/>
      <c r="G1713" s="221"/>
    </row>
    <row r="1714">
      <c r="A1714" s="220"/>
      <c r="B1714" s="220"/>
      <c r="C1714" s="220"/>
      <c r="E1714" s="220"/>
      <c r="F1714" s="220"/>
      <c r="G1714" s="221"/>
    </row>
    <row r="1715">
      <c r="A1715" s="220"/>
      <c r="B1715" s="220"/>
      <c r="C1715" s="220"/>
      <c r="E1715" s="220"/>
      <c r="F1715" s="220"/>
      <c r="G1715" s="221"/>
    </row>
    <row r="1716">
      <c r="A1716" s="220"/>
      <c r="B1716" s="220"/>
      <c r="C1716" s="220"/>
      <c r="E1716" s="220"/>
      <c r="F1716" s="220"/>
      <c r="G1716" s="221"/>
    </row>
    <row r="1717">
      <c r="A1717" s="220"/>
      <c r="B1717" s="220"/>
      <c r="C1717" s="220"/>
      <c r="E1717" s="220"/>
      <c r="F1717" s="220"/>
      <c r="G1717" s="221"/>
    </row>
    <row r="1718">
      <c r="A1718" s="220"/>
      <c r="B1718" s="220"/>
      <c r="C1718" s="220"/>
      <c r="E1718" s="220"/>
      <c r="F1718" s="220"/>
      <c r="G1718" s="221"/>
    </row>
    <row r="1719">
      <c r="A1719" s="220"/>
      <c r="B1719" s="220"/>
      <c r="C1719" s="220"/>
      <c r="E1719" s="220"/>
      <c r="F1719" s="220"/>
      <c r="G1719" s="221"/>
    </row>
    <row r="1720">
      <c r="A1720" s="220"/>
      <c r="B1720" s="220"/>
      <c r="C1720" s="220"/>
      <c r="E1720" s="220"/>
      <c r="F1720" s="220"/>
      <c r="G1720" s="221"/>
    </row>
    <row r="1721">
      <c r="A1721" s="220"/>
      <c r="B1721" s="220"/>
      <c r="C1721" s="220"/>
      <c r="E1721" s="220"/>
      <c r="F1721" s="220"/>
      <c r="G1721" s="221"/>
    </row>
    <row r="1722">
      <c r="A1722" s="220"/>
      <c r="B1722" s="220"/>
      <c r="C1722" s="220"/>
      <c r="E1722" s="220"/>
      <c r="F1722" s="220"/>
      <c r="G1722" s="221"/>
    </row>
    <row r="1723">
      <c r="A1723" s="220"/>
      <c r="B1723" s="220"/>
      <c r="C1723" s="220"/>
      <c r="E1723" s="220"/>
      <c r="F1723" s="220"/>
      <c r="G1723" s="221"/>
    </row>
    <row r="1724">
      <c r="A1724" s="220"/>
      <c r="B1724" s="220"/>
      <c r="C1724" s="220"/>
      <c r="E1724" s="220"/>
      <c r="F1724" s="220"/>
      <c r="G1724" s="221"/>
    </row>
    <row r="1725">
      <c r="A1725" s="220"/>
      <c r="B1725" s="220"/>
      <c r="C1725" s="220"/>
      <c r="E1725" s="220"/>
      <c r="F1725" s="220"/>
      <c r="G1725" s="221"/>
    </row>
    <row r="1726">
      <c r="A1726" s="220"/>
      <c r="B1726" s="220"/>
      <c r="C1726" s="220"/>
      <c r="E1726" s="220"/>
      <c r="F1726" s="220"/>
      <c r="G1726" s="221"/>
    </row>
    <row r="1727">
      <c r="A1727" s="220"/>
      <c r="B1727" s="220"/>
      <c r="C1727" s="220"/>
      <c r="E1727" s="220"/>
      <c r="F1727" s="220"/>
      <c r="G1727" s="221"/>
    </row>
    <row r="1728">
      <c r="A1728" s="220"/>
      <c r="B1728" s="220"/>
      <c r="C1728" s="220"/>
      <c r="E1728" s="220"/>
      <c r="F1728" s="220"/>
      <c r="G1728" s="221"/>
    </row>
    <row r="1729">
      <c r="A1729" s="220"/>
      <c r="B1729" s="220"/>
      <c r="C1729" s="220"/>
      <c r="E1729" s="220"/>
      <c r="F1729" s="220"/>
      <c r="G1729" s="221"/>
    </row>
    <row r="1730">
      <c r="A1730" s="220"/>
      <c r="B1730" s="220"/>
      <c r="C1730" s="220"/>
      <c r="E1730" s="220"/>
      <c r="F1730" s="220"/>
      <c r="G1730" s="221"/>
    </row>
    <row r="1731">
      <c r="A1731" s="220"/>
      <c r="B1731" s="220"/>
      <c r="C1731" s="220"/>
      <c r="E1731" s="220"/>
      <c r="F1731" s="220"/>
      <c r="G1731" s="221"/>
    </row>
    <row r="1732">
      <c r="A1732" s="220"/>
      <c r="B1732" s="220"/>
      <c r="C1732" s="220"/>
      <c r="E1732" s="220"/>
      <c r="F1732" s="220"/>
      <c r="G1732" s="221"/>
    </row>
    <row r="1733">
      <c r="A1733" s="220"/>
      <c r="B1733" s="220"/>
      <c r="C1733" s="220"/>
      <c r="E1733" s="220"/>
      <c r="F1733" s="220"/>
      <c r="G1733" s="221"/>
    </row>
    <row r="1734">
      <c r="A1734" s="220"/>
      <c r="B1734" s="220"/>
      <c r="C1734" s="220"/>
      <c r="E1734" s="220"/>
      <c r="F1734" s="220"/>
      <c r="G1734" s="221"/>
    </row>
    <row r="1735">
      <c r="A1735" s="220"/>
      <c r="B1735" s="220"/>
      <c r="C1735" s="220"/>
      <c r="E1735" s="220"/>
      <c r="F1735" s="220"/>
      <c r="G1735" s="221"/>
    </row>
    <row r="1736">
      <c r="A1736" s="220"/>
      <c r="B1736" s="220"/>
      <c r="C1736" s="220"/>
      <c r="E1736" s="220"/>
      <c r="F1736" s="220"/>
      <c r="G1736" s="221"/>
    </row>
    <row r="1737">
      <c r="A1737" s="220"/>
      <c r="B1737" s="220"/>
      <c r="C1737" s="220"/>
      <c r="E1737" s="220"/>
      <c r="F1737" s="220"/>
      <c r="G1737" s="221"/>
    </row>
    <row r="1738">
      <c r="A1738" s="220"/>
      <c r="B1738" s="220"/>
      <c r="C1738" s="220"/>
      <c r="E1738" s="220"/>
      <c r="F1738" s="220"/>
      <c r="G1738" s="221"/>
    </row>
    <row r="1739">
      <c r="A1739" s="220"/>
      <c r="B1739" s="220"/>
      <c r="C1739" s="220"/>
      <c r="E1739" s="220"/>
      <c r="F1739" s="220"/>
      <c r="G1739" s="221"/>
    </row>
    <row r="1740">
      <c r="A1740" s="220"/>
      <c r="B1740" s="220"/>
      <c r="C1740" s="220"/>
      <c r="E1740" s="220"/>
      <c r="F1740" s="220"/>
      <c r="G1740" s="221"/>
    </row>
    <row r="1741">
      <c r="A1741" s="220"/>
      <c r="B1741" s="220"/>
      <c r="C1741" s="220"/>
      <c r="E1741" s="220"/>
      <c r="F1741" s="220"/>
      <c r="G1741" s="221"/>
    </row>
    <row r="1742">
      <c r="A1742" s="220"/>
      <c r="B1742" s="220"/>
      <c r="C1742" s="220"/>
      <c r="E1742" s="220"/>
      <c r="F1742" s="220"/>
      <c r="G1742" s="221"/>
    </row>
    <row r="1743">
      <c r="A1743" s="220"/>
      <c r="B1743" s="220"/>
      <c r="C1743" s="220"/>
      <c r="E1743" s="220"/>
      <c r="F1743" s="220"/>
      <c r="G1743" s="221"/>
    </row>
    <row r="1744">
      <c r="A1744" s="220"/>
      <c r="B1744" s="220"/>
      <c r="C1744" s="220"/>
      <c r="E1744" s="220"/>
      <c r="F1744" s="220"/>
      <c r="G1744" s="221"/>
    </row>
    <row r="1745">
      <c r="A1745" s="220"/>
      <c r="B1745" s="220"/>
      <c r="C1745" s="220"/>
      <c r="E1745" s="220"/>
      <c r="F1745" s="220"/>
      <c r="G1745" s="221"/>
    </row>
    <row r="1746">
      <c r="A1746" s="220"/>
      <c r="B1746" s="220"/>
      <c r="C1746" s="220"/>
      <c r="E1746" s="220"/>
      <c r="F1746" s="220"/>
      <c r="G1746" s="221"/>
    </row>
    <row r="1747">
      <c r="A1747" s="220"/>
      <c r="B1747" s="220"/>
      <c r="C1747" s="220"/>
      <c r="E1747" s="220"/>
      <c r="F1747" s="220"/>
      <c r="G1747" s="221"/>
    </row>
    <row r="1748">
      <c r="A1748" s="220"/>
      <c r="B1748" s="220"/>
      <c r="C1748" s="220"/>
      <c r="E1748" s="220"/>
      <c r="F1748" s="220"/>
      <c r="G1748" s="221"/>
    </row>
    <row r="1749">
      <c r="A1749" s="220"/>
      <c r="B1749" s="220"/>
      <c r="C1749" s="220"/>
      <c r="E1749" s="220"/>
      <c r="F1749" s="220"/>
      <c r="G1749" s="221"/>
    </row>
    <row r="1750">
      <c r="A1750" s="220"/>
      <c r="B1750" s="220"/>
      <c r="C1750" s="220"/>
      <c r="E1750" s="220"/>
      <c r="F1750" s="220"/>
      <c r="G1750" s="221"/>
    </row>
    <row r="1751">
      <c r="A1751" s="220"/>
      <c r="B1751" s="220"/>
      <c r="C1751" s="220"/>
      <c r="E1751" s="220"/>
      <c r="F1751" s="220"/>
      <c r="G1751" s="221"/>
    </row>
    <row r="1752">
      <c r="A1752" s="220"/>
      <c r="B1752" s="220"/>
      <c r="C1752" s="220"/>
      <c r="E1752" s="220"/>
      <c r="F1752" s="220"/>
      <c r="G1752" s="221"/>
    </row>
    <row r="1753">
      <c r="A1753" s="220"/>
      <c r="B1753" s="220"/>
      <c r="C1753" s="220"/>
      <c r="E1753" s="220"/>
      <c r="F1753" s="220"/>
      <c r="G1753" s="221"/>
    </row>
    <row r="1754">
      <c r="A1754" s="220"/>
      <c r="B1754" s="220"/>
      <c r="C1754" s="220"/>
      <c r="E1754" s="220"/>
      <c r="F1754" s="220"/>
      <c r="G1754" s="221"/>
    </row>
    <row r="1755">
      <c r="A1755" s="220"/>
      <c r="B1755" s="220"/>
      <c r="C1755" s="220"/>
      <c r="E1755" s="220"/>
      <c r="F1755" s="220"/>
      <c r="G1755" s="221"/>
    </row>
    <row r="1756">
      <c r="A1756" s="220"/>
      <c r="B1756" s="220"/>
      <c r="C1756" s="220"/>
      <c r="E1756" s="220"/>
      <c r="F1756" s="220"/>
      <c r="G1756" s="221"/>
    </row>
    <row r="1757">
      <c r="A1757" s="220"/>
      <c r="B1757" s="220"/>
      <c r="C1757" s="220"/>
      <c r="E1757" s="220"/>
      <c r="F1757" s="220"/>
      <c r="G1757" s="221"/>
    </row>
    <row r="1758">
      <c r="A1758" s="220"/>
      <c r="B1758" s="220"/>
      <c r="C1758" s="220"/>
      <c r="E1758" s="220"/>
      <c r="F1758" s="220"/>
      <c r="G1758" s="221"/>
    </row>
    <row r="1759">
      <c r="A1759" s="220"/>
      <c r="B1759" s="220"/>
      <c r="C1759" s="220"/>
      <c r="E1759" s="220"/>
      <c r="F1759" s="220"/>
      <c r="G1759" s="221"/>
    </row>
    <row r="1760">
      <c r="A1760" s="220"/>
      <c r="B1760" s="220"/>
      <c r="C1760" s="220"/>
      <c r="E1760" s="220"/>
      <c r="F1760" s="220"/>
      <c r="G1760" s="221"/>
    </row>
    <row r="1761">
      <c r="A1761" s="220"/>
      <c r="B1761" s="220"/>
      <c r="C1761" s="220"/>
      <c r="E1761" s="220"/>
      <c r="F1761" s="220"/>
      <c r="G1761" s="221"/>
    </row>
    <row r="1762">
      <c r="A1762" s="220"/>
      <c r="B1762" s="220"/>
      <c r="C1762" s="220"/>
      <c r="E1762" s="220"/>
      <c r="F1762" s="220"/>
      <c r="G1762" s="221"/>
    </row>
    <row r="1763">
      <c r="A1763" s="220"/>
      <c r="B1763" s="220"/>
      <c r="C1763" s="220"/>
      <c r="E1763" s="220"/>
      <c r="F1763" s="220"/>
      <c r="G1763" s="221"/>
    </row>
    <row r="1764">
      <c r="A1764" s="220"/>
      <c r="B1764" s="220"/>
      <c r="C1764" s="220"/>
      <c r="E1764" s="220"/>
      <c r="F1764" s="220"/>
      <c r="G1764" s="221"/>
    </row>
    <row r="1765">
      <c r="A1765" s="220"/>
      <c r="B1765" s="220"/>
      <c r="C1765" s="220"/>
      <c r="E1765" s="220"/>
      <c r="F1765" s="220"/>
      <c r="G1765" s="221"/>
    </row>
    <row r="1766">
      <c r="A1766" s="220"/>
      <c r="B1766" s="220"/>
      <c r="C1766" s="220"/>
      <c r="E1766" s="220"/>
      <c r="F1766" s="220"/>
      <c r="G1766" s="221"/>
    </row>
    <row r="1767">
      <c r="A1767" s="220"/>
      <c r="B1767" s="220"/>
      <c r="C1767" s="220"/>
      <c r="E1767" s="220"/>
      <c r="F1767" s="220"/>
      <c r="G1767" s="221"/>
    </row>
    <row r="1768">
      <c r="A1768" s="220"/>
      <c r="B1768" s="220"/>
      <c r="C1768" s="220"/>
      <c r="E1768" s="220"/>
      <c r="F1768" s="220"/>
      <c r="G1768" s="221"/>
    </row>
    <row r="1769">
      <c r="A1769" s="220"/>
      <c r="B1769" s="220"/>
      <c r="C1769" s="220"/>
      <c r="E1769" s="220"/>
      <c r="F1769" s="220"/>
      <c r="G1769" s="221"/>
    </row>
    <row r="1770">
      <c r="A1770" s="220"/>
      <c r="B1770" s="220"/>
      <c r="C1770" s="220"/>
      <c r="E1770" s="220"/>
      <c r="F1770" s="220"/>
      <c r="G1770" s="221"/>
    </row>
    <row r="1771">
      <c r="A1771" s="220"/>
      <c r="B1771" s="220"/>
      <c r="C1771" s="220"/>
      <c r="E1771" s="220"/>
      <c r="F1771" s="220"/>
      <c r="G1771" s="221"/>
    </row>
    <row r="1772">
      <c r="A1772" s="220"/>
      <c r="B1772" s="220"/>
      <c r="C1772" s="220"/>
      <c r="E1772" s="220"/>
      <c r="F1772" s="220"/>
      <c r="G1772" s="221"/>
    </row>
    <row r="1773">
      <c r="A1773" s="220"/>
      <c r="B1773" s="220"/>
      <c r="C1773" s="220"/>
      <c r="E1773" s="220"/>
      <c r="F1773" s="220"/>
      <c r="G1773" s="221"/>
    </row>
    <row r="1774">
      <c r="A1774" s="220"/>
      <c r="B1774" s="220"/>
      <c r="C1774" s="220"/>
      <c r="E1774" s="220"/>
      <c r="F1774" s="220"/>
      <c r="G1774" s="221"/>
    </row>
    <row r="1775">
      <c r="A1775" s="220"/>
      <c r="B1775" s="220"/>
      <c r="C1775" s="220"/>
      <c r="E1775" s="220"/>
      <c r="F1775" s="220"/>
      <c r="G1775" s="221"/>
    </row>
    <row r="1776">
      <c r="A1776" s="220"/>
      <c r="B1776" s="220"/>
      <c r="C1776" s="220"/>
      <c r="E1776" s="220"/>
      <c r="F1776" s="220"/>
      <c r="G1776" s="221"/>
    </row>
    <row r="1777">
      <c r="A1777" s="220"/>
      <c r="B1777" s="220"/>
      <c r="C1777" s="220"/>
      <c r="E1777" s="220"/>
      <c r="F1777" s="220"/>
      <c r="G1777" s="221"/>
    </row>
    <row r="1778">
      <c r="A1778" s="220"/>
      <c r="B1778" s="220"/>
      <c r="C1778" s="220"/>
      <c r="E1778" s="220"/>
      <c r="F1778" s="220"/>
      <c r="G1778" s="221"/>
    </row>
    <row r="1779">
      <c r="A1779" s="220"/>
      <c r="B1779" s="220"/>
      <c r="C1779" s="220"/>
      <c r="E1779" s="220"/>
      <c r="F1779" s="220"/>
      <c r="G1779" s="221"/>
    </row>
    <row r="1780">
      <c r="A1780" s="220"/>
      <c r="B1780" s="220"/>
      <c r="C1780" s="220"/>
      <c r="E1780" s="220"/>
      <c r="F1780" s="220"/>
      <c r="G1780" s="221"/>
    </row>
    <row r="1781">
      <c r="A1781" s="220"/>
      <c r="B1781" s="220"/>
      <c r="C1781" s="220"/>
      <c r="E1781" s="220"/>
      <c r="F1781" s="220"/>
      <c r="G1781" s="221"/>
    </row>
    <row r="1782">
      <c r="A1782" s="220"/>
      <c r="B1782" s="220"/>
      <c r="C1782" s="220"/>
      <c r="E1782" s="220"/>
      <c r="F1782" s="220"/>
      <c r="G1782" s="221"/>
    </row>
    <row r="1783">
      <c r="A1783" s="220"/>
      <c r="B1783" s="220"/>
      <c r="C1783" s="220"/>
      <c r="E1783" s="220"/>
      <c r="F1783" s="220"/>
      <c r="G1783" s="221"/>
    </row>
    <row r="1784">
      <c r="A1784" s="220"/>
      <c r="B1784" s="220"/>
      <c r="C1784" s="220"/>
      <c r="E1784" s="220"/>
      <c r="F1784" s="220"/>
      <c r="G1784" s="221"/>
    </row>
    <row r="1785">
      <c r="A1785" s="220"/>
      <c r="B1785" s="220"/>
      <c r="C1785" s="220"/>
      <c r="E1785" s="220"/>
      <c r="F1785" s="220"/>
      <c r="G1785" s="221"/>
    </row>
    <row r="1786">
      <c r="A1786" s="220"/>
      <c r="B1786" s="220"/>
      <c r="C1786" s="220"/>
      <c r="E1786" s="220"/>
      <c r="F1786" s="220"/>
      <c r="G1786" s="221"/>
    </row>
    <row r="1787">
      <c r="A1787" s="220"/>
      <c r="B1787" s="220"/>
      <c r="C1787" s="220"/>
      <c r="E1787" s="220"/>
      <c r="F1787" s="220"/>
      <c r="G1787" s="221"/>
    </row>
    <row r="1788">
      <c r="A1788" s="220"/>
      <c r="B1788" s="220"/>
      <c r="C1788" s="220"/>
      <c r="E1788" s="220"/>
      <c r="F1788" s="220"/>
      <c r="G1788" s="221"/>
    </row>
    <row r="1789">
      <c r="A1789" s="220"/>
      <c r="B1789" s="220"/>
      <c r="C1789" s="220"/>
      <c r="E1789" s="220"/>
      <c r="F1789" s="220"/>
      <c r="G1789" s="221"/>
    </row>
    <row r="1790">
      <c r="A1790" s="220"/>
      <c r="B1790" s="220"/>
      <c r="C1790" s="220"/>
      <c r="E1790" s="220"/>
      <c r="F1790" s="220"/>
      <c r="G1790" s="221"/>
    </row>
    <row r="1791">
      <c r="A1791" s="220"/>
      <c r="B1791" s="220"/>
      <c r="C1791" s="220"/>
      <c r="E1791" s="220"/>
      <c r="F1791" s="220"/>
      <c r="G1791" s="221"/>
    </row>
    <row r="1792">
      <c r="A1792" s="220"/>
      <c r="B1792" s="220"/>
      <c r="C1792" s="220"/>
      <c r="E1792" s="220"/>
      <c r="F1792" s="220"/>
      <c r="G1792" s="221"/>
    </row>
    <row r="1793">
      <c r="A1793" s="220"/>
      <c r="B1793" s="220"/>
      <c r="C1793" s="220"/>
      <c r="E1793" s="220"/>
      <c r="F1793" s="220"/>
      <c r="G1793" s="221"/>
    </row>
    <row r="1794">
      <c r="A1794" s="220"/>
      <c r="B1794" s="220"/>
      <c r="C1794" s="220"/>
      <c r="E1794" s="220"/>
      <c r="F1794" s="220"/>
      <c r="G1794" s="221"/>
    </row>
    <row r="1795">
      <c r="A1795" s="220"/>
      <c r="B1795" s="220"/>
      <c r="C1795" s="220"/>
      <c r="E1795" s="220"/>
      <c r="F1795" s="220"/>
      <c r="G1795" s="221"/>
    </row>
    <row r="1796">
      <c r="A1796" s="220"/>
      <c r="B1796" s="220"/>
      <c r="C1796" s="220"/>
      <c r="E1796" s="220"/>
      <c r="F1796" s="220"/>
      <c r="G1796" s="221"/>
    </row>
    <row r="1797">
      <c r="A1797" s="220"/>
      <c r="B1797" s="220"/>
      <c r="C1797" s="220"/>
      <c r="E1797" s="220"/>
      <c r="F1797" s="220"/>
      <c r="G1797" s="221"/>
    </row>
    <row r="1798">
      <c r="A1798" s="220"/>
      <c r="B1798" s="220"/>
      <c r="C1798" s="220"/>
      <c r="E1798" s="220"/>
      <c r="F1798" s="220"/>
      <c r="G1798" s="221"/>
    </row>
    <row r="1799">
      <c r="A1799" s="220"/>
      <c r="B1799" s="220"/>
      <c r="C1799" s="220"/>
      <c r="E1799" s="220"/>
      <c r="F1799" s="220"/>
      <c r="G1799" s="221"/>
    </row>
    <row r="1800">
      <c r="A1800" s="220"/>
      <c r="B1800" s="220"/>
      <c r="C1800" s="220"/>
      <c r="E1800" s="220"/>
      <c r="F1800" s="220"/>
      <c r="G1800" s="221"/>
    </row>
    <row r="1801">
      <c r="A1801" s="220"/>
      <c r="B1801" s="220"/>
      <c r="C1801" s="220"/>
      <c r="E1801" s="220"/>
      <c r="F1801" s="220"/>
      <c r="G1801" s="221"/>
    </row>
    <row r="1802">
      <c r="A1802" s="220"/>
      <c r="B1802" s="220"/>
      <c r="C1802" s="220"/>
      <c r="E1802" s="220"/>
      <c r="F1802" s="220"/>
      <c r="G1802" s="221"/>
    </row>
    <row r="1803">
      <c r="A1803" s="220"/>
      <c r="B1803" s="220"/>
      <c r="C1803" s="220"/>
      <c r="E1803" s="220"/>
      <c r="F1803" s="220"/>
      <c r="G1803" s="221"/>
    </row>
    <row r="1804">
      <c r="A1804" s="220"/>
      <c r="B1804" s="220"/>
      <c r="C1804" s="220"/>
      <c r="E1804" s="220"/>
      <c r="F1804" s="220"/>
      <c r="G1804" s="221"/>
    </row>
    <row r="1805">
      <c r="A1805" s="220"/>
      <c r="B1805" s="220"/>
      <c r="C1805" s="220"/>
      <c r="E1805" s="220"/>
      <c r="F1805" s="220"/>
      <c r="G1805" s="221"/>
    </row>
    <row r="1806">
      <c r="A1806" s="220"/>
      <c r="B1806" s="220"/>
      <c r="C1806" s="220"/>
      <c r="E1806" s="220"/>
      <c r="F1806" s="220"/>
      <c r="G1806" s="221"/>
    </row>
    <row r="1807">
      <c r="A1807" s="220"/>
      <c r="B1807" s="220"/>
      <c r="C1807" s="220"/>
      <c r="E1807" s="220"/>
      <c r="F1807" s="220"/>
      <c r="G1807" s="221"/>
    </row>
    <row r="1808">
      <c r="A1808" s="220"/>
      <c r="B1808" s="220"/>
      <c r="C1808" s="220"/>
      <c r="E1808" s="220"/>
      <c r="F1808" s="220"/>
      <c r="G1808" s="221"/>
    </row>
    <row r="1809">
      <c r="A1809" s="220"/>
      <c r="B1809" s="220"/>
      <c r="C1809" s="220"/>
      <c r="E1809" s="220"/>
      <c r="F1809" s="220"/>
      <c r="G1809" s="221"/>
    </row>
    <row r="1810">
      <c r="A1810" s="220"/>
      <c r="B1810" s="220"/>
      <c r="C1810" s="220"/>
      <c r="E1810" s="220"/>
      <c r="F1810" s="220"/>
      <c r="G1810" s="221"/>
    </row>
    <row r="1811">
      <c r="A1811" s="220"/>
      <c r="B1811" s="220"/>
      <c r="C1811" s="220"/>
      <c r="E1811" s="220"/>
      <c r="F1811" s="220"/>
      <c r="G1811" s="221"/>
    </row>
    <row r="1812">
      <c r="A1812" s="220"/>
      <c r="B1812" s="220"/>
      <c r="C1812" s="220"/>
      <c r="E1812" s="220"/>
      <c r="F1812" s="220"/>
      <c r="G1812" s="221"/>
    </row>
    <row r="1813">
      <c r="A1813" s="220"/>
      <c r="B1813" s="220"/>
      <c r="C1813" s="220"/>
      <c r="E1813" s="220"/>
      <c r="F1813" s="220"/>
      <c r="G1813" s="221"/>
    </row>
    <row r="1814">
      <c r="A1814" s="220"/>
      <c r="B1814" s="220"/>
      <c r="C1814" s="220"/>
      <c r="E1814" s="220"/>
      <c r="F1814" s="220"/>
      <c r="G1814" s="221"/>
    </row>
    <row r="1815">
      <c r="A1815" s="220"/>
      <c r="B1815" s="220"/>
      <c r="C1815" s="220"/>
      <c r="E1815" s="220"/>
      <c r="F1815" s="220"/>
      <c r="G1815" s="221"/>
    </row>
    <row r="1816">
      <c r="A1816" s="220"/>
      <c r="B1816" s="220"/>
      <c r="C1816" s="220"/>
      <c r="E1816" s="220"/>
      <c r="F1816" s="220"/>
      <c r="G1816" s="221"/>
    </row>
    <row r="1817">
      <c r="A1817" s="220"/>
      <c r="B1817" s="220"/>
      <c r="C1817" s="220"/>
      <c r="E1817" s="220"/>
      <c r="F1817" s="220"/>
      <c r="G1817" s="221"/>
    </row>
    <row r="1818">
      <c r="A1818" s="220"/>
      <c r="B1818" s="220"/>
      <c r="C1818" s="220"/>
      <c r="E1818" s="220"/>
      <c r="F1818" s="220"/>
      <c r="G1818" s="221"/>
    </row>
    <row r="1819">
      <c r="A1819" s="220"/>
      <c r="B1819" s="220"/>
      <c r="C1819" s="220"/>
      <c r="E1819" s="220"/>
      <c r="F1819" s="220"/>
      <c r="G1819" s="221"/>
    </row>
    <row r="1820">
      <c r="A1820" s="220"/>
      <c r="B1820" s="220"/>
      <c r="C1820" s="220"/>
      <c r="E1820" s="220"/>
      <c r="F1820" s="220"/>
      <c r="G1820" s="221"/>
    </row>
    <row r="1821">
      <c r="A1821" s="220"/>
      <c r="B1821" s="220"/>
      <c r="C1821" s="220"/>
      <c r="E1821" s="220"/>
      <c r="F1821" s="220"/>
      <c r="G1821" s="221"/>
    </row>
    <row r="1822">
      <c r="A1822" s="220"/>
      <c r="B1822" s="220"/>
      <c r="C1822" s="220"/>
      <c r="E1822" s="220"/>
      <c r="F1822" s="220"/>
      <c r="G1822" s="221"/>
    </row>
    <row r="1823">
      <c r="A1823" s="220"/>
      <c r="B1823" s="220"/>
      <c r="C1823" s="220"/>
      <c r="E1823" s="220"/>
      <c r="F1823" s="220"/>
      <c r="G1823" s="221"/>
    </row>
    <row r="1824">
      <c r="A1824" s="220"/>
      <c r="B1824" s="220"/>
      <c r="C1824" s="220"/>
      <c r="E1824" s="220"/>
      <c r="F1824" s="220"/>
      <c r="G1824" s="221"/>
    </row>
    <row r="1825">
      <c r="A1825" s="220"/>
      <c r="B1825" s="220"/>
      <c r="C1825" s="220"/>
      <c r="E1825" s="220"/>
      <c r="F1825" s="220"/>
      <c r="G1825" s="221"/>
    </row>
    <row r="1826">
      <c r="A1826" s="220"/>
      <c r="B1826" s="220"/>
      <c r="C1826" s="220"/>
      <c r="E1826" s="220"/>
      <c r="F1826" s="220"/>
      <c r="G1826" s="221"/>
    </row>
    <row r="1827">
      <c r="A1827" s="220"/>
      <c r="B1827" s="220"/>
      <c r="C1827" s="220"/>
      <c r="E1827" s="220"/>
      <c r="F1827" s="220"/>
      <c r="G1827" s="221"/>
    </row>
    <row r="1828">
      <c r="A1828" s="220"/>
      <c r="B1828" s="220"/>
      <c r="C1828" s="220"/>
      <c r="E1828" s="220"/>
      <c r="F1828" s="220"/>
      <c r="G1828" s="221"/>
    </row>
    <row r="1829">
      <c r="A1829" s="220"/>
      <c r="B1829" s="220"/>
      <c r="C1829" s="220"/>
      <c r="E1829" s="220"/>
      <c r="F1829" s="220"/>
      <c r="G1829" s="221"/>
    </row>
    <row r="1830">
      <c r="A1830" s="220"/>
      <c r="B1830" s="220"/>
      <c r="C1830" s="220"/>
      <c r="E1830" s="220"/>
      <c r="F1830" s="220"/>
      <c r="G1830" s="221"/>
    </row>
    <row r="1831">
      <c r="A1831" s="220"/>
      <c r="B1831" s="220"/>
      <c r="C1831" s="220"/>
      <c r="E1831" s="220"/>
      <c r="F1831" s="220"/>
      <c r="G1831" s="221"/>
    </row>
    <row r="1832">
      <c r="A1832" s="220"/>
      <c r="B1832" s="220"/>
      <c r="C1832" s="220"/>
      <c r="E1832" s="220"/>
      <c r="F1832" s="220"/>
      <c r="G1832" s="221"/>
    </row>
    <row r="1833">
      <c r="A1833" s="220"/>
      <c r="B1833" s="220"/>
      <c r="C1833" s="220"/>
      <c r="E1833" s="220"/>
      <c r="F1833" s="220"/>
      <c r="G1833" s="221"/>
    </row>
    <row r="1834">
      <c r="A1834" s="220"/>
      <c r="B1834" s="220"/>
      <c r="C1834" s="220"/>
      <c r="E1834" s="220"/>
      <c r="F1834" s="220"/>
      <c r="G1834" s="221"/>
    </row>
    <row r="1835">
      <c r="A1835" s="220"/>
      <c r="B1835" s="220"/>
      <c r="C1835" s="220"/>
      <c r="E1835" s="220"/>
      <c r="F1835" s="220"/>
      <c r="G1835" s="221"/>
    </row>
    <row r="1836">
      <c r="A1836" s="220"/>
      <c r="B1836" s="220"/>
      <c r="C1836" s="220"/>
      <c r="E1836" s="220"/>
      <c r="F1836" s="220"/>
      <c r="G1836" s="221"/>
    </row>
    <row r="1837">
      <c r="A1837" s="220"/>
      <c r="B1837" s="220"/>
      <c r="C1837" s="220"/>
      <c r="E1837" s="220"/>
      <c r="F1837" s="220"/>
      <c r="G1837" s="221"/>
    </row>
    <row r="1838">
      <c r="A1838" s="220"/>
      <c r="B1838" s="220"/>
      <c r="C1838" s="220"/>
      <c r="E1838" s="220"/>
      <c r="F1838" s="220"/>
      <c r="G1838" s="221"/>
    </row>
    <row r="1839">
      <c r="A1839" s="220"/>
      <c r="B1839" s="220"/>
      <c r="C1839" s="220"/>
      <c r="E1839" s="220"/>
      <c r="F1839" s="220"/>
      <c r="G1839" s="221"/>
    </row>
    <row r="1840">
      <c r="A1840" s="220"/>
      <c r="B1840" s="220"/>
      <c r="C1840" s="220"/>
      <c r="E1840" s="220"/>
      <c r="F1840" s="220"/>
      <c r="G1840" s="221"/>
    </row>
    <row r="1841">
      <c r="A1841" s="220"/>
      <c r="B1841" s="220"/>
      <c r="C1841" s="220"/>
      <c r="E1841" s="220"/>
      <c r="F1841" s="220"/>
      <c r="G1841" s="221"/>
    </row>
    <row r="1842">
      <c r="A1842" s="220"/>
      <c r="B1842" s="220"/>
      <c r="C1842" s="220"/>
      <c r="E1842" s="220"/>
      <c r="F1842" s="220"/>
      <c r="G1842" s="221"/>
    </row>
    <row r="1843">
      <c r="A1843" s="220"/>
      <c r="B1843" s="220"/>
      <c r="C1843" s="220"/>
      <c r="E1843" s="220"/>
      <c r="F1843" s="220"/>
      <c r="G1843" s="221"/>
    </row>
    <row r="1844">
      <c r="A1844" s="220"/>
      <c r="B1844" s="220"/>
      <c r="C1844" s="220"/>
      <c r="E1844" s="220"/>
      <c r="F1844" s="220"/>
      <c r="G1844" s="221"/>
    </row>
    <row r="1845">
      <c r="A1845" s="220"/>
      <c r="B1845" s="220"/>
      <c r="C1845" s="220"/>
      <c r="E1845" s="220"/>
      <c r="F1845" s="220"/>
      <c r="G1845" s="221"/>
    </row>
    <row r="1846">
      <c r="A1846" s="220"/>
      <c r="B1846" s="220"/>
      <c r="C1846" s="220"/>
      <c r="E1846" s="220"/>
      <c r="F1846" s="220"/>
      <c r="G1846" s="221"/>
    </row>
    <row r="1847">
      <c r="A1847" s="220"/>
      <c r="B1847" s="220"/>
      <c r="C1847" s="220"/>
      <c r="E1847" s="220"/>
      <c r="F1847" s="220"/>
      <c r="G1847" s="221"/>
    </row>
    <row r="1848">
      <c r="A1848" s="220"/>
      <c r="B1848" s="220"/>
      <c r="C1848" s="220"/>
      <c r="E1848" s="220"/>
      <c r="F1848" s="220"/>
      <c r="G1848" s="221"/>
    </row>
    <row r="1849">
      <c r="A1849" s="220"/>
      <c r="B1849" s="220"/>
      <c r="C1849" s="220"/>
      <c r="E1849" s="220"/>
      <c r="F1849" s="220"/>
      <c r="G1849" s="221"/>
    </row>
    <row r="1850">
      <c r="A1850" s="220"/>
      <c r="B1850" s="220"/>
      <c r="C1850" s="220"/>
      <c r="E1850" s="220"/>
      <c r="F1850" s="220"/>
      <c r="G1850" s="221"/>
    </row>
    <row r="1851">
      <c r="A1851" s="220"/>
      <c r="B1851" s="220"/>
      <c r="C1851" s="220"/>
      <c r="E1851" s="220"/>
      <c r="F1851" s="220"/>
      <c r="G1851" s="221"/>
    </row>
    <row r="1852">
      <c r="A1852" s="220"/>
      <c r="B1852" s="220"/>
      <c r="C1852" s="220"/>
      <c r="E1852" s="220"/>
      <c r="F1852" s="220"/>
      <c r="G1852" s="221"/>
    </row>
    <row r="1853">
      <c r="A1853" s="220"/>
      <c r="B1853" s="220"/>
      <c r="C1853" s="220"/>
      <c r="E1853" s="220"/>
      <c r="F1853" s="220"/>
      <c r="G1853" s="221"/>
    </row>
    <row r="1854">
      <c r="A1854" s="220"/>
      <c r="B1854" s="220"/>
      <c r="C1854" s="220"/>
      <c r="E1854" s="220"/>
      <c r="F1854" s="220"/>
      <c r="G1854" s="221"/>
    </row>
    <row r="1855">
      <c r="A1855" s="220"/>
      <c r="B1855" s="220"/>
      <c r="C1855" s="220"/>
      <c r="E1855" s="220"/>
      <c r="F1855" s="220"/>
      <c r="G1855" s="221"/>
    </row>
    <row r="1856">
      <c r="A1856" s="220"/>
      <c r="B1856" s="220"/>
      <c r="C1856" s="220"/>
      <c r="E1856" s="220"/>
      <c r="F1856" s="220"/>
      <c r="G1856" s="221"/>
    </row>
    <row r="1857">
      <c r="A1857" s="220"/>
      <c r="B1857" s="220"/>
      <c r="C1857" s="220"/>
      <c r="E1857" s="220"/>
      <c r="F1857" s="220"/>
      <c r="G1857" s="221"/>
    </row>
    <row r="1858">
      <c r="A1858" s="220"/>
      <c r="B1858" s="220"/>
      <c r="C1858" s="220"/>
      <c r="E1858" s="220"/>
      <c r="F1858" s="220"/>
      <c r="G1858" s="221"/>
    </row>
    <row r="1859">
      <c r="A1859" s="220"/>
      <c r="B1859" s="220"/>
      <c r="C1859" s="220"/>
      <c r="E1859" s="220"/>
      <c r="F1859" s="220"/>
      <c r="G1859" s="221"/>
    </row>
    <row r="1860">
      <c r="A1860" s="220"/>
      <c r="B1860" s="220"/>
      <c r="C1860" s="220"/>
      <c r="E1860" s="220"/>
      <c r="F1860" s="220"/>
      <c r="G1860" s="221"/>
    </row>
    <row r="1861">
      <c r="A1861" s="220"/>
      <c r="B1861" s="220"/>
      <c r="C1861" s="220"/>
      <c r="E1861" s="220"/>
      <c r="F1861" s="220"/>
      <c r="G1861" s="221"/>
    </row>
    <row r="1862">
      <c r="A1862" s="220"/>
      <c r="B1862" s="220"/>
      <c r="C1862" s="220"/>
      <c r="E1862" s="220"/>
      <c r="F1862" s="220"/>
      <c r="G1862" s="221"/>
    </row>
    <row r="1863">
      <c r="A1863" s="220"/>
      <c r="B1863" s="220"/>
      <c r="C1863" s="220"/>
      <c r="E1863" s="220"/>
      <c r="F1863" s="220"/>
      <c r="G1863" s="221"/>
    </row>
    <row r="1864">
      <c r="A1864" s="220"/>
      <c r="B1864" s="220"/>
      <c r="C1864" s="220"/>
      <c r="E1864" s="220"/>
      <c r="F1864" s="220"/>
      <c r="G1864" s="221"/>
    </row>
    <row r="1865">
      <c r="A1865" s="220"/>
      <c r="B1865" s="220"/>
      <c r="C1865" s="220"/>
      <c r="E1865" s="220"/>
      <c r="F1865" s="220"/>
      <c r="G1865" s="221"/>
    </row>
    <row r="1866">
      <c r="A1866" s="220"/>
      <c r="B1866" s="220"/>
      <c r="C1866" s="220"/>
      <c r="E1866" s="220"/>
      <c r="F1866" s="220"/>
      <c r="G1866" s="221"/>
    </row>
    <row r="1867">
      <c r="A1867" s="220"/>
      <c r="B1867" s="220"/>
      <c r="C1867" s="220"/>
      <c r="E1867" s="220"/>
      <c r="F1867" s="220"/>
      <c r="G1867" s="221"/>
    </row>
    <row r="1868">
      <c r="A1868" s="220"/>
      <c r="B1868" s="220"/>
      <c r="C1868" s="220"/>
      <c r="E1868" s="220"/>
      <c r="F1868" s="220"/>
      <c r="G1868" s="221"/>
    </row>
    <row r="1869">
      <c r="A1869" s="220"/>
      <c r="B1869" s="220"/>
      <c r="C1869" s="220"/>
      <c r="E1869" s="220"/>
      <c r="F1869" s="220"/>
      <c r="G1869" s="221"/>
    </row>
    <row r="1870">
      <c r="A1870" s="220"/>
      <c r="B1870" s="220"/>
      <c r="C1870" s="220"/>
      <c r="E1870" s="220"/>
      <c r="F1870" s="220"/>
      <c r="G1870" s="221"/>
    </row>
    <row r="1871">
      <c r="A1871" s="220"/>
      <c r="B1871" s="220"/>
      <c r="C1871" s="220"/>
      <c r="E1871" s="220"/>
      <c r="F1871" s="220"/>
      <c r="G1871" s="221"/>
    </row>
    <row r="1872">
      <c r="A1872" s="220"/>
      <c r="B1872" s="220"/>
      <c r="C1872" s="220"/>
      <c r="E1872" s="220"/>
      <c r="F1872" s="220"/>
      <c r="G1872" s="221"/>
    </row>
    <row r="1873">
      <c r="A1873" s="220"/>
      <c r="B1873" s="220"/>
      <c r="C1873" s="220"/>
      <c r="E1873" s="220"/>
      <c r="F1873" s="220"/>
      <c r="G1873" s="221"/>
    </row>
    <row r="1874">
      <c r="A1874" s="220"/>
      <c r="B1874" s="220"/>
      <c r="C1874" s="220"/>
      <c r="E1874" s="220"/>
      <c r="F1874" s="220"/>
      <c r="G1874" s="221"/>
    </row>
    <row r="1875">
      <c r="A1875" s="220"/>
      <c r="B1875" s="220"/>
      <c r="C1875" s="220"/>
      <c r="E1875" s="220"/>
      <c r="F1875" s="220"/>
      <c r="G1875" s="221"/>
    </row>
    <row r="1876">
      <c r="A1876" s="220"/>
      <c r="B1876" s="220"/>
      <c r="C1876" s="220"/>
      <c r="E1876" s="220"/>
      <c r="F1876" s="220"/>
      <c r="G1876" s="221"/>
    </row>
    <row r="1877">
      <c r="A1877" s="220"/>
      <c r="B1877" s="220"/>
      <c r="C1877" s="220"/>
      <c r="E1877" s="220"/>
      <c r="F1877" s="220"/>
      <c r="G1877" s="221"/>
    </row>
    <row r="1878">
      <c r="A1878" s="220"/>
      <c r="B1878" s="220"/>
      <c r="C1878" s="220"/>
      <c r="E1878" s="220"/>
      <c r="F1878" s="220"/>
      <c r="G1878" s="221"/>
    </row>
    <row r="1879">
      <c r="A1879" s="220"/>
      <c r="B1879" s="220"/>
      <c r="C1879" s="220"/>
      <c r="E1879" s="220"/>
      <c r="F1879" s="220"/>
      <c r="G1879" s="221"/>
    </row>
    <row r="1880">
      <c r="A1880" s="220"/>
      <c r="B1880" s="220"/>
      <c r="C1880" s="220"/>
      <c r="E1880" s="220"/>
      <c r="F1880" s="220"/>
      <c r="G1880" s="221"/>
    </row>
    <row r="1881">
      <c r="A1881" s="220"/>
      <c r="B1881" s="220"/>
      <c r="C1881" s="220"/>
      <c r="E1881" s="220"/>
      <c r="F1881" s="220"/>
      <c r="G1881" s="221"/>
    </row>
    <row r="1882">
      <c r="A1882" s="220"/>
      <c r="B1882" s="220"/>
      <c r="C1882" s="220"/>
      <c r="E1882" s="220"/>
      <c r="F1882" s="220"/>
      <c r="G1882" s="221"/>
    </row>
    <row r="1883">
      <c r="A1883" s="220"/>
      <c r="B1883" s="220"/>
      <c r="C1883" s="220"/>
      <c r="E1883" s="220"/>
      <c r="F1883" s="220"/>
      <c r="G1883" s="221"/>
    </row>
    <row r="1884">
      <c r="A1884" s="220"/>
      <c r="B1884" s="220"/>
      <c r="C1884" s="220"/>
      <c r="E1884" s="220"/>
      <c r="F1884" s="220"/>
      <c r="G1884" s="221"/>
    </row>
    <row r="1885">
      <c r="A1885" s="220"/>
      <c r="B1885" s="220"/>
      <c r="C1885" s="220"/>
      <c r="E1885" s="220"/>
      <c r="F1885" s="220"/>
      <c r="G1885" s="221"/>
    </row>
    <row r="1886">
      <c r="A1886" s="220"/>
      <c r="B1886" s="220"/>
      <c r="C1886" s="220"/>
      <c r="E1886" s="220"/>
      <c r="F1886" s="220"/>
      <c r="G1886" s="221"/>
    </row>
    <row r="1887">
      <c r="A1887" s="220"/>
      <c r="B1887" s="220"/>
      <c r="C1887" s="220"/>
      <c r="E1887" s="220"/>
      <c r="F1887" s="220"/>
      <c r="G1887" s="221"/>
    </row>
    <row r="1888">
      <c r="A1888" s="220"/>
      <c r="B1888" s="220"/>
      <c r="C1888" s="220"/>
      <c r="E1888" s="220"/>
      <c r="F1888" s="220"/>
      <c r="G1888" s="221"/>
    </row>
    <row r="1889">
      <c r="A1889" s="220"/>
      <c r="B1889" s="220"/>
      <c r="C1889" s="220"/>
      <c r="E1889" s="220"/>
      <c r="F1889" s="220"/>
      <c r="G1889" s="221"/>
    </row>
    <row r="1890">
      <c r="A1890" s="220"/>
      <c r="B1890" s="220"/>
      <c r="C1890" s="220"/>
      <c r="E1890" s="220"/>
      <c r="F1890" s="220"/>
      <c r="G1890" s="221"/>
    </row>
    <row r="1891">
      <c r="A1891" s="220"/>
      <c r="B1891" s="220"/>
      <c r="C1891" s="220"/>
      <c r="E1891" s="220"/>
      <c r="F1891" s="220"/>
      <c r="G1891" s="221"/>
    </row>
    <row r="1892">
      <c r="A1892" s="220"/>
      <c r="B1892" s="220"/>
      <c r="C1892" s="220"/>
      <c r="E1892" s="220"/>
      <c r="F1892" s="220"/>
      <c r="G1892" s="221"/>
    </row>
    <row r="1893">
      <c r="A1893" s="220"/>
      <c r="B1893" s="220"/>
      <c r="C1893" s="220"/>
      <c r="E1893" s="220"/>
      <c r="F1893" s="220"/>
      <c r="G1893" s="221"/>
    </row>
    <row r="1894">
      <c r="A1894" s="220"/>
      <c r="B1894" s="220"/>
      <c r="C1894" s="220"/>
      <c r="E1894" s="220"/>
      <c r="F1894" s="220"/>
      <c r="G1894" s="221"/>
    </row>
    <row r="1895">
      <c r="A1895" s="220"/>
      <c r="B1895" s="220"/>
      <c r="C1895" s="220"/>
      <c r="E1895" s="220"/>
      <c r="F1895" s="220"/>
      <c r="G1895" s="221"/>
    </row>
    <row r="1896">
      <c r="A1896" s="220"/>
      <c r="B1896" s="220"/>
      <c r="C1896" s="220"/>
      <c r="E1896" s="220"/>
      <c r="F1896" s="220"/>
      <c r="G1896" s="221"/>
    </row>
    <row r="1897">
      <c r="A1897" s="220"/>
      <c r="B1897" s="220"/>
      <c r="C1897" s="220"/>
      <c r="E1897" s="220"/>
      <c r="F1897" s="220"/>
      <c r="G1897" s="221"/>
    </row>
    <row r="1898">
      <c r="A1898" s="220"/>
      <c r="B1898" s="220"/>
      <c r="C1898" s="220"/>
      <c r="E1898" s="220"/>
      <c r="F1898" s="220"/>
      <c r="G1898" s="221"/>
    </row>
    <row r="1899">
      <c r="A1899" s="220"/>
      <c r="B1899" s="220"/>
      <c r="C1899" s="220"/>
      <c r="E1899" s="220"/>
      <c r="F1899" s="220"/>
      <c r="G1899" s="221"/>
    </row>
    <row r="1900">
      <c r="A1900" s="220"/>
      <c r="B1900" s="220"/>
      <c r="C1900" s="220"/>
      <c r="E1900" s="220"/>
      <c r="F1900" s="220"/>
      <c r="G1900" s="221"/>
    </row>
    <row r="1901">
      <c r="A1901" s="220"/>
      <c r="B1901" s="220"/>
      <c r="C1901" s="220"/>
      <c r="E1901" s="220"/>
      <c r="F1901" s="220"/>
      <c r="G1901" s="221"/>
    </row>
    <row r="1902">
      <c r="A1902" s="220"/>
      <c r="B1902" s="220"/>
      <c r="C1902" s="220"/>
      <c r="E1902" s="220"/>
      <c r="F1902" s="220"/>
      <c r="G1902" s="221"/>
    </row>
    <row r="1903">
      <c r="A1903" s="220"/>
      <c r="B1903" s="220"/>
      <c r="C1903" s="220"/>
      <c r="E1903" s="220"/>
      <c r="F1903" s="220"/>
      <c r="G1903" s="221"/>
    </row>
    <row r="1904">
      <c r="A1904" s="220"/>
      <c r="B1904" s="220"/>
      <c r="C1904" s="220"/>
      <c r="E1904" s="220"/>
      <c r="F1904" s="220"/>
      <c r="G1904" s="221"/>
    </row>
    <row r="1905">
      <c r="A1905" s="220"/>
      <c r="B1905" s="220"/>
      <c r="C1905" s="220"/>
      <c r="E1905" s="220"/>
      <c r="F1905" s="220"/>
      <c r="G1905" s="221"/>
    </row>
    <row r="1906">
      <c r="A1906" s="220"/>
      <c r="B1906" s="220"/>
      <c r="C1906" s="220"/>
      <c r="E1906" s="220"/>
      <c r="F1906" s="220"/>
      <c r="G1906" s="221"/>
    </row>
    <row r="1907">
      <c r="A1907" s="220"/>
      <c r="B1907" s="220"/>
      <c r="C1907" s="220"/>
      <c r="E1907" s="220"/>
      <c r="F1907" s="220"/>
      <c r="G1907" s="221"/>
    </row>
    <row r="1908">
      <c r="A1908" s="220"/>
      <c r="B1908" s="220"/>
      <c r="C1908" s="220"/>
      <c r="E1908" s="220"/>
      <c r="F1908" s="220"/>
      <c r="G1908" s="221"/>
    </row>
    <row r="1909">
      <c r="A1909" s="220"/>
      <c r="B1909" s="220"/>
      <c r="C1909" s="220"/>
      <c r="E1909" s="220"/>
      <c r="F1909" s="220"/>
      <c r="G1909" s="221"/>
    </row>
    <row r="1910">
      <c r="A1910" s="220"/>
      <c r="B1910" s="220"/>
      <c r="C1910" s="220"/>
      <c r="E1910" s="220"/>
      <c r="F1910" s="220"/>
      <c r="G1910" s="221"/>
    </row>
    <row r="1911">
      <c r="A1911" s="220"/>
      <c r="B1911" s="220"/>
      <c r="C1911" s="220"/>
      <c r="E1911" s="220"/>
      <c r="F1911" s="220"/>
      <c r="G1911" s="221"/>
    </row>
    <row r="1912">
      <c r="A1912" s="220"/>
      <c r="B1912" s="220"/>
      <c r="C1912" s="220"/>
      <c r="E1912" s="220"/>
      <c r="F1912" s="220"/>
      <c r="G1912" s="221"/>
    </row>
    <row r="1913">
      <c r="A1913" s="220"/>
      <c r="B1913" s="220"/>
      <c r="C1913" s="220"/>
      <c r="E1913" s="220"/>
      <c r="F1913" s="220"/>
      <c r="G1913" s="221"/>
    </row>
    <row r="1914">
      <c r="A1914" s="220"/>
      <c r="B1914" s="220"/>
      <c r="C1914" s="220"/>
      <c r="E1914" s="220"/>
      <c r="F1914" s="220"/>
      <c r="G1914" s="221"/>
    </row>
    <row r="1915">
      <c r="A1915" s="220"/>
      <c r="B1915" s="220"/>
      <c r="C1915" s="220"/>
      <c r="E1915" s="220"/>
      <c r="F1915" s="220"/>
      <c r="G1915" s="221"/>
    </row>
    <row r="1916">
      <c r="A1916" s="220"/>
      <c r="B1916" s="220"/>
      <c r="C1916" s="220"/>
      <c r="E1916" s="220"/>
      <c r="F1916" s="220"/>
      <c r="G1916" s="221"/>
    </row>
    <row r="1917">
      <c r="A1917" s="220"/>
      <c r="B1917" s="220"/>
      <c r="C1917" s="220"/>
      <c r="E1917" s="220"/>
      <c r="F1917" s="220"/>
      <c r="G1917" s="221"/>
    </row>
    <row r="1918">
      <c r="A1918" s="220"/>
      <c r="B1918" s="220"/>
      <c r="C1918" s="220"/>
      <c r="E1918" s="220"/>
      <c r="F1918" s="220"/>
      <c r="G1918" s="221"/>
    </row>
    <row r="1919">
      <c r="A1919" s="220"/>
      <c r="B1919" s="220"/>
      <c r="C1919" s="220"/>
      <c r="E1919" s="220"/>
      <c r="F1919" s="220"/>
      <c r="G1919" s="221"/>
    </row>
    <row r="1920">
      <c r="A1920" s="220"/>
      <c r="B1920" s="220"/>
      <c r="C1920" s="220"/>
      <c r="E1920" s="220"/>
      <c r="F1920" s="220"/>
      <c r="G1920" s="221"/>
    </row>
    <row r="1921">
      <c r="A1921" s="220"/>
      <c r="B1921" s="220"/>
      <c r="C1921" s="220"/>
      <c r="E1921" s="220"/>
      <c r="F1921" s="220"/>
      <c r="G1921" s="221"/>
    </row>
    <row r="1922">
      <c r="A1922" s="220"/>
      <c r="B1922" s="220"/>
      <c r="C1922" s="220"/>
      <c r="E1922" s="220"/>
      <c r="F1922" s="220"/>
      <c r="G1922" s="221"/>
    </row>
    <row r="1923">
      <c r="A1923" s="220"/>
      <c r="B1923" s="220"/>
      <c r="C1923" s="220"/>
      <c r="E1923" s="220"/>
      <c r="F1923" s="220"/>
      <c r="G1923" s="221"/>
    </row>
    <row r="1924">
      <c r="A1924" s="220"/>
      <c r="B1924" s="220"/>
      <c r="C1924" s="220"/>
      <c r="E1924" s="220"/>
      <c r="F1924" s="220"/>
      <c r="G1924" s="221"/>
    </row>
    <row r="1925">
      <c r="A1925" s="220"/>
      <c r="B1925" s="220"/>
      <c r="C1925" s="220"/>
      <c r="E1925" s="220"/>
      <c r="F1925" s="220"/>
      <c r="G1925" s="221"/>
    </row>
    <row r="1926">
      <c r="A1926" s="220"/>
      <c r="B1926" s="220"/>
      <c r="C1926" s="220"/>
      <c r="E1926" s="220"/>
      <c r="F1926" s="220"/>
      <c r="G1926" s="221"/>
    </row>
    <row r="1927">
      <c r="A1927" s="220"/>
      <c r="B1927" s="220"/>
      <c r="C1927" s="220"/>
      <c r="E1927" s="220"/>
      <c r="F1927" s="220"/>
      <c r="G1927" s="221"/>
    </row>
    <row r="1928">
      <c r="A1928" s="220"/>
      <c r="B1928" s="220"/>
      <c r="C1928" s="220"/>
      <c r="E1928" s="220"/>
      <c r="F1928" s="220"/>
      <c r="G1928" s="221"/>
    </row>
    <row r="1929">
      <c r="A1929" s="220"/>
      <c r="B1929" s="220"/>
      <c r="C1929" s="220"/>
      <c r="E1929" s="220"/>
      <c r="F1929" s="220"/>
      <c r="G1929" s="221"/>
    </row>
    <row r="1930">
      <c r="A1930" s="220"/>
      <c r="B1930" s="220"/>
      <c r="C1930" s="220"/>
      <c r="E1930" s="220"/>
      <c r="F1930" s="220"/>
      <c r="G1930" s="221"/>
    </row>
    <row r="1931">
      <c r="A1931" s="220"/>
      <c r="B1931" s="220"/>
      <c r="C1931" s="220"/>
      <c r="E1931" s="220"/>
      <c r="F1931" s="220"/>
      <c r="G1931" s="221"/>
    </row>
    <row r="1932">
      <c r="A1932" s="220"/>
      <c r="B1932" s="220"/>
      <c r="C1932" s="220"/>
      <c r="E1932" s="220"/>
      <c r="F1932" s="220"/>
      <c r="G1932" s="221"/>
    </row>
    <row r="1933">
      <c r="A1933" s="220"/>
      <c r="B1933" s="220"/>
      <c r="C1933" s="220"/>
      <c r="E1933" s="220"/>
      <c r="F1933" s="220"/>
      <c r="G1933" s="221"/>
    </row>
    <row r="1934">
      <c r="A1934" s="220"/>
      <c r="B1934" s="220"/>
      <c r="C1934" s="220"/>
      <c r="E1934" s="220"/>
      <c r="F1934" s="220"/>
      <c r="G1934" s="221"/>
    </row>
    <row r="1935">
      <c r="A1935" s="220"/>
      <c r="B1935" s="220"/>
      <c r="C1935" s="220"/>
      <c r="E1935" s="220"/>
      <c r="F1935" s="220"/>
      <c r="G1935" s="221"/>
    </row>
    <row r="1936">
      <c r="A1936" s="220"/>
      <c r="B1936" s="220"/>
      <c r="C1936" s="220"/>
      <c r="E1936" s="220"/>
      <c r="F1936" s="220"/>
      <c r="G1936" s="221"/>
    </row>
    <row r="1937">
      <c r="A1937" s="220"/>
      <c r="B1937" s="220"/>
      <c r="C1937" s="220"/>
      <c r="E1937" s="220"/>
      <c r="F1937" s="220"/>
      <c r="G1937" s="221"/>
    </row>
    <row r="1938">
      <c r="A1938" s="220"/>
      <c r="B1938" s="220"/>
      <c r="C1938" s="220"/>
      <c r="E1938" s="220"/>
      <c r="F1938" s="220"/>
      <c r="G1938" s="221"/>
    </row>
    <row r="1939">
      <c r="A1939" s="220"/>
      <c r="B1939" s="220"/>
      <c r="C1939" s="220"/>
      <c r="E1939" s="220"/>
      <c r="F1939" s="220"/>
      <c r="G1939" s="221"/>
    </row>
    <row r="1940">
      <c r="A1940" s="220"/>
      <c r="B1940" s="220"/>
      <c r="C1940" s="220"/>
      <c r="E1940" s="220"/>
      <c r="F1940" s="220"/>
      <c r="G1940" s="221"/>
    </row>
    <row r="1941">
      <c r="A1941" s="220"/>
      <c r="B1941" s="220"/>
      <c r="C1941" s="220"/>
      <c r="E1941" s="220"/>
      <c r="F1941" s="220"/>
      <c r="G1941" s="221"/>
    </row>
    <row r="1942">
      <c r="A1942" s="220"/>
      <c r="B1942" s="220"/>
      <c r="C1942" s="220"/>
      <c r="E1942" s="220"/>
      <c r="F1942" s="220"/>
      <c r="G1942" s="221"/>
    </row>
    <row r="1943">
      <c r="A1943" s="220"/>
      <c r="B1943" s="220"/>
      <c r="C1943" s="220"/>
      <c r="E1943" s="220"/>
      <c r="F1943" s="220"/>
      <c r="G1943" s="221"/>
    </row>
    <row r="1944">
      <c r="A1944" s="220"/>
      <c r="B1944" s="220"/>
      <c r="C1944" s="220"/>
      <c r="E1944" s="220"/>
      <c r="F1944" s="220"/>
      <c r="G1944" s="221"/>
    </row>
    <row r="1945">
      <c r="A1945" s="220"/>
      <c r="B1945" s="220"/>
      <c r="C1945" s="220"/>
      <c r="E1945" s="220"/>
      <c r="F1945" s="220"/>
      <c r="G1945" s="221"/>
    </row>
    <row r="1946">
      <c r="A1946" s="220"/>
      <c r="B1946" s="220"/>
      <c r="C1946" s="220"/>
      <c r="E1946" s="220"/>
      <c r="F1946" s="220"/>
      <c r="G1946" s="221"/>
    </row>
    <row r="1947">
      <c r="A1947" s="220"/>
      <c r="B1947" s="220"/>
      <c r="C1947" s="220"/>
      <c r="E1947" s="220"/>
      <c r="F1947" s="220"/>
      <c r="G1947" s="221"/>
    </row>
    <row r="1948">
      <c r="A1948" s="220"/>
      <c r="B1948" s="220"/>
      <c r="C1948" s="220"/>
      <c r="E1948" s="220"/>
      <c r="F1948" s="220"/>
      <c r="G1948" s="221"/>
    </row>
    <row r="1949">
      <c r="A1949" s="220"/>
      <c r="B1949" s="220"/>
      <c r="C1949" s="220"/>
      <c r="E1949" s="220"/>
      <c r="F1949" s="220"/>
      <c r="G1949" s="221"/>
    </row>
    <row r="1950">
      <c r="A1950" s="220"/>
      <c r="B1950" s="220"/>
      <c r="C1950" s="220"/>
      <c r="E1950" s="220"/>
      <c r="F1950" s="220"/>
      <c r="G1950" s="221"/>
    </row>
    <row r="1951">
      <c r="A1951" s="220"/>
      <c r="B1951" s="220"/>
      <c r="C1951" s="220"/>
      <c r="E1951" s="220"/>
      <c r="F1951" s="220"/>
      <c r="G1951" s="221"/>
    </row>
    <row r="1952">
      <c r="A1952" s="220"/>
      <c r="B1952" s="220"/>
      <c r="C1952" s="220"/>
      <c r="E1952" s="220"/>
      <c r="F1952" s="220"/>
      <c r="G1952" s="221"/>
    </row>
    <row r="1953">
      <c r="A1953" s="220"/>
      <c r="B1953" s="220"/>
      <c r="C1953" s="220"/>
      <c r="E1953" s="220"/>
      <c r="F1953" s="220"/>
      <c r="G1953" s="221"/>
    </row>
    <row r="1954">
      <c r="A1954" s="220"/>
      <c r="B1954" s="220"/>
      <c r="C1954" s="220"/>
      <c r="E1954" s="220"/>
      <c r="F1954" s="220"/>
      <c r="G1954" s="221"/>
    </row>
    <row r="1955">
      <c r="A1955" s="220"/>
      <c r="B1955" s="220"/>
      <c r="C1955" s="220"/>
      <c r="E1955" s="220"/>
      <c r="F1955" s="220"/>
      <c r="G1955" s="221"/>
    </row>
    <row r="1956">
      <c r="A1956" s="220"/>
      <c r="B1956" s="220"/>
      <c r="C1956" s="220"/>
      <c r="E1956" s="220"/>
      <c r="F1956" s="220"/>
      <c r="G1956" s="221"/>
    </row>
    <row r="1957">
      <c r="A1957" s="220"/>
      <c r="B1957" s="220"/>
      <c r="C1957" s="220"/>
      <c r="E1957" s="220"/>
      <c r="F1957" s="220"/>
      <c r="G1957" s="221"/>
    </row>
    <row r="1958">
      <c r="A1958" s="220"/>
      <c r="B1958" s="220"/>
      <c r="C1958" s="220"/>
      <c r="E1958" s="220"/>
      <c r="F1958" s="220"/>
      <c r="G1958" s="221"/>
    </row>
    <row r="1959">
      <c r="A1959" s="220"/>
      <c r="B1959" s="220"/>
      <c r="C1959" s="220"/>
      <c r="E1959" s="220"/>
      <c r="F1959" s="220"/>
      <c r="G1959" s="221"/>
    </row>
    <row r="1960">
      <c r="A1960" s="220"/>
      <c r="B1960" s="220"/>
      <c r="C1960" s="220"/>
      <c r="E1960" s="220"/>
      <c r="F1960" s="220"/>
      <c r="G1960" s="221"/>
    </row>
    <row r="1961">
      <c r="A1961" s="220"/>
      <c r="B1961" s="220"/>
      <c r="C1961" s="220"/>
      <c r="E1961" s="220"/>
      <c r="F1961" s="220"/>
      <c r="G1961" s="221"/>
    </row>
    <row r="1962">
      <c r="A1962" s="220"/>
      <c r="B1962" s="220"/>
      <c r="C1962" s="220"/>
      <c r="E1962" s="220"/>
      <c r="F1962" s="220"/>
      <c r="G1962" s="221"/>
    </row>
    <row r="1963">
      <c r="A1963" s="220"/>
      <c r="B1963" s="220"/>
      <c r="C1963" s="220"/>
      <c r="E1963" s="220"/>
      <c r="F1963" s="220"/>
      <c r="G1963" s="221"/>
    </row>
    <row r="1964">
      <c r="A1964" s="220"/>
      <c r="B1964" s="220"/>
      <c r="C1964" s="220"/>
      <c r="E1964" s="220"/>
      <c r="F1964" s="220"/>
      <c r="G1964" s="221"/>
    </row>
    <row r="1965">
      <c r="A1965" s="220"/>
      <c r="B1965" s="220"/>
      <c r="C1965" s="220"/>
      <c r="E1965" s="220"/>
      <c r="F1965" s="220"/>
      <c r="G1965" s="221"/>
    </row>
    <row r="1966">
      <c r="A1966" s="220"/>
      <c r="B1966" s="220"/>
      <c r="C1966" s="220"/>
      <c r="E1966" s="220"/>
      <c r="F1966" s="220"/>
      <c r="G1966" s="221"/>
    </row>
    <row r="1967">
      <c r="A1967" s="220"/>
      <c r="B1967" s="220"/>
      <c r="C1967" s="220"/>
      <c r="E1967" s="220"/>
      <c r="F1967" s="220"/>
      <c r="G1967" s="221"/>
    </row>
    <row r="1968">
      <c r="A1968" s="220"/>
      <c r="B1968" s="220"/>
      <c r="C1968" s="220"/>
      <c r="E1968" s="220"/>
      <c r="F1968" s="220"/>
      <c r="G1968" s="221"/>
    </row>
    <row r="1969">
      <c r="A1969" s="220"/>
      <c r="B1969" s="220"/>
      <c r="C1969" s="220"/>
      <c r="E1969" s="220"/>
      <c r="F1969" s="220"/>
      <c r="G1969" s="221"/>
    </row>
    <row r="1970">
      <c r="A1970" s="220"/>
      <c r="B1970" s="220"/>
      <c r="C1970" s="220"/>
      <c r="E1970" s="220"/>
      <c r="F1970" s="220"/>
      <c r="G1970" s="221"/>
    </row>
    <row r="1971">
      <c r="A1971" s="220"/>
      <c r="B1971" s="220"/>
      <c r="C1971" s="220"/>
      <c r="E1971" s="220"/>
      <c r="F1971" s="220"/>
      <c r="G1971" s="221"/>
    </row>
    <row r="1972">
      <c r="A1972" s="220"/>
      <c r="B1972" s="220"/>
      <c r="C1972" s="220"/>
      <c r="E1972" s="220"/>
      <c r="F1972" s="220"/>
      <c r="G1972" s="221"/>
    </row>
    <row r="1973">
      <c r="A1973" s="220"/>
      <c r="B1973" s="220"/>
      <c r="C1973" s="220"/>
      <c r="E1973" s="220"/>
      <c r="F1973" s="220"/>
      <c r="G1973" s="221"/>
    </row>
    <row r="1974">
      <c r="A1974" s="220"/>
      <c r="B1974" s="220"/>
      <c r="C1974" s="220"/>
      <c r="E1974" s="220"/>
      <c r="F1974" s="220"/>
      <c r="G1974" s="221"/>
    </row>
    <row r="1975">
      <c r="A1975" s="220"/>
      <c r="B1975" s="220"/>
      <c r="C1975" s="220"/>
      <c r="E1975" s="220"/>
      <c r="F1975" s="220"/>
      <c r="G1975" s="221"/>
    </row>
    <row r="1976">
      <c r="A1976" s="220"/>
      <c r="B1976" s="220"/>
      <c r="C1976" s="220"/>
      <c r="E1976" s="220"/>
      <c r="F1976" s="220"/>
      <c r="G1976" s="221"/>
    </row>
    <row r="1977">
      <c r="A1977" s="220"/>
      <c r="B1977" s="220"/>
      <c r="C1977" s="220"/>
      <c r="E1977" s="220"/>
      <c r="F1977" s="220"/>
      <c r="G1977" s="221"/>
    </row>
    <row r="1978">
      <c r="A1978" s="220"/>
      <c r="B1978" s="220"/>
      <c r="C1978" s="220"/>
      <c r="E1978" s="220"/>
      <c r="F1978" s="220"/>
      <c r="G1978" s="221"/>
    </row>
    <row r="1979">
      <c r="A1979" s="220"/>
      <c r="B1979" s="220"/>
      <c r="C1979" s="220"/>
      <c r="E1979" s="220"/>
      <c r="F1979" s="220"/>
      <c r="G1979" s="221"/>
    </row>
    <row r="1980">
      <c r="A1980" s="220"/>
      <c r="B1980" s="220"/>
      <c r="C1980" s="220"/>
      <c r="E1980" s="220"/>
      <c r="F1980" s="220"/>
      <c r="G1980" s="221"/>
    </row>
    <row r="1981">
      <c r="A1981" s="220"/>
      <c r="B1981" s="220"/>
      <c r="C1981" s="220"/>
      <c r="E1981" s="220"/>
      <c r="F1981" s="220"/>
      <c r="G1981" s="221"/>
    </row>
    <row r="1982">
      <c r="A1982" s="220"/>
      <c r="B1982" s="220"/>
      <c r="C1982" s="220"/>
      <c r="E1982" s="220"/>
      <c r="F1982" s="220"/>
      <c r="G1982" s="221"/>
    </row>
    <row r="1983">
      <c r="A1983" s="220"/>
      <c r="B1983" s="220"/>
      <c r="C1983" s="220"/>
      <c r="E1983" s="220"/>
      <c r="F1983" s="220"/>
      <c r="G1983" s="221"/>
    </row>
    <row r="1984">
      <c r="A1984" s="220"/>
      <c r="B1984" s="220"/>
      <c r="C1984" s="220"/>
      <c r="E1984" s="220"/>
      <c r="F1984" s="220"/>
      <c r="G1984" s="221"/>
    </row>
    <row r="1985">
      <c r="A1985" s="220"/>
      <c r="B1985" s="220"/>
      <c r="C1985" s="220"/>
      <c r="E1985" s="220"/>
      <c r="F1985" s="220"/>
      <c r="G1985" s="221"/>
    </row>
    <row r="1986">
      <c r="A1986" s="220"/>
      <c r="B1986" s="220"/>
      <c r="C1986" s="220"/>
      <c r="E1986" s="220"/>
      <c r="F1986" s="220"/>
      <c r="G1986" s="221"/>
    </row>
    <row r="1987">
      <c r="A1987" s="220"/>
      <c r="B1987" s="220"/>
      <c r="C1987" s="220"/>
      <c r="E1987" s="220"/>
      <c r="F1987" s="220"/>
      <c r="G1987" s="221"/>
    </row>
    <row r="1988">
      <c r="A1988" s="220"/>
      <c r="B1988" s="220"/>
      <c r="C1988" s="220"/>
      <c r="E1988" s="220"/>
      <c r="F1988" s="220"/>
      <c r="G1988" s="221"/>
    </row>
    <row r="1989">
      <c r="A1989" s="220"/>
      <c r="B1989" s="220"/>
      <c r="C1989" s="220"/>
      <c r="E1989" s="220"/>
      <c r="F1989" s="220"/>
      <c r="G1989" s="221"/>
    </row>
    <row r="1990">
      <c r="A1990" s="220"/>
      <c r="B1990" s="220"/>
      <c r="C1990" s="220"/>
      <c r="E1990" s="220"/>
      <c r="F1990" s="220"/>
      <c r="G1990" s="221"/>
    </row>
    <row r="1991">
      <c r="A1991" s="220"/>
      <c r="B1991" s="220"/>
      <c r="C1991" s="220"/>
      <c r="E1991" s="220"/>
      <c r="F1991" s="220"/>
      <c r="G1991" s="221"/>
    </row>
    <row r="1992">
      <c r="A1992" s="220"/>
      <c r="B1992" s="220"/>
      <c r="C1992" s="220"/>
      <c r="E1992" s="220"/>
      <c r="F1992" s="220"/>
      <c r="G1992" s="221"/>
    </row>
    <row r="1993">
      <c r="A1993" s="220"/>
      <c r="B1993" s="220"/>
      <c r="C1993" s="220"/>
      <c r="E1993" s="220"/>
      <c r="F1993" s="220"/>
      <c r="G1993" s="221"/>
    </row>
    <row r="1994">
      <c r="A1994" s="220"/>
      <c r="B1994" s="220"/>
      <c r="C1994" s="220"/>
      <c r="E1994" s="220"/>
      <c r="F1994" s="220"/>
      <c r="G1994" s="221"/>
    </row>
    <row r="1995">
      <c r="A1995" s="220"/>
      <c r="B1995" s="220"/>
      <c r="C1995" s="220"/>
      <c r="E1995" s="220"/>
      <c r="F1995" s="220"/>
      <c r="G1995" s="221"/>
    </row>
    <row r="1996">
      <c r="A1996" s="220"/>
      <c r="B1996" s="220"/>
      <c r="C1996" s="220"/>
      <c r="E1996" s="220"/>
      <c r="F1996" s="220"/>
      <c r="G1996" s="221"/>
    </row>
    <row r="1997">
      <c r="A1997" s="220"/>
      <c r="B1997" s="220"/>
      <c r="C1997" s="220"/>
      <c r="E1997" s="220"/>
      <c r="F1997" s="220"/>
      <c r="G1997" s="221"/>
    </row>
    <row r="1998">
      <c r="A1998" s="220"/>
      <c r="B1998" s="220"/>
      <c r="C1998" s="220"/>
      <c r="E1998" s="220"/>
      <c r="F1998" s="220"/>
      <c r="G1998" s="221"/>
    </row>
    <row r="1999">
      <c r="A1999" s="220"/>
      <c r="B1999" s="220"/>
      <c r="C1999" s="220"/>
      <c r="E1999" s="220"/>
      <c r="F1999" s="220"/>
      <c r="G1999" s="221"/>
    </row>
    <row r="2000">
      <c r="A2000" s="220"/>
      <c r="B2000" s="220"/>
      <c r="C2000" s="220"/>
      <c r="E2000" s="220"/>
      <c r="F2000" s="220"/>
      <c r="G2000" s="221"/>
    </row>
    <row r="2001">
      <c r="A2001" s="220"/>
      <c r="B2001" s="220"/>
      <c r="C2001" s="220"/>
      <c r="E2001" s="220"/>
      <c r="F2001" s="220"/>
      <c r="G2001" s="221"/>
    </row>
    <row r="2002">
      <c r="A2002" s="220"/>
      <c r="B2002" s="220"/>
      <c r="C2002" s="220"/>
      <c r="E2002" s="220"/>
      <c r="F2002" s="220"/>
      <c r="G2002" s="221"/>
    </row>
    <row r="2003">
      <c r="A2003" s="220"/>
      <c r="B2003" s="220"/>
      <c r="C2003" s="220"/>
      <c r="E2003" s="220"/>
      <c r="F2003" s="220"/>
      <c r="G2003" s="221"/>
    </row>
    <row r="2004">
      <c r="A2004" s="220"/>
      <c r="B2004" s="220"/>
      <c r="C2004" s="220"/>
      <c r="E2004" s="220"/>
      <c r="F2004" s="220"/>
      <c r="G2004" s="221"/>
    </row>
    <row r="2005">
      <c r="A2005" s="220"/>
      <c r="B2005" s="220"/>
      <c r="C2005" s="220"/>
      <c r="E2005" s="220"/>
      <c r="F2005" s="220"/>
      <c r="G2005" s="221"/>
    </row>
    <row r="2006">
      <c r="A2006" s="220"/>
      <c r="B2006" s="220"/>
      <c r="C2006" s="220"/>
      <c r="E2006" s="220"/>
      <c r="F2006" s="220"/>
      <c r="G2006" s="221"/>
    </row>
    <row r="2007">
      <c r="A2007" s="220"/>
      <c r="B2007" s="220"/>
      <c r="C2007" s="220"/>
      <c r="E2007" s="220"/>
      <c r="F2007" s="220"/>
      <c r="G2007" s="221"/>
    </row>
    <row r="2008">
      <c r="A2008" s="220"/>
      <c r="B2008" s="220"/>
      <c r="C2008" s="220"/>
      <c r="E2008" s="220"/>
      <c r="F2008" s="220"/>
      <c r="G2008" s="221"/>
    </row>
    <row r="2009">
      <c r="A2009" s="220"/>
      <c r="B2009" s="220"/>
      <c r="C2009" s="220"/>
      <c r="E2009" s="220"/>
      <c r="F2009" s="220"/>
      <c r="G2009" s="221"/>
    </row>
    <row r="2010">
      <c r="A2010" s="220"/>
      <c r="B2010" s="220"/>
      <c r="C2010" s="220"/>
      <c r="E2010" s="220"/>
      <c r="F2010" s="220"/>
      <c r="G2010" s="221"/>
    </row>
    <row r="2011">
      <c r="A2011" s="220"/>
      <c r="B2011" s="220"/>
      <c r="C2011" s="220"/>
      <c r="E2011" s="220"/>
      <c r="F2011" s="220"/>
      <c r="G2011" s="221"/>
    </row>
    <row r="2012">
      <c r="A2012" s="220"/>
      <c r="B2012" s="220"/>
      <c r="C2012" s="220"/>
      <c r="E2012" s="220"/>
      <c r="F2012" s="220"/>
      <c r="G2012" s="221"/>
    </row>
    <row r="2013">
      <c r="A2013" s="220"/>
      <c r="B2013" s="220"/>
      <c r="C2013" s="220"/>
      <c r="E2013" s="220"/>
      <c r="F2013" s="220"/>
      <c r="G2013" s="221"/>
    </row>
    <row r="2014">
      <c r="A2014" s="220"/>
      <c r="B2014" s="220"/>
      <c r="C2014" s="220"/>
      <c r="E2014" s="220"/>
      <c r="F2014" s="220"/>
      <c r="G2014" s="221"/>
    </row>
    <row r="2015">
      <c r="A2015" s="220"/>
      <c r="B2015" s="220"/>
      <c r="C2015" s="220"/>
      <c r="E2015" s="220"/>
      <c r="F2015" s="220"/>
      <c r="G2015" s="221"/>
    </row>
    <row r="2016">
      <c r="A2016" s="220"/>
      <c r="B2016" s="220"/>
      <c r="C2016" s="220"/>
      <c r="E2016" s="220"/>
      <c r="F2016" s="220"/>
      <c r="G2016" s="221"/>
    </row>
    <row r="2017">
      <c r="A2017" s="220"/>
      <c r="B2017" s="220"/>
      <c r="C2017" s="220"/>
      <c r="E2017" s="220"/>
      <c r="F2017" s="220"/>
      <c r="G2017" s="221"/>
    </row>
    <row r="2018">
      <c r="A2018" s="220"/>
      <c r="B2018" s="220"/>
      <c r="C2018" s="220"/>
      <c r="E2018" s="220"/>
      <c r="F2018" s="220"/>
      <c r="G2018" s="221"/>
    </row>
    <row r="2019">
      <c r="A2019" s="220"/>
      <c r="B2019" s="220"/>
      <c r="C2019" s="220"/>
      <c r="E2019" s="220"/>
      <c r="F2019" s="220"/>
      <c r="G2019" s="221"/>
    </row>
    <row r="2020">
      <c r="A2020" s="220"/>
      <c r="B2020" s="220"/>
      <c r="C2020" s="220"/>
      <c r="E2020" s="220"/>
      <c r="F2020" s="220"/>
      <c r="G2020" s="221"/>
    </row>
    <row r="2021">
      <c r="A2021" s="220"/>
      <c r="B2021" s="220"/>
      <c r="C2021" s="220"/>
      <c r="E2021" s="220"/>
      <c r="F2021" s="220"/>
      <c r="G2021" s="221"/>
    </row>
    <row r="2022">
      <c r="A2022" s="220"/>
      <c r="B2022" s="220"/>
      <c r="C2022" s="220"/>
      <c r="E2022" s="220"/>
      <c r="F2022" s="220"/>
      <c r="G2022" s="221"/>
    </row>
    <row r="2023">
      <c r="A2023" s="220"/>
      <c r="B2023" s="220"/>
      <c r="C2023" s="220"/>
      <c r="E2023" s="220"/>
      <c r="F2023" s="220"/>
      <c r="G2023" s="221"/>
    </row>
    <row r="2024">
      <c r="A2024" s="220"/>
      <c r="B2024" s="220"/>
      <c r="C2024" s="220"/>
      <c r="E2024" s="220"/>
      <c r="F2024" s="220"/>
      <c r="G2024" s="221"/>
    </row>
    <row r="2025">
      <c r="A2025" s="220"/>
      <c r="B2025" s="220"/>
      <c r="C2025" s="220"/>
      <c r="E2025" s="220"/>
      <c r="F2025" s="220"/>
      <c r="G2025" s="221"/>
    </row>
    <row r="2026">
      <c r="A2026" s="220"/>
      <c r="B2026" s="220"/>
      <c r="C2026" s="220"/>
      <c r="E2026" s="220"/>
      <c r="F2026" s="220"/>
      <c r="G2026" s="221"/>
    </row>
    <row r="2027">
      <c r="A2027" s="220"/>
      <c r="B2027" s="220"/>
      <c r="C2027" s="220"/>
      <c r="E2027" s="220"/>
      <c r="F2027" s="220"/>
      <c r="G2027" s="221"/>
    </row>
    <row r="2028">
      <c r="A2028" s="220"/>
      <c r="B2028" s="220"/>
      <c r="C2028" s="220"/>
      <c r="E2028" s="220"/>
      <c r="F2028" s="220"/>
      <c r="G2028" s="221"/>
    </row>
    <row r="2029">
      <c r="A2029" s="220"/>
      <c r="B2029" s="220"/>
      <c r="C2029" s="220"/>
      <c r="E2029" s="220"/>
      <c r="F2029" s="220"/>
      <c r="G2029" s="221"/>
    </row>
    <row r="2030">
      <c r="A2030" s="220"/>
      <c r="B2030" s="220"/>
      <c r="C2030" s="220"/>
      <c r="E2030" s="220"/>
      <c r="F2030" s="220"/>
      <c r="G2030" s="221"/>
    </row>
    <row r="2031">
      <c r="A2031" s="220"/>
      <c r="B2031" s="220"/>
      <c r="C2031" s="220"/>
      <c r="E2031" s="220"/>
      <c r="F2031" s="220"/>
      <c r="G2031" s="221"/>
    </row>
    <row r="2032">
      <c r="A2032" s="220"/>
      <c r="B2032" s="220"/>
      <c r="C2032" s="220"/>
      <c r="E2032" s="220"/>
      <c r="F2032" s="220"/>
      <c r="G2032" s="221"/>
    </row>
    <row r="2033">
      <c r="A2033" s="220"/>
      <c r="B2033" s="220"/>
      <c r="C2033" s="220"/>
      <c r="E2033" s="220"/>
      <c r="F2033" s="220"/>
      <c r="G2033" s="221"/>
    </row>
    <row r="2034">
      <c r="A2034" s="220"/>
      <c r="B2034" s="220"/>
      <c r="C2034" s="220"/>
      <c r="E2034" s="220"/>
      <c r="F2034" s="220"/>
      <c r="G2034" s="221"/>
    </row>
    <row r="2035">
      <c r="A2035" s="220"/>
      <c r="B2035" s="220"/>
      <c r="C2035" s="220"/>
      <c r="E2035" s="220"/>
      <c r="F2035" s="220"/>
      <c r="G2035" s="221"/>
    </row>
    <row r="2036">
      <c r="A2036" s="220"/>
      <c r="B2036" s="220"/>
      <c r="C2036" s="220"/>
      <c r="E2036" s="220"/>
      <c r="F2036" s="220"/>
      <c r="G2036" s="221"/>
    </row>
    <row r="2037">
      <c r="A2037" s="220"/>
      <c r="B2037" s="220"/>
      <c r="C2037" s="220"/>
      <c r="E2037" s="220"/>
      <c r="F2037" s="220"/>
      <c r="G2037" s="221"/>
    </row>
    <row r="2038">
      <c r="A2038" s="220"/>
      <c r="B2038" s="220"/>
      <c r="C2038" s="220"/>
      <c r="E2038" s="220"/>
      <c r="F2038" s="220"/>
      <c r="G2038" s="221"/>
    </row>
    <row r="2039">
      <c r="A2039" s="220"/>
      <c r="B2039" s="220"/>
      <c r="C2039" s="220"/>
      <c r="E2039" s="220"/>
      <c r="F2039" s="220"/>
      <c r="G2039" s="221"/>
    </row>
    <row r="2040">
      <c r="A2040" s="220"/>
      <c r="B2040" s="220"/>
      <c r="C2040" s="220"/>
      <c r="E2040" s="220"/>
      <c r="F2040" s="220"/>
      <c r="G2040" s="221"/>
    </row>
    <row r="2041">
      <c r="A2041" s="220"/>
      <c r="B2041" s="220"/>
      <c r="C2041" s="220"/>
      <c r="E2041" s="220"/>
      <c r="F2041" s="220"/>
      <c r="G2041" s="221"/>
    </row>
    <row r="2042">
      <c r="A2042" s="220"/>
      <c r="B2042" s="220"/>
      <c r="C2042" s="220"/>
      <c r="E2042" s="220"/>
      <c r="F2042" s="220"/>
      <c r="G2042" s="221"/>
    </row>
    <row r="2043">
      <c r="A2043" s="220"/>
      <c r="B2043" s="220"/>
      <c r="C2043" s="220"/>
      <c r="E2043" s="220"/>
      <c r="F2043" s="220"/>
      <c r="G2043" s="221"/>
    </row>
    <row r="2044">
      <c r="A2044" s="220"/>
      <c r="B2044" s="220"/>
      <c r="C2044" s="220"/>
      <c r="E2044" s="220"/>
      <c r="F2044" s="220"/>
      <c r="G2044" s="221"/>
    </row>
    <row r="2045">
      <c r="A2045" s="220"/>
      <c r="B2045" s="220"/>
      <c r="C2045" s="220"/>
      <c r="E2045" s="220"/>
      <c r="F2045" s="220"/>
      <c r="G2045" s="221"/>
    </row>
    <row r="2046">
      <c r="A2046" s="220"/>
      <c r="B2046" s="220"/>
      <c r="C2046" s="220"/>
      <c r="E2046" s="220"/>
      <c r="F2046" s="220"/>
      <c r="G2046" s="221"/>
    </row>
    <row r="2047">
      <c r="A2047" s="220"/>
      <c r="B2047" s="220"/>
      <c r="C2047" s="220"/>
      <c r="E2047" s="220"/>
      <c r="F2047" s="220"/>
      <c r="G2047" s="221"/>
    </row>
    <row r="2048">
      <c r="A2048" s="220"/>
      <c r="B2048" s="220"/>
      <c r="C2048" s="220"/>
      <c r="E2048" s="220"/>
      <c r="F2048" s="220"/>
      <c r="G2048" s="221"/>
    </row>
    <row r="2049">
      <c r="A2049" s="220"/>
      <c r="B2049" s="220"/>
      <c r="C2049" s="220"/>
      <c r="E2049" s="220"/>
      <c r="F2049" s="220"/>
      <c r="G2049" s="221"/>
    </row>
    <row r="2050">
      <c r="A2050" s="220"/>
      <c r="B2050" s="220"/>
      <c r="C2050" s="220"/>
      <c r="E2050" s="220"/>
      <c r="F2050" s="220"/>
      <c r="G2050" s="221"/>
    </row>
    <row r="2051">
      <c r="A2051" s="220"/>
      <c r="B2051" s="220"/>
      <c r="C2051" s="220"/>
      <c r="E2051" s="220"/>
      <c r="F2051" s="220"/>
      <c r="G2051" s="221"/>
    </row>
    <row r="2052">
      <c r="A2052" s="220"/>
      <c r="B2052" s="220"/>
      <c r="C2052" s="220"/>
      <c r="E2052" s="220"/>
      <c r="F2052" s="220"/>
      <c r="G2052" s="221"/>
    </row>
    <row r="2053">
      <c r="A2053" s="220"/>
      <c r="B2053" s="220"/>
      <c r="C2053" s="220"/>
      <c r="E2053" s="220"/>
      <c r="F2053" s="220"/>
      <c r="G2053" s="221"/>
    </row>
    <row r="2054">
      <c r="A2054" s="220"/>
      <c r="B2054" s="220"/>
      <c r="C2054" s="220"/>
      <c r="E2054" s="220"/>
      <c r="F2054" s="220"/>
      <c r="G2054" s="221"/>
    </row>
    <row r="2055">
      <c r="A2055" s="220"/>
      <c r="B2055" s="220"/>
      <c r="C2055" s="220"/>
      <c r="E2055" s="220"/>
      <c r="F2055" s="220"/>
      <c r="G2055" s="221"/>
    </row>
    <row r="2056">
      <c r="A2056" s="220"/>
      <c r="B2056" s="220"/>
      <c r="C2056" s="220"/>
      <c r="E2056" s="220"/>
      <c r="F2056" s="220"/>
      <c r="G2056" s="221"/>
    </row>
    <row r="2057">
      <c r="A2057" s="220"/>
      <c r="B2057" s="220"/>
      <c r="C2057" s="220"/>
      <c r="E2057" s="220"/>
      <c r="F2057" s="220"/>
      <c r="G2057" s="221"/>
    </row>
    <row r="2058">
      <c r="A2058" s="220"/>
      <c r="B2058" s="220"/>
      <c r="C2058" s="220"/>
      <c r="E2058" s="220"/>
      <c r="F2058" s="220"/>
      <c r="G2058" s="221"/>
    </row>
    <row r="2059">
      <c r="A2059" s="220"/>
      <c r="B2059" s="220"/>
      <c r="C2059" s="220"/>
      <c r="E2059" s="220"/>
      <c r="F2059" s="220"/>
      <c r="G2059" s="221"/>
    </row>
    <row r="2060">
      <c r="A2060" s="220"/>
      <c r="B2060" s="220"/>
      <c r="C2060" s="220"/>
      <c r="E2060" s="220"/>
      <c r="F2060" s="220"/>
      <c r="G2060" s="221"/>
    </row>
    <row r="2061">
      <c r="A2061" s="220"/>
      <c r="B2061" s="220"/>
      <c r="C2061" s="220"/>
      <c r="E2061" s="220"/>
      <c r="F2061" s="220"/>
      <c r="G2061" s="221"/>
    </row>
    <row r="2062">
      <c r="A2062" s="220"/>
      <c r="B2062" s="220"/>
      <c r="C2062" s="220"/>
      <c r="E2062" s="220"/>
      <c r="F2062" s="220"/>
      <c r="G2062" s="221"/>
    </row>
    <row r="2063">
      <c r="A2063" s="220"/>
      <c r="B2063" s="220"/>
      <c r="C2063" s="220"/>
      <c r="E2063" s="220"/>
      <c r="F2063" s="220"/>
      <c r="G2063" s="221"/>
    </row>
    <row r="2064">
      <c r="A2064" s="220"/>
      <c r="B2064" s="220"/>
      <c r="C2064" s="220"/>
      <c r="E2064" s="220"/>
      <c r="F2064" s="220"/>
      <c r="G2064" s="221"/>
    </row>
    <row r="2065">
      <c r="A2065" s="220"/>
      <c r="B2065" s="220"/>
      <c r="C2065" s="220"/>
      <c r="E2065" s="220"/>
      <c r="F2065" s="220"/>
      <c r="G2065" s="221"/>
    </row>
    <row r="2066">
      <c r="A2066" s="220"/>
      <c r="B2066" s="220"/>
      <c r="C2066" s="220"/>
      <c r="E2066" s="220"/>
      <c r="F2066" s="220"/>
      <c r="G2066" s="221"/>
    </row>
    <row r="2067">
      <c r="A2067" s="220"/>
      <c r="B2067" s="220"/>
      <c r="C2067" s="220"/>
      <c r="E2067" s="220"/>
      <c r="F2067" s="220"/>
      <c r="G2067" s="221"/>
    </row>
    <row r="2068">
      <c r="A2068" s="220"/>
      <c r="B2068" s="220"/>
      <c r="C2068" s="220"/>
      <c r="E2068" s="220"/>
      <c r="F2068" s="220"/>
      <c r="G2068" s="221"/>
    </row>
    <row r="2069">
      <c r="A2069" s="220"/>
      <c r="B2069" s="220"/>
      <c r="C2069" s="220"/>
      <c r="E2069" s="220"/>
      <c r="F2069" s="220"/>
      <c r="G2069" s="221"/>
    </row>
    <row r="2070">
      <c r="A2070" s="220"/>
      <c r="B2070" s="220"/>
      <c r="C2070" s="220"/>
      <c r="E2070" s="220"/>
      <c r="F2070" s="220"/>
      <c r="G2070" s="221"/>
    </row>
    <row r="2071">
      <c r="A2071" s="220"/>
      <c r="B2071" s="220"/>
      <c r="C2071" s="220"/>
      <c r="E2071" s="220"/>
      <c r="F2071" s="220"/>
      <c r="G2071" s="221"/>
    </row>
    <row r="2072">
      <c r="A2072" s="220"/>
      <c r="B2072" s="220"/>
      <c r="C2072" s="220"/>
      <c r="E2072" s="220"/>
      <c r="F2072" s="220"/>
      <c r="G2072" s="221"/>
    </row>
    <row r="2073">
      <c r="A2073" s="220"/>
      <c r="B2073" s="220"/>
      <c r="C2073" s="220"/>
      <c r="E2073" s="220"/>
      <c r="F2073" s="220"/>
      <c r="G2073" s="221"/>
    </row>
    <row r="2074">
      <c r="A2074" s="220"/>
      <c r="B2074" s="220"/>
      <c r="C2074" s="220"/>
      <c r="E2074" s="220"/>
      <c r="F2074" s="220"/>
      <c r="G2074" s="221"/>
    </row>
    <row r="2075">
      <c r="A2075" s="220"/>
      <c r="B2075" s="220"/>
      <c r="C2075" s="220"/>
      <c r="E2075" s="220"/>
      <c r="F2075" s="220"/>
      <c r="G2075" s="221"/>
    </row>
    <row r="2076">
      <c r="A2076" s="220"/>
      <c r="B2076" s="220"/>
      <c r="C2076" s="220"/>
      <c r="E2076" s="220"/>
      <c r="F2076" s="220"/>
      <c r="G2076" s="221"/>
    </row>
    <row r="2077">
      <c r="A2077" s="220"/>
      <c r="B2077" s="220"/>
      <c r="C2077" s="220"/>
      <c r="E2077" s="220"/>
      <c r="F2077" s="220"/>
      <c r="G2077" s="221"/>
    </row>
    <row r="2078">
      <c r="A2078" s="220"/>
      <c r="B2078" s="220"/>
      <c r="C2078" s="220"/>
      <c r="E2078" s="220"/>
      <c r="F2078" s="220"/>
      <c r="G2078" s="221"/>
    </row>
    <row r="2079">
      <c r="A2079" s="220"/>
      <c r="B2079" s="220"/>
      <c r="C2079" s="220"/>
      <c r="E2079" s="220"/>
      <c r="F2079" s="220"/>
      <c r="G2079" s="221"/>
    </row>
    <row r="2080">
      <c r="A2080" s="220"/>
      <c r="B2080" s="220"/>
      <c r="C2080" s="220"/>
      <c r="E2080" s="220"/>
      <c r="F2080" s="220"/>
      <c r="G2080" s="221"/>
    </row>
    <row r="2081">
      <c r="A2081" s="220"/>
      <c r="B2081" s="220"/>
      <c r="C2081" s="220"/>
      <c r="E2081" s="220"/>
      <c r="F2081" s="220"/>
      <c r="G2081" s="221"/>
    </row>
    <row r="2082">
      <c r="A2082" s="220"/>
      <c r="B2082" s="220"/>
      <c r="C2082" s="220"/>
      <c r="E2082" s="220"/>
      <c r="F2082" s="220"/>
      <c r="G2082" s="221"/>
    </row>
    <row r="2083">
      <c r="A2083" s="220"/>
      <c r="B2083" s="220"/>
      <c r="C2083" s="220"/>
      <c r="E2083" s="220"/>
      <c r="F2083" s="220"/>
      <c r="G2083" s="221"/>
    </row>
    <row r="2084">
      <c r="A2084" s="220"/>
      <c r="B2084" s="220"/>
      <c r="C2084" s="220"/>
      <c r="E2084" s="220"/>
      <c r="F2084" s="220"/>
      <c r="G2084" s="221"/>
    </row>
    <row r="2085">
      <c r="A2085" s="220"/>
      <c r="B2085" s="220"/>
      <c r="C2085" s="220"/>
      <c r="E2085" s="220"/>
      <c r="F2085" s="220"/>
      <c r="G2085" s="221"/>
    </row>
    <row r="2086">
      <c r="A2086" s="220"/>
      <c r="B2086" s="220"/>
      <c r="C2086" s="220"/>
      <c r="E2086" s="220"/>
      <c r="F2086" s="220"/>
      <c r="G2086" s="221"/>
    </row>
    <row r="2087">
      <c r="A2087" s="220"/>
      <c r="B2087" s="220"/>
      <c r="C2087" s="220"/>
      <c r="E2087" s="220"/>
      <c r="F2087" s="220"/>
      <c r="G2087" s="221"/>
    </row>
    <row r="2088">
      <c r="A2088" s="220"/>
      <c r="B2088" s="220"/>
      <c r="C2088" s="220"/>
      <c r="E2088" s="220"/>
      <c r="F2088" s="220"/>
      <c r="G2088" s="221"/>
    </row>
    <row r="2089">
      <c r="A2089" s="220"/>
      <c r="B2089" s="220"/>
      <c r="C2089" s="220"/>
      <c r="E2089" s="220"/>
      <c r="F2089" s="220"/>
      <c r="G2089" s="221"/>
    </row>
    <row r="2090">
      <c r="A2090" s="220"/>
      <c r="B2090" s="220"/>
      <c r="C2090" s="220"/>
      <c r="E2090" s="220"/>
      <c r="F2090" s="220"/>
      <c r="G2090" s="221"/>
    </row>
    <row r="2091">
      <c r="A2091" s="220"/>
      <c r="B2091" s="220"/>
      <c r="C2091" s="220"/>
      <c r="E2091" s="220"/>
      <c r="F2091" s="220"/>
      <c r="G2091" s="221"/>
    </row>
    <row r="2092">
      <c r="A2092" s="220"/>
      <c r="B2092" s="220"/>
      <c r="C2092" s="220"/>
      <c r="E2092" s="220"/>
      <c r="F2092" s="220"/>
      <c r="G2092" s="221"/>
    </row>
    <row r="2093">
      <c r="A2093" s="220"/>
      <c r="B2093" s="220"/>
      <c r="C2093" s="220"/>
      <c r="E2093" s="220"/>
      <c r="F2093" s="220"/>
      <c r="G2093" s="221"/>
    </row>
    <row r="2094">
      <c r="A2094" s="220"/>
      <c r="B2094" s="220"/>
      <c r="C2094" s="220"/>
      <c r="E2094" s="220"/>
      <c r="F2094" s="220"/>
      <c r="G2094" s="221"/>
    </row>
    <row r="2095">
      <c r="A2095" s="220"/>
      <c r="B2095" s="220"/>
      <c r="C2095" s="220"/>
      <c r="E2095" s="220"/>
      <c r="F2095" s="220"/>
      <c r="G2095" s="221"/>
    </row>
    <row r="2096">
      <c r="A2096" s="220"/>
      <c r="B2096" s="220"/>
      <c r="C2096" s="220"/>
      <c r="E2096" s="220"/>
      <c r="F2096" s="220"/>
      <c r="G2096" s="221"/>
    </row>
    <row r="2097">
      <c r="A2097" s="220"/>
      <c r="B2097" s="220"/>
      <c r="C2097" s="220"/>
      <c r="E2097" s="220"/>
      <c r="F2097" s="220"/>
      <c r="G2097" s="221"/>
    </row>
    <row r="2098">
      <c r="A2098" s="220"/>
      <c r="B2098" s="220"/>
      <c r="C2098" s="220"/>
      <c r="E2098" s="220"/>
      <c r="F2098" s="220"/>
      <c r="G2098" s="221"/>
    </row>
    <row r="2099">
      <c r="A2099" s="220"/>
      <c r="B2099" s="220"/>
      <c r="C2099" s="220"/>
      <c r="E2099" s="220"/>
      <c r="F2099" s="220"/>
      <c r="G2099" s="221"/>
    </row>
    <row r="2100">
      <c r="A2100" s="220"/>
      <c r="B2100" s="220"/>
      <c r="C2100" s="220"/>
      <c r="E2100" s="220"/>
      <c r="F2100" s="220"/>
      <c r="G2100" s="221"/>
    </row>
    <row r="2101">
      <c r="A2101" s="220"/>
      <c r="B2101" s="220"/>
      <c r="C2101" s="220"/>
      <c r="E2101" s="220"/>
      <c r="F2101" s="220"/>
      <c r="G2101" s="221"/>
    </row>
    <row r="2102">
      <c r="A2102" s="220"/>
      <c r="B2102" s="220"/>
      <c r="C2102" s="220"/>
      <c r="E2102" s="220"/>
      <c r="F2102" s="220"/>
      <c r="G2102" s="221"/>
    </row>
    <row r="2103">
      <c r="A2103" s="220"/>
      <c r="B2103" s="220"/>
      <c r="C2103" s="220"/>
      <c r="E2103" s="220"/>
      <c r="F2103" s="220"/>
      <c r="G2103" s="221"/>
    </row>
    <row r="2104">
      <c r="A2104" s="220"/>
      <c r="B2104" s="220"/>
      <c r="C2104" s="220"/>
      <c r="E2104" s="220"/>
      <c r="F2104" s="220"/>
      <c r="G2104" s="221"/>
    </row>
    <row r="2105">
      <c r="A2105" s="220"/>
      <c r="B2105" s="220"/>
      <c r="C2105" s="220"/>
      <c r="E2105" s="220"/>
      <c r="F2105" s="220"/>
      <c r="G2105" s="221"/>
    </row>
    <row r="2106">
      <c r="A2106" s="220"/>
      <c r="B2106" s="220"/>
      <c r="C2106" s="220"/>
      <c r="E2106" s="220"/>
      <c r="F2106" s="220"/>
      <c r="G2106" s="221"/>
    </row>
    <row r="2107">
      <c r="A2107" s="220"/>
      <c r="B2107" s="220"/>
      <c r="C2107" s="220"/>
      <c r="E2107" s="220"/>
      <c r="F2107" s="220"/>
      <c r="G2107" s="221"/>
    </row>
    <row r="2108">
      <c r="A2108" s="220"/>
      <c r="B2108" s="220"/>
      <c r="C2108" s="220"/>
      <c r="E2108" s="220"/>
      <c r="F2108" s="220"/>
      <c r="G2108" s="221"/>
    </row>
    <row r="2109">
      <c r="A2109" s="220"/>
      <c r="B2109" s="220"/>
      <c r="C2109" s="220"/>
      <c r="E2109" s="220"/>
      <c r="F2109" s="220"/>
      <c r="G2109" s="221"/>
    </row>
    <row r="2110">
      <c r="A2110" s="220"/>
      <c r="B2110" s="220"/>
      <c r="C2110" s="220"/>
      <c r="E2110" s="220"/>
      <c r="F2110" s="220"/>
      <c r="G2110" s="221"/>
    </row>
    <row r="2111">
      <c r="A2111" s="220"/>
      <c r="B2111" s="220"/>
      <c r="C2111" s="220"/>
      <c r="E2111" s="220"/>
      <c r="F2111" s="220"/>
      <c r="G2111" s="221"/>
    </row>
    <row r="2112">
      <c r="A2112" s="220"/>
      <c r="B2112" s="220"/>
      <c r="C2112" s="220"/>
      <c r="E2112" s="220"/>
      <c r="F2112" s="220"/>
      <c r="G2112" s="221"/>
    </row>
    <row r="2113">
      <c r="A2113" s="220"/>
      <c r="B2113" s="220"/>
      <c r="C2113" s="220"/>
      <c r="E2113" s="220"/>
      <c r="F2113" s="220"/>
      <c r="G2113" s="221"/>
    </row>
    <row r="2114">
      <c r="A2114" s="220"/>
      <c r="B2114" s="220"/>
      <c r="C2114" s="220"/>
      <c r="E2114" s="220"/>
      <c r="F2114" s="220"/>
      <c r="G2114" s="221"/>
    </row>
    <row r="2115">
      <c r="A2115" s="220"/>
      <c r="B2115" s="220"/>
      <c r="C2115" s="220"/>
      <c r="E2115" s="220"/>
      <c r="F2115" s="220"/>
      <c r="G2115" s="221"/>
    </row>
    <row r="2116">
      <c r="A2116" s="220"/>
      <c r="B2116" s="220"/>
      <c r="C2116" s="220"/>
      <c r="E2116" s="220"/>
      <c r="F2116" s="220"/>
      <c r="G2116" s="221"/>
    </row>
    <row r="2117">
      <c r="A2117" s="220"/>
      <c r="B2117" s="220"/>
      <c r="C2117" s="220"/>
      <c r="E2117" s="220"/>
      <c r="F2117" s="220"/>
      <c r="G2117" s="221"/>
    </row>
    <row r="2118">
      <c r="A2118" s="220"/>
      <c r="B2118" s="220"/>
      <c r="C2118" s="220"/>
      <c r="E2118" s="220"/>
      <c r="F2118" s="220"/>
      <c r="G2118" s="221"/>
    </row>
    <row r="2119">
      <c r="A2119" s="220"/>
      <c r="B2119" s="220"/>
      <c r="C2119" s="220"/>
      <c r="E2119" s="220"/>
      <c r="F2119" s="220"/>
      <c r="G2119" s="221"/>
    </row>
    <row r="2120">
      <c r="A2120" s="220"/>
      <c r="B2120" s="220"/>
      <c r="C2120" s="220"/>
      <c r="E2120" s="220"/>
      <c r="F2120" s="220"/>
      <c r="G2120" s="221"/>
    </row>
    <row r="2121">
      <c r="A2121" s="220"/>
      <c r="B2121" s="220"/>
      <c r="C2121" s="220"/>
      <c r="E2121" s="220"/>
      <c r="F2121" s="220"/>
      <c r="G2121" s="221"/>
    </row>
    <row r="2122">
      <c r="A2122" s="220"/>
      <c r="B2122" s="220"/>
      <c r="C2122" s="220"/>
      <c r="E2122" s="220"/>
      <c r="F2122" s="220"/>
      <c r="G2122" s="221"/>
    </row>
    <row r="2123">
      <c r="A2123" s="220"/>
      <c r="B2123" s="220"/>
      <c r="C2123" s="220"/>
      <c r="E2123" s="220"/>
      <c r="F2123" s="220"/>
      <c r="G2123" s="221"/>
    </row>
    <row r="2124">
      <c r="A2124" s="220"/>
      <c r="B2124" s="220"/>
      <c r="C2124" s="220"/>
      <c r="E2124" s="220"/>
      <c r="F2124" s="220"/>
      <c r="G2124" s="221"/>
    </row>
    <row r="2125">
      <c r="A2125" s="220"/>
      <c r="B2125" s="220"/>
      <c r="C2125" s="220"/>
      <c r="E2125" s="220"/>
      <c r="F2125" s="220"/>
      <c r="G2125" s="221"/>
    </row>
    <row r="2126">
      <c r="A2126" s="220"/>
      <c r="B2126" s="220"/>
      <c r="C2126" s="220"/>
      <c r="E2126" s="220"/>
      <c r="F2126" s="220"/>
      <c r="G2126" s="221"/>
    </row>
    <row r="2127">
      <c r="A2127" s="220"/>
      <c r="B2127" s="220"/>
      <c r="C2127" s="220"/>
      <c r="E2127" s="220"/>
      <c r="F2127" s="220"/>
      <c r="G2127" s="221"/>
    </row>
    <row r="2128">
      <c r="A2128" s="220"/>
      <c r="B2128" s="220"/>
      <c r="C2128" s="220"/>
      <c r="E2128" s="220"/>
      <c r="F2128" s="220"/>
      <c r="G2128" s="221"/>
    </row>
    <row r="2129">
      <c r="A2129" s="220"/>
      <c r="B2129" s="220"/>
      <c r="C2129" s="220"/>
      <c r="E2129" s="220"/>
      <c r="F2129" s="220"/>
      <c r="G2129" s="221"/>
    </row>
    <row r="2130">
      <c r="A2130" s="220"/>
      <c r="B2130" s="220"/>
      <c r="C2130" s="220"/>
      <c r="E2130" s="220"/>
      <c r="F2130" s="220"/>
      <c r="G2130" s="221"/>
    </row>
    <row r="2131">
      <c r="A2131" s="220"/>
      <c r="B2131" s="220"/>
      <c r="C2131" s="220"/>
      <c r="E2131" s="220"/>
      <c r="F2131" s="220"/>
      <c r="G2131" s="221"/>
    </row>
    <row r="2132">
      <c r="A2132" s="220"/>
      <c r="B2132" s="220"/>
      <c r="C2132" s="220"/>
      <c r="E2132" s="220"/>
      <c r="F2132" s="220"/>
      <c r="G2132" s="221"/>
    </row>
    <row r="2133">
      <c r="A2133" s="220"/>
      <c r="B2133" s="220"/>
      <c r="C2133" s="220"/>
      <c r="E2133" s="220"/>
      <c r="F2133" s="220"/>
      <c r="G2133" s="221"/>
    </row>
    <row r="2134">
      <c r="A2134" s="220"/>
      <c r="B2134" s="220"/>
      <c r="C2134" s="220"/>
      <c r="E2134" s="220"/>
      <c r="F2134" s="220"/>
      <c r="G2134" s="221"/>
    </row>
    <row r="2135">
      <c r="A2135" s="220"/>
      <c r="B2135" s="220"/>
      <c r="C2135" s="220"/>
      <c r="E2135" s="220"/>
      <c r="F2135" s="220"/>
      <c r="G2135" s="221"/>
    </row>
    <row r="2136">
      <c r="A2136" s="220"/>
      <c r="B2136" s="220"/>
      <c r="C2136" s="220"/>
      <c r="E2136" s="220"/>
      <c r="F2136" s="220"/>
      <c r="G2136" s="221"/>
    </row>
    <row r="2137">
      <c r="A2137" s="220"/>
      <c r="B2137" s="220"/>
      <c r="C2137" s="220"/>
      <c r="E2137" s="220"/>
      <c r="F2137" s="220"/>
      <c r="G2137" s="221"/>
    </row>
    <row r="2138">
      <c r="A2138" s="220"/>
      <c r="B2138" s="220"/>
      <c r="C2138" s="220"/>
      <c r="E2138" s="220"/>
      <c r="F2138" s="220"/>
      <c r="G2138" s="221"/>
    </row>
    <row r="2139">
      <c r="A2139" s="220"/>
      <c r="B2139" s="220"/>
      <c r="C2139" s="220"/>
      <c r="E2139" s="220"/>
      <c r="F2139" s="220"/>
      <c r="G2139" s="221"/>
    </row>
    <row r="2140">
      <c r="A2140" s="220"/>
      <c r="B2140" s="220"/>
      <c r="C2140" s="220"/>
      <c r="E2140" s="220"/>
      <c r="F2140" s="220"/>
      <c r="G2140" s="221"/>
    </row>
    <row r="2141">
      <c r="A2141" s="220"/>
      <c r="B2141" s="220"/>
      <c r="C2141" s="220"/>
      <c r="E2141" s="220"/>
      <c r="F2141" s="220"/>
      <c r="G2141" s="221"/>
    </row>
    <row r="2142">
      <c r="A2142" s="220"/>
      <c r="B2142" s="220"/>
      <c r="C2142" s="220"/>
      <c r="E2142" s="220"/>
      <c r="F2142" s="220"/>
      <c r="G2142" s="221"/>
    </row>
    <row r="2143">
      <c r="A2143" s="220"/>
      <c r="B2143" s="220"/>
      <c r="C2143" s="220"/>
      <c r="E2143" s="220"/>
      <c r="F2143" s="220"/>
      <c r="G2143" s="221"/>
    </row>
    <row r="2144">
      <c r="A2144" s="220"/>
      <c r="B2144" s="220"/>
      <c r="C2144" s="220"/>
      <c r="E2144" s="220"/>
      <c r="F2144" s="220"/>
      <c r="G2144" s="221"/>
    </row>
    <row r="2145">
      <c r="A2145" s="220"/>
      <c r="B2145" s="220"/>
      <c r="C2145" s="220"/>
      <c r="E2145" s="220"/>
      <c r="F2145" s="220"/>
      <c r="G2145" s="221"/>
    </row>
    <row r="2146">
      <c r="A2146" s="220"/>
      <c r="B2146" s="220"/>
      <c r="C2146" s="220"/>
      <c r="E2146" s="220"/>
      <c r="F2146" s="220"/>
      <c r="G2146" s="221"/>
    </row>
    <row r="2147">
      <c r="A2147" s="220"/>
      <c r="B2147" s="220"/>
      <c r="C2147" s="220"/>
      <c r="E2147" s="220"/>
      <c r="F2147" s="220"/>
      <c r="G2147" s="221"/>
    </row>
    <row r="2148">
      <c r="A2148" s="220"/>
      <c r="B2148" s="220"/>
      <c r="C2148" s="220"/>
      <c r="E2148" s="220"/>
      <c r="F2148" s="220"/>
      <c r="G2148" s="221"/>
    </row>
    <row r="2149">
      <c r="A2149" s="220"/>
      <c r="B2149" s="220"/>
      <c r="C2149" s="220"/>
      <c r="E2149" s="220"/>
      <c r="F2149" s="220"/>
      <c r="G2149" s="221"/>
    </row>
    <row r="2150">
      <c r="A2150" s="220"/>
      <c r="B2150" s="220"/>
      <c r="C2150" s="220"/>
      <c r="E2150" s="220"/>
      <c r="F2150" s="220"/>
      <c r="G2150" s="221"/>
    </row>
    <row r="2151">
      <c r="A2151" s="220"/>
      <c r="B2151" s="220"/>
      <c r="C2151" s="220"/>
      <c r="E2151" s="220"/>
      <c r="F2151" s="220"/>
      <c r="G2151" s="221"/>
    </row>
    <row r="2152">
      <c r="A2152" s="220"/>
      <c r="B2152" s="220"/>
      <c r="C2152" s="220"/>
      <c r="E2152" s="220"/>
      <c r="F2152" s="220"/>
      <c r="G2152" s="221"/>
    </row>
    <row r="2153">
      <c r="A2153" s="220"/>
      <c r="B2153" s="220"/>
      <c r="C2153" s="220"/>
      <c r="E2153" s="220"/>
      <c r="F2153" s="220"/>
      <c r="G2153" s="221"/>
    </row>
    <row r="2154">
      <c r="A2154" s="220"/>
      <c r="B2154" s="220"/>
      <c r="C2154" s="220"/>
      <c r="E2154" s="220"/>
      <c r="F2154" s="220"/>
      <c r="G2154" s="221"/>
    </row>
    <row r="2155">
      <c r="A2155" s="220"/>
      <c r="B2155" s="220"/>
      <c r="C2155" s="220"/>
      <c r="E2155" s="220"/>
      <c r="F2155" s="220"/>
      <c r="G2155" s="221"/>
    </row>
    <row r="2156">
      <c r="A2156" s="220"/>
      <c r="B2156" s="220"/>
      <c r="C2156" s="220"/>
      <c r="E2156" s="220"/>
      <c r="F2156" s="220"/>
      <c r="G2156" s="221"/>
    </row>
    <row r="2157">
      <c r="A2157" s="220"/>
      <c r="B2157" s="220"/>
      <c r="C2157" s="220"/>
      <c r="E2157" s="220"/>
      <c r="F2157" s="220"/>
      <c r="G2157" s="221"/>
    </row>
    <row r="2158">
      <c r="A2158" s="220"/>
      <c r="B2158" s="220"/>
      <c r="C2158" s="220"/>
      <c r="E2158" s="220"/>
      <c r="F2158" s="220"/>
      <c r="G2158" s="221"/>
    </row>
    <row r="2159">
      <c r="A2159" s="220"/>
      <c r="B2159" s="220"/>
      <c r="C2159" s="220"/>
      <c r="E2159" s="220"/>
      <c r="F2159" s="220"/>
      <c r="G2159" s="221"/>
    </row>
    <row r="2160">
      <c r="A2160" s="220"/>
      <c r="B2160" s="220"/>
      <c r="C2160" s="220"/>
      <c r="E2160" s="220"/>
      <c r="F2160" s="220"/>
      <c r="G2160" s="221"/>
    </row>
    <row r="2161">
      <c r="A2161" s="220"/>
      <c r="B2161" s="220"/>
      <c r="C2161" s="220"/>
      <c r="E2161" s="220"/>
      <c r="F2161" s="220"/>
      <c r="G2161" s="221"/>
    </row>
    <row r="2162">
      <c r="A2162" s="220"/>
      <c r="B2162" s="220"/>
      <c r="C2162" s="220"/>
      <c r="E2162" s="220"/>
      <c r="F2162" s="220"/>
      <c r="G2162" s="221"/>
    </row>
    <row r="2163">
      <c r="A2163" s="220"/>
      <c r="B2163" s="220"/>
      <c r="C2163" s="220"/>
      <c r="E2163" s="220"/>
      <c r="F2163" s="220"/>
      <c r="G2163" s="221"/>
    </row>
    <row r="2164">
      <c r="A2164" s="220"/>
      <c r="B2164" s="220"/>
      <c r="C2164" s="220"/>
      <c r="E2164" s="220"/>
      <c r="F2164" s="220"/>
      <c r="G2164" s="221"/>
    </row>
    <row r="2165">
      <c r="A2165" s="220"/>
      <c r="B2165" s="220"/>
      <c r="C2165" s="220"/>
      <c r="E2165" s="220"/>
      <c r="F2165" s="220"/>
      <c r="G2165" s="221"/>
    </row>
    <row r="2166">
      <c r="A2166" s="220"/>
      <c r="B2166" s="220"/>
      <c r="C2166" s="220"/>
      <c r="E2166" s="220"/>
      <c r="F2166" s="220"/>
      <c r="G2166" s="221"/>
    </row>
    <row r="2167">
      <c r="A2167" s="220"/>
      <c r="B2167" s="220"/>
      <c r="C2167" s="220"/>
      <c r="E2167" s="220"/>
      <c r="F2167" s="220"/>
      <c r="G2167" s="221"/>
    </row>
    <row r="2168">
      <c r="A2168" s="220"/>
      <c r="B2168" s="220"/>
      <c r="C2168" s="220"/>
      <c r="E2168" s="220"/>
      <c r="F2168" s="220"/>
      <c r="G2168" s="221"/>
    </row>
    <row r="2169">
      <c r="A2169" s="220"/>
      <c r="B2169" s="220"/>
      <c r="C2169" s="220"/>
      <c r="E2169" s="220"/>
      <c r="F2169" s="220"/>
      <c r="G2169" s="221"/>
    </row>
    <row r="2170">
      <c r="A2170" s="220"/>
      <c r="B2170" s="220"/>
      <c r="C2170" s="220"/>
      <c r="E2170" s="220"/>
      <c r="F2170" s="220"/>
      <c r="G2170" s="221"/>
    </row>
    <row r="2171">
      <c r="A2171" s="220"/>
      <c r="B2171" s="220"/>
      <c r="C2171" s="220"/>
      <c r="E2171" s="220"/>
      <c r="F2171" s="220"/>
      <c r="G2171" s="221"/>
    </row>
    <row r="2172">
      <c r="A2172" s="220"/>
      <c r="B2172" s="220"/>
      <c r="C2172" s="220"/>
      <c r="E2172" s="220"/>
      <c r="F2172" s="220"/>
      <c r="G2172" s="221"/>
    </row>
    <row r="2173">
      <c r="A2173" s="220"/>
      <c r="B2173" s="220"/>
      <c r="C2173" s="220"/>
      <c r="E2173" s="220"/>
      <c r="F2173" s="220"/>
      <c r="G2173" s="221"/>
    </row>
    <row r="2174">
      <c r="A2174" s="220"/>
      <c r="B2174" s="220"/>
      <c r="C2174" s="220"/>
      <c r="E2174" s="220"/>
      <c r="F2174" s="220"/>
      <c r="G2174" s="221"/>
    </row>
    <row r="2175">
      <c r="A2175" s="220"/>
      <c r="B2175" s="220"/>
      <c r="C2175" s="220"/>
      <c r="E2175" s="220"/>
      <c r="F2175" s="220"/>
      <c r="G2175" s="221"/>
    </row>
    <row r="2176">
      <c r="A2176" s="220"/>
      <c r="B2176" s="220"/>
      <c r="C2176" s="220"/>
      <c r="E2176" s="220"/>
      <c r="F2176" s="220"/>
      <c r="G2176" s="221"/>
    </row>
    <row r="2177">
      <c r="A2177" s="220"/>
      <c r="B2177" s="220"/>
      <c r="C2177" s="220"/>
      <c r="E2177" s="220"/>
      <c r="F2177" s="220"/>
      <c r="G2177" s="221"/>
    </row>
    <row r="2178">
      <c r="A2178" s="220"/>
      <c r="B2178" s="220"/>
      <c r="C2178" s="220"/>
      <c r="E2178" s="220"/>
      <c r="F2178" s="220"/>
      <c r="G2178" s="221"/>
    </row>
    <row r="2179">
      <c r="A2179" s="220"/>
      <c r="B2179" s="220"/>
      <c r="C2179" s="220"/>
      <c r="E2179" s="220"/>
      <c r="F2179" s="220"/>
      <c r="G2179" s="221"/>
    </row>
    <row r="2180">
      <c r="A2180" s="220"/>
      <c r="B2180" s="220"/>
      <c r="C2180" s="220"/>
      <c r="E2180" s="220"/>
      <c r="F2180" s="220"/>
      <c r="G2180" s="221"/>
    </row>
    <row r="2181">
      <c r="A2181" s="220"/>
      <c r="B2181" s="220"/>
      <c r="C2181" s="220"/>
      <c r="E2181" s="220"/>
      <c r="F2181" s="220"/>
      <c r="G2181" s="221"/>
    </row>
    <row r="2182">
      <c r="A2182" s="220"/>
      <c r="B2182" s="220"/>
      <c r="C2182" s="220"/>
      <c r="E2182" s="220"/>
      <c r="F2182" s="220"/>
      <c r="G2182" s="221"/>
    </row>
    <row r="2183">
      <c r="A2183" s="220"/>
      <c r="B2183" s="220"/>
      <c r="C2183" s="220"/>
      <c r="E2183" s="220"/>
      <c r="F2183" s="220"/>
      <c r="G2183" s="221"/>
    </row>
    <row r="2184">
      <c r="A2184" s="220"/>
      <c r="B2184" s="220"/>
      <c r="C2184" s="220"/>
      <c r="E2184" s="220"/>
      <c r="F2184" s="220"/>
      <c r="G2184" s="221"/>
    </row>
    <row r="2185">
      <c r="A2185" s="220"/>
      <c r="B2185" s="220"/>
      <c r="C2185" s="220"/>
      <c r="E2185" s="220"/>
      <c r="F2185" s="220"/>
      <c r="G2185" s="221"/>
    </row>
    <row r="2186">
      <c r="A2186" s="220"/>
      <c r="B2186" s="220"/>
      <c r="C2186" s="220"/>
      <c r="E2186" s="220"/>
      <c r="F2186" s="220"/>
      <c r="G2186" s="221"/>
    </row>
    <row r="2187">
      <c r="A2187" s="220"/>
      <c r="B2187" s="220"/>
      <c r="C2187" s="220"/>
      <c r="E2187" s="220"/>
      <c r="F2187" s="220"/>
      <c r="G2187" s="221"/>
    </row>
    <row r="2188">
      <c r="A2188" s="220"/>
      <c r="B2188" s="220"/>
      <c r="C2188" s="220"/>
      <c r="E2188" s="220"/>
      <c r="F2188" s="220"/>
      <c r="G2188" s="221"/>
    </row>
    <row r="2189">
      <c r="A2189" s="220"/>
      <c r="B2189" s="220"/>
      <c r="C2189" s="220"/>
      <c r="E2189" s="220"/>
      <c r="F2189" s="220"/>
      <c r="G2189" s="221"/>
    </row>
    <row r="2190">
      <c r="A2190" s="220"/>
      <c r="B2190" s="220"/>
      <c r="C2190" s="220"/>
      <c r="E2190" s="220"/>
      <c r="F2190" s="220"/>
      <c r="G2190" s="221"/>
    </row>
    <row r="2191">
      <c r="A2191" s="220"/>
      <c r="B2191" s="220"/>
      <c r="C2191" s="220"/>
      <c r="E2191" s="220"/>
      <c r="F2191" s="220"/>
      <c r="G2191" s="221"/>
    </row>
    <row r="2192">
      <c r="A2192" s="220"/>
      <c r="B2192" s="220"/>
      <c r="C2192" s="220"/>
      <c r="E2192" s="220"/>
      <c r="F2192" s="220"/>
      <c r="G2192" s="221"/>
    </row>
    <row r="2193">
      <c r="A2193" s="220"/>
      <c r="B2193" s="220"/>
      <c r="C2193" s="220"/>
      <c r="E2193" s="220"/>
      <c r="F2193" s="220"/>
      <c r="G2193" s="221"/>
    </row>
    <row r="2194">
      <c r="A2194" s="220"/>
      <c r="B2194" s="220"/>
      <c r="C2194" s="220"/>
      <c r="E2194" s="220"/>
      <c r="F2194" s="220"/>
      <c r="G2194" s="221"/>
    </row>
    <row r="2195">
      <c r="A2195" s="220"/>
      <c r="B2195" s="220"/>
      <c r="C2195" s="220"/>
      <c r="E2195" s="220"/>
      <c r="F2195" s="220"/>
      <c r="G2195" s="221"/>
    </row>
    <row r="2196">
      <c r="A2196" s="220"/>
      <c r="B2196" s="220"/>
      <c r="C2196" s="220"/>
      <c r="E2196" s="220"/>
      <c r="F2196" s="220"/>
      <c r="G2196" s="221"/>
    </row>
    <row r="2197">
      <c r="A2197" s="220"/>
      <c r="B2197" s="220"/>
      <c r="C2197" s="220"/>
      <c r="E2197" s="220"/>
      <c r="F2197" s="220"/>
      <c r="G2197" s="221"/>
    </row>
    <row r="2198">
      <c r="A2198" s="220"/>
      <c r="B2198" s="220"/>
      <c r="C2198" s="220"/>
      <c r="E2198" s="220"/>
      <c r="F2198" s="220"/>
      <c r="G2198" s="221"/>
    </row>
    <row r="2199">
      <c r="A2199" s="220"/>
      <c r="B2199" s="220"/>
      <c r="C2199" s="220"/>
      <c r="E2199" s="220"/>
      <c r="F2199" s="220"/>
      <c r="G2199" s="221"/>
    </row>
    <row r="2200">
      <c r="A2200" s="220"/>
      <c r="B2200" s="220"/>
      <c r="C2200" s="220"/>
      <c r="E2200" s="220"/>
      <c r="F2200" s="220"/>
      <c r="G2200" s="221"/>
    </row>
    <row r="2201">
      <c r="A2201" s="220"/>
      <c r="B2201" s="220"/>
      <c r="C2201" s="220"/>
      <c r="E2201" s="220"/>
      <c r="F2201" s="220"/>
      <c r="G2201" s="221"/>
    </row>
    <row r="2202">
      <c r="A2202" s="220"/>
      <c r="B2202" s="220"/>
      <c r="C2202" s="220"/>
      <c r="E2202" s="220"/>
      <c r="F2202" s="220"/>
      <c r="G2202" s="221"/>
    </row>
    <row r="2203">
      <c r="A2203" s="220"/>
      <c r="B2203" s="220"/>
      <c r="C2203" s="220"/>
      <c r="E2203" s="220"/>
      <c r="F2203" s="220"/>
      <c r="G2203" s="221"/>
    </row>
    <row r="2204">
      <c r="A2204" s="220"/>
      <c r="B2204" s="220"/>
      <c r="C2204" s="220"/>
      <c r="E2204" s="220"/>
      <c r="F2204" s="220"/>
      <c r="G2204" s="221"/>
    </row>
    <row r="2205">
      <c r="A2205" s="220"/>
      <c r="B2205" s="220"/>
      <c r="C2205" s="220"/>
      <c r="E2205" s="220"/>
      <c r="F2205" s="220"/>
      <c r="G2205" s="221"/>
    </row>
    <row r="2206">
      <c r="A2206" s="220"/>
      <c r="B2206" s="220"/>
      <c r="C2206" s="220"/>
      <c r="E2206" s="220"/>
      <c r="F2206" s="220"/>
      <c r="G2206" s="221"/>
    </row>
    <row r="2207">
      <c r="A2207" s="220"/>
      <c r="B2207" s="220"/>
      <c r="C2207" s="220"/>
      <c r="E2207" s="220"/>
      <c r="F2207" s="220"/>
      <c r="G2207" s="221"/>
    </row>
    <row r="2208">
      <c r="A2208" s="220"/>
      <c r="B2208" s="220"/>
      <c r="C2208" s="220"/>
      <c r="E2208" s="220"/>
      <c r="F2208" s="220"/>
      <c r="G2208" s="221"/>
    </row>
    <row r="2209">
      <c r="A2209" s="220"/>
      <c r="B2209" s="220"/>
      <c r="C2209" s="220"/>
      <c r="E2209" s="220"/>
      <c r="F2209" s="220"/>
      <c r="G2209" s="221"/>
    </row>
    <row r="2210">
      <c r="A2210" s="220"/>
      <c r="B2210" s="220"/>
      <c r="C2210" s="220"/>
      <c r="E2210" s="220"/>
      <c r="F2210" s="220"/>
      <c r="G2210" s="221"/>
    </row>
    <row r="2211">
      <c r="A2211" s="220"/>
      <c r="B2211" s="220"/>
      <c r="C2211" s="220"/>
      <c r="E2211" s="220"/>
      <c r="F2211" s="220"/>
      <c r="G2211" s="221"/>
    </row>
    <row r="2212">
      <c r="A2212" s="220"/>
      <c r="B2212" s="220"/>
      <c r="C2212" s="220"/>
      <c r="E2212" s="220"/>
      <c r="F2212" s="220"/>
      <c r="G2212" s="221"/>
    </row>
    <row r="2213">
      <c r="A2213" s="220"/>
      <c r="B2213" s="220"/>
      <c r="C2213" s="220"/>
      <c r="E2213" s="220"/>
      <c r="F2213" s="220"/>
      <c r="G2213" s="221"/>
    </row>
    <row r="2214">
      <c r="A2214" s="220"/>
      <c r="B2214" s="220"/>
      <c r="C2214" s="220"/>
      <c r="E2214" s="220"/>
      <c r="F2214" s="220"/>
      <c r="G2214" s="221"/>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sheetData>
    <row r="1">
      <c r="A1" s="82" t="s">
        <v>219</v>
      </c>
      <c r="B1" s="82" t="s">
        <v>220</v>
      </c>
      <c r="C1" s="82" t="s">
        <v>221</v>
      </c>
      <c r="D1" s="82" t="s">
        <v>222</v>
      </c>
      <c r="E1" s="83" t="s">
        <v>223</v>
      </c>
      <c r="F1" s="83" t="s">
        <v>224</v>
      </c>
      <c r="G1" s="82" t="s">
        <v>225</v>
      </c>
      <c r="H1" s="82" t="s">
        <v>46</v>
      </c>
    </row>
    <row r="2">
      <c r="A2" s="98">
        <v>1.0011E7</v>
      </c>
      <c r="B2" s="54" t="s">
        <v>3585</v>
      </c>
      <c r="C2" s="222" t="s">
        <v>3586</v>
      </c>
      <c r="D2" s="98" t="s">
        <v>228</v>
      </c>
      <c r="E2" s="87" t="s">
        <v>1168</v>
      </c>
      <c r="F2" s="87"/>
      <c r="G2" s="98" t="s">
        <v>1124</v>
      </c>
      <c r="H2" s="223" t="s">
        <v>3587</v>
      </c>
    </row>
    <row r="3">
      <c r="A3" s="98">
        <v>1.0011001E7</v>
      </c>
      <c r="B3" s="54" t="s">
        <v>3588</v>
      </c>
      <c r="C3" s="59"/>
      <c r="D3" s="85"/>
      <c r="E3" s="87" t="s">
        <v>1168</v>
      </c>
      <c r="F3" s="87"/>
      <c r="G3" s="98" t="s">
        <v>1124</v>
      </c>
      <c r="H3" s="223" t="s">
        <v>3587</v>
      </c>
    </row>
    <row r="4">
      <c r="A4" s="98">
        <v>1.0012E7</v>
      </c>
      <c r="B4" s="54" t="s">
        <v>3589</v>
      </c>
      <c r="C4" s="59"/>
      <c r="D4" s="85"/>
      <c r="E4" s="87"/>
      <c r="F4" s="87" t="s">
        <v>18</v>
      </c>
      <c r="G4" s="98" t="s">
        <v>1124</v>
      </c>
      <c r="H4" s="223" t="s">
        <v>3587</v>
      </c>
    </row>
    <row r="5">
      <c r="A5" s="98">
        <v>1.0012001E7</v>
      </c>
      <c r="B5" s="54" t="s">
        <v>3590</v>
      </c>
      <c r="C5" s="59"/>
      <c r="D5" s="85"/>
      <c r="E5" s="87"/>
      <c r="F5" s="87" t="s">
        <v>18</v>
      </c>
      <c r="G5" s="98" t="s">
        <v>1124</v>
      </c>
      <c r="H5" s="223" t="s">
        <v>3587</v>
      </c>
    </row>
    <row r="6">
      <c r="A6" s="98">
        <v>1.0013E7</v>
      </c>
      <c r="B6" s="54" t="s">
        <v>3591</v>
      </c>
      <c r="C6" s="59"/>
      <c r="D6" s="85"/>
      <c r="E6" s="87"/>
      <c r="F6" s="87" t="s">
        <v>1123</v>
      </c>
      <c r="G6" s="98" t="s">
        <v>1124</v>
      </c>
      <c r="H6" s="223" t="s">
        <v>3587</v>
      </c>
    </row>
    <row r="7">
      <c r="A7" s="98">
        <v>1.0013001E7</v>
      </c>
      <c r="B7" s="54" t="s">
        <v>3592</v>
      </c>
      <c r="C7" s="59"/>
      <c r="D7" s="85"/>
      <c r="E7" s="87"/>
      <c r="F7" s="87" t="s">
        <v>1123</v>
      </c>
      <c r="G7" s="98" t="s">
        <v>1124</v>
      </c>
      <c r="H7" s="223" t="s">
        <v>3587</v>
      </c>
    </row>
    <row r="8">
      <c r="A8" s="98">
        <v>1.0014E7</v>
      </c>
      <c r="B8" s="54" t="s">
        <v>3593</v>
      </c>
      <c r="C8" s="59"/>
      <c r="D8" s="85"/>
      <c r="E8" s="87" t="s">
        <v>3594</v>
      </c>
      <c r="F8" s="87"/>
      <c r="G8" s="98" t="s">
        <v>1124</v>
      </c>
      <c r="H8" s="223" t="s">
        <v>3587</v>
      </c>
    </row>
    <row r="9">
      <c r="A9" s="98">
        <v>1.0014001E7</v>
      </c>
      <c r="B9" s="54" t="s">
        <v>3595</v>
      </c>
      <c r="C9" s="73"/>
      <c r="D9" s="85"/>
      <c r="E9" s="87" t="s">
        <v>3594</v>
      </c>
      <c r="F9" s="87"/>
      <c r="G9" s="98" t="s">
        <v>1124</v>
      </c>
      <c r="H9" s="223" t="s">
        <v>3587</v>
      </c>
    </row>
  </sheetData>
  <mergeCells count="1">
    <mergeCell ref="C2:C9"/>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8.56"/>
    <col customWidth="1" min="2" max="2" width="4.67"/>
    <col customWidth="1" min="3" max="3" width="79.78"/>
    <col customWidth="1" min="4" max="4" width="15.11"/>
    <col customWidth="1" min="5" max="5" width="6.22"/>
    <col customWidth="1" min="6" max="6" width="6.44"/>
    <col customWidth="1" min="7" max="7" width="6.78"/>
    <col customWidth="1" min="8" max="8" width="4.11"/>
    <col customWidth="1" min="9" max="9" width="44.56"/>
    <col customWidth="1" min="10" max="12" width="9.11"/>
    <col customWidth="1" min="13" max="14" width="15.33"/>
    <col customWidth="1" min="15" max="15" width="10.56"/>
    <col customWidth="1" min="16" max="16" width="9.56"/>
    <col customWidth="1" min="17" max="17" width="8.44"/>
    <col customWidth="1" min="18" max="18" width="8.11"/>
    <col customWidth="1" min="19" max="19" width="8.22"/>
    <col customWidth="1" min="20" max="22" width="8.0"/>
  </cols>
  <sheetData>
    <row r="1" ht="15.75" customHeight="1">
      <c r="A1" s="82" t="s">
        <v>219</v>
      </c>
      <c r="B1" s="109" t="s">
        <v>3596</v>
      </c>
      <c r="C1" s="82" t="s">
        <v>220</v>
      </c>
      <c r="D1" s="82" t="s">
        <v>221</v>
      </c>
      <c r="E1" s="82" t="s">
        <v>222</v>
      </c>
      <c r="F1" s="83" t="s">
        <v>223</v>
      </c>
      <c r="G1" s="83" t="s">
        <v>224</v>
      </c>
      <c r="H1" s="82" t="s">
        <v>225</v>
      </c>
      <c r="I1" s="82" t="s">
        <v>46</v>
      </c>
      <c r="J1" s="22" t="s">
        <v>3597</v>
      </c>
      <c r="K1" s="51"/>
      <c r="L1" s="51"/>
      <c r="M1" s="51" t="s">
        <v>1120</v>
      </c>
      <c r="N1" s="51" t="s">
        <v>1120</v>
      </c>
      <c r="O1" s="84"/>
    </row>
    <row r="2" ht="15.75" customHeight="1">
      <c r="A2" s="224">
        <v>1.0012E7</v>
      </c>
      <c r="B2" s="224" t="str">
        <f t="shared" ref="B2:B514" si="1">left(A2,5)</f>
        <v>10012</v>
      </c>
      <c r="C2" s="224" t="s">
        <v>3598</v>
      </c>
      <c r="D2" s="225" t="s">
        <v>227</v>
      </c>
      <c r="E2" s="226">
        <v>9.0</v>
      </c>
      <c r="F2" s="126"/>
      <c r="G2" s="126"/>
      <c r="H2" s="125"/>
      <c r="I2" s="125"/>
      <c r="J2" s="99"/>
      <c r="K2" s="99"/>
      <c r="L2" s="99"/>
      <c r="M2" s="99">
        <f t="shared" ref="M2:M514" si="2">COUNTIF(A$2:A$514,A2)</f>
        <v>1</v>
      </c>
      <c r="N2" s="99">
        <f t="shared" ref="N2:N514" si="3">COUNTIF(C$2:C$514,C2)</f>
        <v>1</v>
      </c>
      <c r="O2" s="84"/>
      <c r="P2" s="122"/>
      <c r="Q2" s="84"/>
      <c r="R2" s="84"/>
      <c r="S2" s="84"/>
      <c r="T2" s="84"/>
      <c r="U2" s="84"/>
      <c r="V2" s="84"/>
    </row>
    <row r="3" ht="15.75" customHeight="1">
      <c r="A3" s="224">
        <v>1.0012001E7</v>
      </c>
      <c r="B3" s="224" t="str">
        <f t="shared" si="1"/>
        <v>10012</v>
      </c>
      <c r="C3" s="224" t="s">
        <v>3599</v>
      </c>
      <c r="D3" s="59"/>
      <c r="E3" s="59"/>
      <c r="F3" s="126"/>
      <c r="G3" s="126"/>
      <c r="H3" s="125"/>
      <c r="I3" s="125"/>
      <c r="J3" s="224" t="s">
        <v>3600</v>
      </c>
      <c r="K3" s="99"/>
      <c r="L3" s="99"/>
      <c r="M3" s="99">
        <f t="shared" si="2"/>
        <v>1</v>
      </c>
      <c r="N3" s="99">
        <f t="shared" si="3"/>
        <v>1</v>
      </c>
      <c r="O3" s="84"/>
      <c r="P3" s="122"/>
      <c r="Q3" s="84"/>
      <c r="R3" s="84"/>
      <c r="S3" s="84"/>
      <c r="T3" s="84"/>
      <c r="U3" s="84"/>
      <c r="V3" s="84"/>
    </row>
    <row r="4" ht="15.75" customHeight="1">
      <c r="A4" s="224">
        <v>1.0012002E7</v>
      </c>
      <c r="B4" s="224" t="str">
        <f t="shared" si="1"/>
        <v>10012</v>
      </c>
      <c r="C4" s="224" t="s">
        <v>3601</v>
      </c>
      <c r="D4" s="59"/>
      <c r="E4" s="59"/>
      <c r="F4" s="126"/>
      <c r="G4" s="126"/>
      <c r="H4" s="125"/>
      <c r="I4" s="125"/>
      <c r="J4" s="227" t="s">
        <v>3602</v>
      </c>
      <c r="K4" s="99"/>
      <c r="L4" s="99"/>
      <c r="M4" s="99">
        <f t="shared" si="2"/>
        <v>1</v>
      </c>
      <c r="N4" s="99">
        <f t="shared" si="3"/>
        <v>1</v>
      </c>
      <c r="O4" s="84"/>
      <c r="P4" s="122"/>
      <c r="Q4" s="84"/>
      <c r="R4" s="84"/>
      <c r="S4" s="84"/>
      <c r="T4" s="84"/>
      <c r="U4" s="84"/>
      <c r="V4" s="84"/>
    </row>
    <row r="5" ht="15.75" customHeight="1">
      <c r="A5" s="224">
        <v>1.0012003E7</v>
      </c>
      <c r="B5" s="224" t="str">
        <f t="shared" si="1"/>
        <v>10012</v>
      </c>
      <c r="C5" s="224" t="s">
        <v>3603</v>
      </c>
      <c r="D5" s="59"/>
      <c r="E5" s="59"/>
      <c r="F5" s="126"/>
      <c r="G5" s="126"/>
      <c r="H5" s="125"/>
      <c r="I5" s="125"/>
      <c r="J5" s="99"/>
      <c r="K5" s="99"/>
      <c r="L5" s="99"/>
      <c r="M5" s="99">
        <f t="shared" si="2"/>
        <v>1</v>
      </c>
      <c r="N5" s="99">
        <f t="shared" si="3"/>
        <v>1</v>
      </c>
      <c r="O5" s="84"/>
      <c r="P5" s="127"/>
      <c r="Q5" s="84"/>
      <c r="R5" s="84"/>
      <c r="S5" s="84"/>
      <c r="T5" s="84"/>
      <c r="U5" s="84"/>
      <c r="V5" s="84"/>
    </row>
    <row r="6" ht="15.75" customHeight="1">
      <c r="A6" s="224">
        <v>1.0012004E7</v>
      </c>
      <c r="B6" s="224" t="str">
        <f t="shared" si="1"/>
        <v>10012</v>
      </c>
      <c r="C6" s="224" t="s">
        <v>3604</v>
      </c>
      <c r="D6" s="59"/>
      <c r="E6" s="59"/>
      <c r="F6" s="126"/>
      <c r="G6" s="126"/>
      <c r="H6" s="125"/>
      <c r="I6" s="125"/>
      <c r="J6" s="99"/>
      <c r="K6" s="99"/>
      <c r="L6" s="99"/>
      <c r="M6" s="99">
        <f t="shared" si="2"/>
        <v>1</v>
      </c>
      <c r="N6" s="99">
        <f t="shared" si="3"/>
        <v>1</v>
      </c>
      <c r="O6" s="122"/>
      <c r="P6" s="84"/>
      <c r="Q6" s="122"/>
      <c r="R6" s="122"/>
      <c r="S6" s="122"/>
      <c r="T6" s="122"/>
      <c r="U6" s="122"/>
      <c r="V6" s="122"/>
    </row>
    <row r="7" ht="15.75" customHeight="1">
      <c r="A7" s="224">
        <v>1.0012005E7</v>
      </c>
      <c r="B7" s="224" t="str">
        <f t="shared" si="1"/>
        <v>10012</v>
      </c>
      <c r="C7" s="224" t="s">
        <v>3605</v>
      </c>
      <c r="D7" s="59"/>
      <c r="E7" s="59"/>
      <c r="F7" s="126"/>
      <c r="G7" s="126"/>
      <c r="H7" s="125"/>
      <c r="I7" s="125"/>
      <c r="J7" s="99"/>
      <c r="K7" s="99"/>
      <c r="L7" s="99"/>
      <c r="M7" s="99">
        <f t="shared" si="2"/>
        <v>1</v>
      </c>
      <c r="N7" s="99">
        <f t="shared" si="3"/>
        <v>1</v>
      </c>
      <c r="O7" s="122"/>
      <c r="P7" s="84"/>
      <c r="Q7" s="122"/>
      <c r="R7" s="122"/>
      <c r="S7" s="122"/>
      <c r="T7" s="122"/>
      <c r="U7" s="122"/>
      <c r="V7" s="122"/>
    </row>
    <row r="8" ht="15.75" customHeight="1">
      <c r="A8" s="224">
        <v>1.0012006E7</v>
      </c>
      <c r="B8" s="224" t="str">
        <f t="shared" si="1"/>
        <v>10012</v>
      </c>
      <c r="C8" s="224" t="s">
        <v>3606</v>
      </c>
      <c r="D8" s="59"/>
      <c r="E8" s="59"/>
      <c r="F8" s="126"/>
      <c r="G8" s="126"/>
      <c r="H8" s="125"/>
      <c r="I8" s="125"/>
      <c r="J8" s="99"/>
      <c r="K8" s="99"/>
      <c r="L8" s="99"/>
      <c r="M8" s="99">
        <f t="shared" si="2"/>
        <v>1</v>
      </c>
      <c r="N8" s="99">
        <f t="shared" si="3"/>
        <v>1</v>
      </c>
      <c r="O8" s="122"/>
      <c r="P8" s="84"/>
      <c r="Q8" s="122"/>
      <c r="R8" s="122"/>
      <c r="S8" s="122"/>
      <c r="T8" s="122"/>
      <c r="U8" s="122"/>
      <c r="V8" s="122"/>
    </row>
    <row r="9" ht="15.75" customHeight="1">
      <c r="A9" s="224">
        <v>1.0012007E7</v>
      </c>
      <c r="B9" s="224" t="str">
        <f t="shared" si="1"/>
        <v>10012</v>
      </c>
      <c r="C9" s="224" t="s">
        <v>3607</v>
      </c>
      <c r="D9" s="59"/>
      <c r="E9" s="59"/>
      <c r="F9" s="126"/>
      <c r="G9" s="126"/>
      <c r="H9" s="125"/>
      <c r="I9" s="125"/>
      <c r="J9" s="99"/>
      <c r="K9" s="99"/>
      <c r="L9" s="99"/>
      <c r="M9" s="99">
        <f t="shared" si="2"/>
        <v>1</v>
      </c>
      <c r="N9" s="99">
        <f t="shared" si="3"/>
        <v>1</v>
      </c>
      <c r="O9" s="122"/>
      <c r="P9" s="84"/>
      <c r="Q9" s="122"/>
      <c r="R9" s="122"/>
      <c r="S9" s="122"/>
      <c r="T9" s="122"/>
      <c r="U9" s="122"/>
      <c r="V9" s="122"/>
    </row>
    <row r="10" ht="15.75" customHeight="1">
      <c r="A10" s="227">
        <v>1.00121E7</v>
      </c>
      <c r="B10" s="227" t="str">
        <f t="shared" si="1"/>
        <v>10012</v>
      </c>
      <c r="C10" s="227" t="s">
        <v>3608</v>
      </c>
      <c r="D10" s="59"/>
      <c r="E10" s="59"/>
      <c r="F10" s="126"/>
      <c r="G10" s="126"/>
      <c r="H10" s="125"/>
      <c r="I10" s="125"/>
      <c r="J10" s="99"/>
      <c r="K10" s="99"/>
      <c r="L10" s="99"/>
      <c r="M10" s="99">
        <f t="shared" si="2"/>
        <v>1</v>
      </c>
      <c r="N10" s="99">
        <f t="shared" si="3"/>
        <v>1</v>
      </c>
      <c r="O10" s="122"/>
      <c r="P10" s="84"/>
      <c r="Q10" s="122"/>
      <c r="R10" s="122"/>
      <c r="S10" s="122"/>
      <c r="T10" s="122"/>
      <c r="U10" s="122"/>
      <c r="V10" s="122"/>
    </row>
    <row r="11" ht="15.75" customHeight="1">
      <c r="A11" s="227">
        <v>1.0012101E7</v>
      </c>
      <c r="B11" s="227" t="str">
        <f t="shared" si="1"/>
        <v>10012</v>
      </c>
      <c r="C11" s="227" t="s">
        <v>3609</v>
      </c>
      <c r="D11" s="59"/>
      <c r="E11" s="59"/>
      <c r="F11" s="126"/>
      <c r="G11" s="126"/>
      <c r="H11" s="125"/>
      <c r="I11" s="125"/>
      <c r="J11" s="99"/>
      <c r="K11" s="99"/>
      <c r="L11" s="99"/>
      <c r="M11" s="99">
        <f t="shared" si="2"/>
        <v>1</v>
      </c>
      <c r="N11" s="99">
        <f t="shared" si="3"/>
        <v>1</v>
      </c>
      <c r="O11" s="122"/>
      <c r="P11" s="84"/>
      <c r="Q11" s="122"/>
      <c r="R11" s="122"/>
      <c r="S11" s="122"/>
      <c r="T11" s="122"/>
      <c r="U11" s="122"/>
      <c r="V11" s="122"/>
    </row>
    <row r="12" ht="15.75" customHeight="1">
      <c r="A12" s="227">
        <v>1.0012102E7</v>
      </c>
      <c r="B12" s="227" t="str">
        <f t="shared" si="1"/>
        <v>10012</v>
      </c>
      <c r="C12" s="227" t="s">
        <v>3610</v>
      </c>
      <c r="D12" s="59"/>
      <c r="E12" s="59"/>
      <c r="F12" s="126"/>
      <c r="G12" s="126"/>
      <c r="H12" s="125"/>
      <c r="I12" s="125"/>
      <c r="J12" s="99"/>
      <c r="K12" s="99"/>
      <c r="L12" s="99"/>
      <c r="M12" s="99">
        <f t="shared" si="2"/>
        <v>1</v>
      </c>
      <c r="N12" s="99">
        <f t="shared" si="3"/>
        <v>1</v>
      </c>
      <c r="O12" s="122"/>
      <c r="P12" s="84"/>
      <c r="Q12" s="122"/>
      <c r="R12" s="122"/>
      <c r="S12" s="122"/>
      <c r="T12" s="122"/>
      <c r="U12" s="122"/>
      <c r="V12" s="122"/>
    </row>
    <row r="13" ht="15.75" customHeight="1">
      <c r="A13" s="227">
        <v>1.0012103E7</v>
      </c>
      <c r="B13" s="227" t="str">
        <f t="shared" si="1"/>
        <v>10012</v>
      </c>
      <c r="C13" s="227" t="s">
        <v>3611</v>
      </c>
      <c r="D13" s="59"/>
      <c r="E13" s="59"/>
      <c r="F13" s="126"/>
      <c r="G13" s="126"/>
      <c r="H13" s="125"/>
      <c r="I13" s="125"/>
      <c r="J13" s="99"/>
      <c r="K13" s="99"/>
      <c r="L13" s="99"/>
      <c r="M13" s="99">
        <f t="shared" si="2"/>
        <v>1</v>
      </c>
      <c r="N13" s="99">
        <f t="shared" si="3"/>
        <v>1</v>
      </c>
      <c r="O13" s="122"/>
      <c r="P13" s="84"/>
      <c r="Q13" s="122"/>
      <c r="R13" s="122"/>
      <c r="S13" s="122"/>
      <c r="T13" s="122"/>
      <c r="U13" s="122"/>
      <c r="V13" s="122"/>
    </row>
    <row r="14" ht="15.75" customHeight="1">
      <c r="A14" s="227">
        <v>1.0012104E7</v>
      </c>
      <c r="B14" s="227" t="str">
        <f t="shared" si="1"/>
        <v>10012</v>
      </c>
      <c r="C14" s="227" t="s">
        <v>3612</v>
      </c>
      <c r="D14" s="59"/>
      <c r="E14" s="59"/>
      <c r="F14" s="126"/>
      <c r="G14" s="126"/>
      <c r="H14" s="125"/>
      <c r="I14" s="125"/>
      <c r="J14" s="99"/>
      <c r="K14" s="99"/>
      <c r="L14" s="99"/>
      <c r="M14" s="99">
        <f t="shared" si="2"/>
        <v>1</v>
      </c>
      <c r="N14" s="99">
        <f t="shared" si="3"/>
        <v>1</v>
      </c>
      <c r="O14" s="122"/>
      <c r="P14" s="84"/>
      <c r="Q14" s="122"/>
      <c r="R14" s="122"/>
      <c r="S14" s="122"/>
      <c r="T14" s="122"/>
      <c r="U14" s="122"/>
      <c r="V14" s="122"/>
    </row>
    <row r="15" ht="15.75" customHeight="1">
      <c r="A15" s="227">
        <v>1.0012105E7</v>
      </c>
      <c r="B15" s="227" t="str">
        <f t="shared" si="1"/>
        <v>10012</v>
      </c>
      <c r="C15" s="227" t="s">
        <v>3613</v>
      </c>
      <c r="D15" s="59"/>
      <c r="E15" s="59"/>
      <c r="F15" s="126"/>
      <c r="G15" s="126"/>
      <c r="H15" s="125"/>
      <c r="I15" s="125"/>
      <c r="J15" s="99"/>
      <c r="K15" s="99"/>
      <c r="L15" s="99"/>
      <c r="M15" s="99">
        <f t="shared" si="2"/>
        <v>1</v>
      </c>
      <c r="N15" s="99">
        <f t="shared" si="3"/>
        <v>1</v>
      </c>
      <c r="O15" s="122"/>
      <c r="P15" s="84"/>
      <c r="Q15" s="122"/>
      <c r="R15" s="122"/>
      <c r="S15" s="122"/>
      <c r="T15" s="122"/>
      <c r="U15" s="122"/>
      <c r="V15" s="122"/>
    </row>
    <row r="16" ht="15.75" customHeight="1">
      <c r="A16" s="227">
        <v>1.0012106E7</v>
      </c>
      <c r="B16" s="227" t="str">
        <f t="shared" si="1"/>
        <v>10012</v>
      </c>
      <c r="C16" s="227" t="s">
        <v>3614</v>
      </c>
      <c r="D16" s="59"/>
      <c r="E16" s="59"/>
      <c r="F16" s="126"/>
      <c r="G16" s="126"/>
      <c r="H16" s="125"/>
      <c r="I16" s="125"/>
      <c r="J16" s="99"/>
      <c r="K16" s="99"/>
      <c r="L16" s="99"/>
      <c r="M16" s="99">
        <f t="shared" si="2"/>
        <v>1</v>
      </c>
      <c r="N16" s="99">
        <f t="shared" si="3"/>
        <v>1</v>
      </c>
      <c r="O16" s="127"/>
      <c r="P16" s="84"/>
      <c r="Q16" s="127"/>
      <c r="R16" s="127"/>
      <c r="S16" s="127"/>
      <c r="T16" s="127"/>
      <c r="U16" s="127"/>
      <c r="V16" s="127"/>
    </row>
    <row r="17" ht="15.75" customHeight="1">
      <c r="A17" s="227">
        <v>1.0012107E7</v>
      </c>
      <c r="B17" s="227" t="str">
        <f t="shared" si="1"/>
        <v>10012</v>
      </c>
      <c r="C17" s="227" t="s">
        <v>3615</v>
      </c>
      <c r="D17" s="59"/>
      <c r="E17" s="59"/>
      <c r="F17" s="126"/>
      <c r="G17" s="126"/>
      <c r="H17" s="125"/>
      <c r="I17" s="125"/>
      <c r="J17" s="99"/>
      <c r="K17" s="99"/>
      <c r="L17" s="99"/>
      <c r="M17" s="99">
        <f t="shared" si="2"/>
        <v>1</v>
      </c>
      <c r="N17" s="99">
        <f t="shared" si="3"/>
        <v>1</v>
      </c>
      <c r="O17" s="84"/>
      <c r="P17" s="84"/>
      <c r="Q17" s="84"/>
      <c r="R17" s="84"/>
      <c r="S17" s="84"/>
      <c r="T17" s="84"/>
      <c r="U17" s="84"/>
      <c r="V17" s="84"/>
    </row>
    <row r="18" ht="15.75" customHeight="1">
      <c r="A18" s="227">
        <v>1.0012108E7</v>
      </c>
      <c r="B18" s="227" t="str">
        <f t="shared" si="1"/>
        <v>10012</v>
      </c>
      <c r="C18" s="227" t="s">
        <v>3616</v>
      </c>
      <c r="D18" s="59"/>
      <c r="E18" s="59"/>
      <c r="F18" s="126"/>
      <c r="G18" s="126"/>
      <c r="H18" s="125"/>
      <c r="I18" s="125"/>
      <c r="J18" s="99"/>
      <c r="K18" s="99"/>
      <c r="L18" s="99"/>
      <c r="M18" s="99">
        <f t="shared" si="2"/>
        <v>1</v>
      </c>
      <c r="N18" s="99">
        <f t="shared" si="3"/>
        <v>1</v>
      </c>
      <c r="O18" s="84"/>
      <c r="P18" s="84"/>
      <c r="Q18" s="84"/>
      <c r="R18" s="84"/>
      <c r="S18" s="84"/>
      <c r="T18" s="84"/>
      <c r="U18" s="84"/>
      <c r="V18" s="84"/>
    </row>
    <row r="19" ht="15.75" customHeight="1">
      <c r="A19" s="227">
        <v>1.0012109E7</v>
      </c>
      <c r="B19" s="227" t="str">
        <f t="shared" si="1"/>
        <v>10012</v>
      </c>
      <c r="C19" s="227" t="s">
        <v>3617</v>
      </c>
      <c r="D19" s="59"/>
      <c r="E19" s="59"/>
      <c r="F19" s="126"/>
      <c r="G19" s="126"/>
      <c r="H19" s="125"/>
      <c r="I19" s="125"/>
      <c r="J19" s="99"/>
      <c r="K19" s="99"/>
      <c r="L19" s="99"/>
      <c r="M19" s="99">
        <f t="shared" si="2"/>
        <v>1</v>
      </c>
      <c r="N19" s="99">
        <f t="shared" si="3"/>
        <v>1</v>
      </c>
      <c r="O19" s="84"/>
      <c r="P19" s="84"/>
      <c r="Q19" s="84"/>
      <c r="R19" s="84"/>
      <c r="S19" s="84"/>
      <c r="T19" s="84"/>
      <c r="U19" s="84"/>
      <c r="V19" s="84"/>
    </row>
    <row r="20" ht="15.75" customHeight="1">
      <c r="A20" s="227">
        <v>1.001211E7</v>
      </c>
      <c r="B20" s="227" t="str">
        <f t="shared" si="1"/>
        <v>10012</v>
      </c>
      <c r="C20" s="227" t="s">
        <v>3618</v>
      </c>
      <c r="D20" s="59"/>
      <c r="E20" s="59"/>
      <c r="F20" s="126"/>
      <c r="G20" s="126"/>
      <c r="H20" s="125"/>
      <c r="I20" s="125"/>
      <c r="J20" s="99"/>
      <c r="K20" s="99"/>
      <c r="L20" s="99"/>
      <c r="M20" s="99">
        <f t="shared" si="2"/>
        <v>1</v>
      </c>
      <c r="N20" s="99">
        <f t="shared" si="3"/>
        <v>1</v>
      </c>
      <c r="O20" s="84"/>
      <c r="P20" s="84"/>
      <c r="Q20" s="84"/>
      <c r="R20" s="84"/>
      <c r="S20" s="84"/>
      <c r="T20" s="84"/>
      <c r="U20" s="84"/>
      <c r="V20" s="84"/>
    </row>
    <row r="21" ht="15.75" customHeight="1">
      <c r="A21" s="227">
        <v>1.0012111E7</v>
      </c>
      <c r="B21" s="227" t="str">
        <f t="shared" si="1"/>
        <v>10012</v>
      </c>
      <c r="C21" s="227" t="s">
        <v>3619</v>
      </c>
      <c r="D21" s="59"/>
      <c r="E21" s="59"/>
      <c r="F21" s="126"/>
      <c r="G21" s="126"/>
      <c r="H21" s="125"/>
      <c r="I21" s="125"/>
      <c r="J21" s="99"/>
      <c r="K21" s="99"/>
      <c r="L21" s="99"/>
      <c r="M21" s="99">
        <f t="shared" si="2"/>
        <v>1</v>
      </c>
      <c r="N21" s="99">
        <f t="shared" si="3"/>
        <v>1</v>
      </c>
      <c r="O21" s="84"/>
      <c r="P21" s="84"/>
      <c r="Q21" s="84"/>
      <c r="R21" s="84"/>
      <c r="S21" s="84"/>
      <c r="T21" s="84"/>
      <c r="U21" s="84"/>
      <c r="V21" s="84"/>
    </row>
    <row r="22" ht="15.75" customHeight="1">
      <c r="A22" s="227">
        <v>1.0012112E7</v>
      </c>
      <c r="B22" s="227" t="str">
        <f t="shared" si="1"/>
        <v>10012</v>
      </c>
      <c r="C22" s="227" t="s">
        <v>3620</v>
      </c>
      <c r="D22" s="59"/>
      <c r="E22" s="59"/>
      <c r="F22" s="126"/>
      <c r="G22" s="126"/>
      <c r="H22" s="125"/>
      <c r="I22" s="125"/>
      <c r="J22" s="99"/>
      <c r="K22" s="99"/>
      <c r="L22" s="99"/>
      <c r="M22" s="99">
        <f t="shared" si="2"/>
        <v>1</v>
      </c>
      <c r="N22" s="99">
        <f t="shared" si="3"/>
        <v>1</v>
      </c>
      <c r="O22" s="84"/>
      <c r="P22" s="84"/>
      <c r="Q22" s="84"/>
      <c r="R22" s="84"/>
      <c r="S22" s="84"/>
      <c r="T22" s="84"/>
      <c r="U22" s="84"/>
      <c r="V22" s="84"/>
    </row>
    <row r="23" ht="15.75" customHeight="1">
      <c r="A23" s="227">
        <v>1.0012113E7</v>
      </c>
      <c r="B23" s="227" t="str">
        <f t="shared" si="1"/>
        <v>10012</v>
      </c>
      <c r="C23" s="227" t="s">
        <v>3621</v>
      </c>
      <c r="D23" s="59"/>
      <c r="E23" s="59"/>
      <c r="F23" s="126"/>
      <c r="G23" s="126"/>
      <c r="H23" s="125"/>
      <c r="I23" s="125"/>
      <c r="J23" s="99"/>
      <c r="K23" s="99"/>
      <c r="L23" s="99"/>
      <c r="M23" s="99">
        <f t="shared" si="2"/>
        <v>1</v>
      </c>
      <c r="N23" s="99">
        <f t="shared" si="3"/>
        <v>1</v>
      </c>
      <c r="O23" s="84"/>
      <c r="P23" s="84"/>
      <c r="Q23" s="84"/>
      <c r="R23" s="84"/>
      <c r="S23" s="84"/>
      <c r="T23" s="84"/>
      <c r="U23" s="84"/>
      <c r="V23" s="84"/>
    </row>
    <row r="24" ht="15.75" customHeight="1">
      <c r="A24" s="227">
        <v>1.0012114E7</v>
      </c>
      <c r="B24" s="227" t="str">
        <f t="shared" si="1"/>
        <v>10012</v>
      </c>
      <c r="C24" s="227" t="s">
        <v>3622</v>
      </c>
      <c r="D24" s="59"/>
      <c r="E24" s="59"/>
      <c r="F24" s="126"/>
      <c r="G24" s="126"/>
      <c r="H24" s="125"/>
      <c r="I24" s="125"/>
      <c r="J24" s="99"/>
      <c r="K24" s="99"/>
      <c r="L24" s="99"/>
      <c r="M24" s="99">
        <f t="shared" si="2"/>
        <v>1</v>
      </c>
      <c r="N24" s="99">
        <f t="shared" si="3"/>
        <v>1</v>
      </c>
      <c r="O24" s="84"/>
      <c r="P24" s="84"/>
      <c r="Q24" s="84"/>
      <c r="R24" s="84"/>
      <c r="S24" s="84"/>
      <c r="T24" s="84"/>
      <c r="U24" s="84"/>
      <c r="V24" s="84"/>
    </row>
    <row r="25" ht="15.75" customHeight="1">
      <c r="A25" s="227">
        <v>1.0012115E7</v>
      </c>
      <c r="B25" s="227" t="str">
        <f t="shared" si="1"/>
        <v>10012</v>
      </c>
      <c r="C25" s="227" t="s">
        <v>3623</v>
      </c>
      <c r="D25" s="59"/>
      <c r="E25" s="59"/>
      <c r="F25" s="126"/>
      <c r="G25" s="126"/>
      <c r="H25" s="125"/>
      <c r="I25" s="125"/>
      <c r="J25" s="99"/>
      <c r="K25" s="99"/>
      <c r="L25" s="99"/>
      <c r="M25" s="99">
        <f t="shared" si="2"/>
        <v>1</v>
      </c>
      <c r="N25" s="99">
        <f t="shared" si="3"/>
        <v>1</v>
      </c>
      <c r="O25" s="84"/>
      <c r="P25" s="84"/>
      <c r="Q25" s="84"/>
      <c r="R25" s="84"/>
      <c r="S25" s="84"/>
      <c r="T25" s="84"/>
      <c r="U25" s="84"/>
      <c r="V25" s="84"/>
    </row>
    <row r="26" ht="15.75" customHeight="1">
      <c r="A26" s="227">
        <v>1.0012116E7</v>
      </c>
      <c r="B26" s="227" t="str">
        <f t="shared" si="1"/>
        <v>10012</v>
      </c>
      <c r="C26" s="227" t="s">
        <v>3624</v>
      </c>
      <c r="D26" s="59"/>
      <c r="E26" s="59"/>
      <c r="F26" s="126"/>
      <c r="G26" s="126"/>
      <c r="H26" s="125"/>
      <c r="I26" s="125"/>
      <c r="J26" s="99"/>
      <c r="K26" s="99"/>
      <c r="L26" s="99"/>
      <c r="M26" s="99">
        <f t="shared" si="2"/>
        <v>1</v>
      </c>
      <c r="N26" s="99">
        <f t="shared" si="3"/>
        <v>1</v>
      </c>
      <c r="O26" s="84"/>
      <c r="P26" s="84"/>
      <c r="Q26" s="84"/>
      <c r="R26" s="84"/>
      <c r="S26" s="84"/>
      <c r="T26" s="84"/>
      <c r="U26" s="84"/>
      <c r="V26" s="84"/>
    </row>
    <row r="27" ht="15.75" customHeight="1">
      <c r="A27" s="227">
        <v>1.0012117E7</v>
      </c>
      <c r="B27" s="227" t="str">
        <f t="shared" si="1"/>
        <v>10012</v>
      </c>
      <c r="C27" s="227" t="s">
        <v>3625</v>
      </c>
      <c r="D27" s="59"/>
      <c r="E27" s="59"/>
      <c r="F27" s="126"/>
      <c r="G27" s="126"/>
      <c r="H27" s="125"/>
      <c r="I27" s="125"/>
      <c r="J27" s="99"/>
      <c r="K27" s="99"/>
      <c r="L27" s="99"/>
      <c r="M27" s="99">
        <f t="shared" si="2"/>
        <v>1</v>
      </c>
      <c r="N27" s="99">
        <f t="shared" si="3"/>
        <v>1</v>
      </c>
      <c r="O27" s="84"/>
      <c r="P27" s="84"/>
      <c r="Q27" s="84"/>
      <c r="R27" s="84"/>
      <c r="S27" s="84"/>
      <c r="T27" s="84"/>
      <c r="U27" s="84"/>
      <c r="V27" s="84"/>
    </row>
    <row r="28" ht="15.75" customHeight="1">
      <c r="A28" s="227">
        <v>1.0012118E7</v>
      </c>
      <c r="B28" s="227" t="str">
        <f t="shared" si="1"/>
        <v>10012</v>
      </c>
      <c r="C28" s="227" t="s">
        <v>3626</v>
      </c>
      <c r="D28" s="59"/>
      <c r="E28" s="59"/>
      <c r="F28" s="126"/>
      <c r="G28" s="126"/>
      <c r="H28" s="125"/>
      <c r="I28" s="125"/>
      <c r="J28" s="99"/>
      <c r="K28" s="99"/>
      <c r="L28" s="99"/>
      <c r="M28" s="99">
        <f t="shared" si="2"/>
        <v>1</v>
      </c>
      <c r="N28" s="99">
        <f t="shared" si="3"/>
        <v>1</v>
      </c>
      <c r="O28" s="84"/>
      <c r="P28" s="84"/>
      <c r="Q28" s="84"/>
      <c r="R28" s="84"/>
      <c r="S28" s="84"/>
      <c r="T28" s="84"/>
      <c r="U28" s="84"/>
      <c r="V28" s="84"/>
    </row>
    <row r="29" ht="15.75" customHeight="1">
      <c r="A29" s="227">
        <v>1.001212E7</v>
      </c>
      <c r="B29" s="227" t="str">
        <f t="shared" si="1"/>
        <v>10012</v>
      </c>
      <c r="C29" s="227" t="s">
        <v>3627</v>
      </c>
      <c r="D29" s="59"/>
      <c r="E29" s="59"/>
      <c r="F29" s="126"/>
      <c r="G29" s="126"/>
      <c r="H29" s="125"/>
      <c r="I29" s="125"/>
      <c r="J29" s="99"/>
      <c r="K29" s="99"/>
      <c r="L29" s="99"/>
      <c r="M29" s="99">
        <f t="shared" si="2"/>
        <v>1</v>
      </c>
      <c r="N29" s="99">
        <f t="shared" si="3"/>
        <v>1</v>
      </c>
      <c r="O29" s="84"/>
      <c r="P29" s="84"/>
      <c r="Q29" s="84"/>
      <c r="R29" s="84"/>
      <c r="S29" s="84"/>
      <c r="T29" s="84"/>
      <c r="U29" s="84"/>
      <c r="V29" s="84"/>
    </row>
    <row r="30" ht="15.75" customHeight="1">
      <c r="A30" s="227">
        <v>1.0012121E7</v>
      </c>
      <c r="B30" s="227" t="str">
        <f t="shared" si="1"/>
        <v>10012</v>
      </c>
      <c r="C30" s="227" t="s">
        <v>3628</v>
      </c>
      <c r="D30" s="73"/>
      <c r="E30" s="73"/>
      <c r="F30" s="126"/>
      <c r="G30" s="126"/>
      <c r="H30" s="125"/>
      <c r="I30" s="125"/>
      <c r="J30" s="99"/>
      <c r="K30" s="99"/>
      <c r="L30" s="99"/>
      <c r="M30" s="99">
        <f t="shared" si="2"/>
        <v>1</v>
      </c>
      <c r="N30" s="99">
        <f t="shared" si="3"/>
        <v>1</v>
      </c>
      <c r="O30" s="84"/>
      <c r="P30" s="84"/>
      <c r="Q30" s="84"/>
      <c r="R30" s="84"/>
      <c r="S30" s="84"/>
      <c r="T30" s="84"/>
      <c r="U30" s="84"/>
      <c r="V30" s="84"/>
    </row>
    <row r="31" ht="15.75" customHeight="1">
      <c r="A31" s="224">
        <v>1.1450001E7</v>
      </c>
      <c r="B31" s="224" t="str">
        <f t="shared" si="1"/>
        <v>11450</v>
      </c>
      <c r="C31" s="224" t="s">
        <v>3629</v>
      </c>
      <c r="D31" s="225" t="s">
        <v>127</v>
      </c>
      <c r="E31" s="226">
        <v>3.0</v>
      </c>
      <c r="F31" s="126"/>
      <c r="G31" s="126"/>
      <c r="H31" s="125"/>
      <c r="I31" s="125"/>
      <c r="J31" s="99"/>
      <c r="K31" s="99"/>
      <c r="L31" s="99"/>
      <c r="M31" s="99">
        <f t="shared" si="2"/>
        <v>1</v>
      </c>
      <c r="N31" s="99">
        <f t="shared" si="3"/>
        <v>1</v>
      </c>
      <c r="O31" s="84"/>
      <c r="P31" s="84"/>
      <c r="Q31" s="84"/>
      <c r="R31" s="84"/>
      <c r="S31" s="84"/>
      <c r="T31" s="84"/>
      <c r="U31" s="84"/>
      <c r="V31" s="84"/>
    </row>
    <row r="32" ht="15.75" customHeight="1">
      <c r="A32" s="224">
        <v>1.1450002E7</v>
      </c>
      <c r="B32" s="224" t="str">
        <f t="shared" si="1"/>
        <v>11450</v>
      </c>
      <c r="C32" s="224" t="s">
        <v>3630</v>
      </c>
      <c r="D32" s="59"/>
      <c r="E32" s="59"/>
      <c r="F32" s="126"/>
      <c r="G32" s="126"/>
      <c r="H32" s="125"/>
      <c r="I32" s="125"/>
      <c r="J32" s="99"/>
      <c r="K32" s="99"/>
      <c r="L32" s="99"/>
      <c r="M32" s="99">
        <f t="shared" si="2"/>
        <v>1</v>
      </c>
      <c r="N32" s="99">
        <f t="shared" si="3"/>
        <v>1</v>
      </c>
      <c r="O32" s="84"/>
      <c r="P32" s="84"/>
      <c r="Q32" s="84"/>
      <c r="R32" s="84"/>
      <c r="S32" s="84"/>
      <c r="T32" s="84"/>
      <c r="U32" s="84"/>
      <c r="V32" s="84"/>
    </row>
    <row r="33" ht="15.75" customHeight="1">
      <c r="A33" s="224">
        <v>1.1450003E7</v>
      </c>
      <c r="B33" s="224" t="str">
        <f t="shared" si="1"/>
        <v>11450</v>
      </c>
      <c r="C33" s="224" t="s">
        <v>3631</v>
      </c>
      <c r="D33" s="59"/>
      <c r="E33" s="59"/>
      <c r="F33" s="126"/>
      <c r="G33" s="126"/>
      <c r="H33" s="125"/>
      <c r="I33" s="125"/>
      <c r="J33" s="99"/>
      <c r="K33" s="99"/>
      <c r="L33" s="99"/>
      <c r="M33" s="99">
        <f t="shared" si="2"/>
        <v>1</v>
      </c>
      <c r="N33" s="99">
        <f t="shared" si="3"/>
        <v>1</v>
      </c>
      <c r="O33" s="84"/>
      <c r="P33" s="84"/>
      <c r="Q33" s="84"/>
      <c r="R33" s="84"/>
      <c r="S33" s="84"/>
      <c r="T33" s="84"/>
      <c r="U33" s="84"/>
      <c r="V33" s="84"/>
    </row>
    <row r="34" ht="15.75" customHeight="1">
      <c r="A34" s="224">
        <v>1.1450004E7</v>
      </c>
      <c r="B34" s="224" t="str">
        <f t="shared" si="1"/>
        <v>11450</v>
      </c>
      <c r="C34" s="224" t="s">
        <v>3632</v>
      </c>
      <c r="D34" s="59"/>
      <c r="E34" s="59"/>
      <c r="F34" s="126"/>
      <c r="G34" s="126"/>
      <c r="H34" s="125"/>
      <c r="I34" s="125"/>
      <c r="J34" s="99"/>
      <c r="K34" s="99"/>
      <c r="L34" s="99"/>
      <c r="M34" s="99">
        <f t="shared" si="2"/>
        <v>1</v>
      </c>
      <c r="N34" s="99">
        <f t="shared" si="3"/>
        <v>1</v>
      </c>
      <c r="O34" s="84"/>
      <c r="P34" s="84"/>
      <c r="Q34" s="84"/>
      <c r="R34" s="84"/>
      <c r="S34" s="84"/>
      <c r="T34" s="84"/>
      <c r="U34" s="84"/>
      <c r="V34" s="84"/>
    </row>
    <row r="35" ht="15.75" customHeight="1">
      <c r="A35" s="224">
        <v>1.1450005E7</v>
      </c>
      <c r="B35" s="224" t="str">
        <f t="shared" si="1"/>
        <v>11450</v>
      </c>
      <c r="C35" s="224" t="s">
        <v>3633</v>
      </c>
      <c r="D35" s="59"/>
      <c r="E35" s="59"/>
      <c r="F35" s="126"/>
      <c r="G35" s="126"/>
      <c r="H35" s="125"/>
      <c r="I35" s="125"/>
      <c r="J35" s="99"/>
      <c r="K35" s="99"/>
      <c r="L35" s="99"/>
      <c r="M35" s="99">
        <f t="shared" si="2"/>
        <v>1</v>
      </c>
      <c r="N35" s="99">
        <f t="shared" si="3"/>
        <v>1</v>
      </c>
      <c r="O35" s="84"/>
      <c r="P35" s="84"/>
      <c r="Q35" s="84"/>
      <c r="R35" s="84"/>
      <c r="S35" s="84"/>
      <c r="T35" s="84"/>
      <c r="U35" s="84"/>
      <c r="V35" s="84"/>
    </row>
    <row r="36" ht="15.75" customHeight="1">
      <c r="A36" s="224">
        <v>1.1450006E7</v>
      </c>
      <c r="B36" s="224" t="str">
        <f t="shared" si="1"/>
        <v>11450</v>
      </c>
      <c r="C36" s="224" t="s">
        <v>3634</v>
      </c>
      <c r="D36" s="59"/>
      <c r="E36" s="59"/>
      <c r="F36" s="126"/>
      <c r="G36" s="126"/>
      <c r="H36" s="125"/>
      <c r="I36" s="125"/>
      <c r="J36" s="99"/>
      <c r="K36" s="99"/>
      <c r="L36" s="99"/>
      <c r="M36" s="99">
        <f t="shared" si="2"/>
        <v>1</v>
      </c>
      <c r="N36" s="99">
        <f t="shared" si="3"/>
        <v>1</v>
      </c>
      <c r="O36" s="84"/>
      <c r="P36" s="84"/>
      <c r="Q36" s="84"/>
      <c r="R36" s="84"/>
      <c r="S36" s="84"/>
      <c r="T36" s="84"/>
      <c r="U36" s="84"/>
      <c r="V36" s="84"/>
    </row>
    <row r="37" ht="15.75" customHeight="1">
      <c r="A37" s="224">
        <v>1.1450007E7</v>
      </c>
      <c r="B37" s="224" t="str">
        <f t="shared" si="1"/>
        <v>11450</v>
      </c>
      <c r="C37" s="224" t="s">
        <v>3635</v>
      </c>
      <c r="D37" s="59"/>
      <c r="E37" s="59"/>
      <c r="F37" s="126"/>
      <c r="G37" s="126"/>
      <c r="H37" s="125"/>
      <c r="I37" s="125"/>
      <c r="J37" s="99"/>
      <c r="K37" s="99"/>
      <c r="L37" s="99"/>
      <c r="M37" s="99">
        <f t="shared" si="2"/>
        <v>1</v>
      </c>
      <c r="N37" s="99">
        <f t="shared" si="3"/>
        <v>1</v>
      </c>
      <c r="O37" s="84"/>
      <c r="P37" s="84"/>
      <c r="Q37" s="84"/>
      <c r="R37" s="84"/>
      <c r="S37" s="84"/>
      <c r="T37" s="84"/>
      <c r="U37" s="84"/>
      <c r="V37" s="84"/>
    </row>
    <row r="38" ht="15.75" customHeight="1">
      <c r="A38" s="224">
        <v>1.1450008E7</v>
      </c>
      <c r="B38" s="224" t="str">
        <f t="shared" si="1"/>
        <v>11450</v>
      </c>
      <c r="C38" s="224" t="s">
        <v>3636</v>
      </c>
      <c r="D38" s="73"/>
      <c r="E38" s="73"/>
      <c r="F38" s="126"/>
      <c r="G38" s="126"/>
      <c r="H38" s="125"/>
      <c r="I38" s="125"/>
      <c r="J38" s="99"/>
      <c r="K38" s="99"/>
      <c r="L38" s="99"/>
      <c r="M38" s="99">
        <f t="shared" si="2"/>
        <v>1</v>
      </c>
      <c r="N38" s="99">
        <f t="shared" si="3"/>
        <v>1</v>
      </c>
      <c r="O38" s="84"/>
      <c r="P38" s="84"/>
      <c r="Q38" s="84"/>
      <c r="R38" s="84"/>
      <c r="S38" s="84"/>
      <c r="T38" s="84"/>
      <c r="U38" s="84"/>
      <c r="V38" s="84"/>
    </row>
    <row r="39" ht="15.75" customHeight="1">
      <c r="A39" s="227">
        <v>1.1450101E7</v>
      </c>
      <c r="B39" s="227" t="str">
        <f t="shared" si="1"/>
        <v>11450</v>
      </c>
      <c r="C39" s="227" t="s">
        <v>3637</v>
      </c>
      <c r="D39" s="225" t="s">
        <v>127</v>
      </c>
      <c r="E39" s="226">
        <v>3.0</v>
      </c>
      <c r="F39" s="126"/>
      <c r="G39" s="126"/>
      <c r="H39" s="125"/>
      <c r="I39" s="125"/>
      <c r="J39" s="99"/>
      <c r="K39" s="99"/>
      <c r="L39" s="99"/>
      <c r="M39" s="99">
        <f t="shared" si="2"/>
        <v>1</v>
      </c>
      <c r="N39" s="99">
        <f t="shared" si="3"/>
        <v>1</v>
      </c>
      <c r="O39" s="84"/>
      <c r="P39" s="84"/>
      <c r="Q39" s="84"/>
      <c r="R39" s="84"/>
      <c r="S39" s="84"/>
      <c r="T39" s="84"/>
      <c r="U39" s="84"/>
      <c r="V39" s="84"/>
    </row>
    <row r="40" ht="15.75" customHeight="1">
      <c r="A40" s="227">
        <v>1.1450102E7</v>
      </c>
      <c r="B40" s="227" t="str">
        <f t="shared" si="1"/>
        <v>11450</v>
      </c>
      <c r="C40" s="227" t="s">
        <v>3638</v>
      </c>
      <c r="D40" s="59"/>
      <c r="E40" s="59"/>
      <c r="F40" s="126"/>
      <c r="G40" s="126"/>
      <c r="H40" s="125"/>
      <c r="I40" s="125"/>
      <c r="J40" s="99"/>
      <c r="K40" s="99"/>
      <c r="L40" s="99"/>
      <c r="M40" s="99">
        <f t="shared" si="2"/>
        <v>1</v>
      </c>
      <c r="N40" s="99">
        <f t="shared" si="3"/>
        <v>1</v>
      </c>
      <c r="O40" s="84"/>
      <c r="P40" s="84"/>
      <c r="Q40" s="84"/>
      <c r="R40" s="84"/>
      <c r="S40" s="84"/>
      <c r="T40" s="84"/>
      <c r="U40" s="84"/>
      <c r="V40" s="84"/>
    </row>
    <row r="41" ht="15.75" customHeight="1">
      <c r="A41" s="227">
        <v>1.1450103E7</v>
      </c>
      <c r="B41" s="227" t="str">
        <f t="shared" si="1"/>
        <v>11450</v>
      </c>
      <c r="C41" s="227" t="s">
        <v>3639</v>
      </c>
      <c r="D41" s="59"/>
      <c r="E41" s="59"/>
      <c r="F41" s="126"/>
      <c r="G41" s="126"/>
      <c r="H41" s="125"/>
      <c r="I41" s="125"/>
      <c r="J41" s="99"/>
      <c r="K41" s="99"/>
      <c r="L41" s="99"/>
      <c r="M41" s="99">
        <f t="shared" si="2"/>
        <v>1</v>
      </c>
      <c r="N41" s="99">
        <f t="shared" si="3"/>
        <v>1</v>
      </c>
      <c r="O41" s="84"/>
      <c r="P41" s="84"/>
      <c r="Q41" s="84"/>
      <c r="R41" s="84"/>
      <c r="S41" s="84"/>
      <c r="T41" s="84"/>
      <c r="U41" s="84"/>
      <c r="V41" s="84"/>
    </row>
    <row r="42" ht="15.75" customHeight="1">
      <c r="A42" s="227">
        <v>1.1450104E7</v>
      </c>
      <c r="B42" s="227" t="str">
        <f t="shared" si="1"/>
        <v>11450</v>
      </c>
      <c r="C42" s="227" t="s">
        <v>3640</v>
      </c>
      <c r="D42" s="59"/>
      <c r="E42" s="59"/>
      <c r="F42" s="126"/>
      <c r="G42" s="126"/>
      <c r="H42" s="125"/>
      <c r="I42" s="125"/>
      <c r="J42" s="99"/>
      <c r="K42" s="99"/>
      <c r="L42" s="99"/>
      <c r="M42" s="99">
        <f t="shared" si="2"/>
        <v>1</v>
      </c>
      <c r="N42" s="99">
        <f t="shared" si="3"/>
        <v>1</v>
      </c>
      <c r="O42" s="84"/>
      <c r="P42" s="84"/>
      <c r="Q42" s="84"/>
      <c r="R42" s="84"/>
      <c r="S42" s="84"/>
      <c r="T42" s="84"/>
      <c r="U42" s="84"/>
      <c r="V42" s="84"/>
    </row>
    <row r="43" ht="15.75" customHeight="1">
      <c r="A43" s="227">
        <v>1.1450105E7</v>
      </c>
      <c r="B43" s="227" t="str">
        <f t="shared" si="1"/>
        <v>11450</v>
      </c>
      <c r="C43" s="227" t="s">
        <v>3641</v>
      </c>
      <c r="D43" s="59"/>
      <c r="E43" s="59"/>
      <c r="F43" s="126"/>
      <c r="G43" s="126"/>
      <c r="H43" s="125"/>
      <c r="I43" s="125"/>
      <c r="J43" s="99"/>
      <c r="K43" s="99"/>
      <c r="L43" s="99"/>
      <c r="M43" s="99">
        <f t="shared" si="2"/>
        <v>1</v>
      </c>
      <c r="N43" s="99">
        <f t="shared" si="3"/>
        <v>1</v>
      </c>
      <c r="O43" s="84"/>
      <c r="P43" s="84"/>
      <c r="Q43" s="84"/>
      <c r="R43" s="84"/>
      <c r="S43" s="84"/>
      <c r="T43" s="84"/>
      <c r="U43" s="84"/>
      <c r="V43" s="84"/>
    </row>
    <row r="44" ht="15.75" customHeight="1">
      <c r="A44" s="227">
        <v>1.1450106E7</v>
      </c>
      <c r="B44" s="227" t="str">
        <f t="shared" si="1"/>
        <v>11450</v>
      </c>
      <c r="C44" s="227" t="s">
        <v>3642</v>
      </c>
      <c r="D44" s="59"/>
      <c r="E44" s="59"/>
      <c r="F44" s="126"/>
      <c r="G44" s="126"/>
      <c r="H44" s="125"/>
      <c r="I44" s="125"/>
      <c r="J44" s="99"/>
      <c r="K44" s="99"/>
      <c r="L44" s="99"/>
      <c r="M44" s="99">
        <f t="shared" si="2"/>
        <v>1</v>
      </c>
      <c r="N44" s="99">
        <f t="shared" si="3"/>
        <v>1</v>
      </c>
      <c r="O44" s="84"/>
      <c r="P44" s="84"/>
      <c r="Q44" s="84"/>
      <c r="R44" s="84"/>
      <c r="S44" s="84"/>
      <c r="T44" s="84"/>
      <c r="U44" s="84"/>
      <c r="V44" s="84"/>
    </row>
    <row r="45" ht="15.75" customHeight="1">
      <c r="A45" s="227">
        <v>1.1450107E7</v>
      </c>
      <c r="B45" s="227" t="str">
        <f t="shared" si="1"/>
        <v>11450</v>
      </c>
      <c r="C45" s="227" t="s">
        <v>3643</v>
      </c>
      <c r="D45" s="59"/>
      <c r="E45" s="59"/>
      <c r="F45" s="126"/>
      <c r="G45" s="126"/>
      <c r="H45" s="125"/>
      <c r="I45" s="125"/>
      <c r="J45" s="99"/>
      <c r="K45" s="99"/>
      <c r="L45" s="99"/>
      <c r="M45" s="99">
        <f t="shared" si="2"/>
        <v>1</v>
      </c>
      <c r="N45" s="99">
        <f t="shared" si="3"/>
        <v>1</v>
      </c>
      <c r="O45" s="84"/>
      <c r="P45" s="84"/>
      <c r="Q45" s="84"/>
      <c r="R45" s="84"/>
      <c r="S45" s="84"/>
      <c r="T45" s="84"/>
      <c r="U45" s="84"/>
      <c r="V45" s="84"/>
    </row>
    <row r="46" ht="15.75" customHeight="1">
      <c r="A46" s="227">
        <v>1.1450108E7</v>
      </c>
      <c r="B46" s="227" t="str">
        <f t="shared" si="1"/>
        <v>11450</v>
      </c>
      <c r="C46" s="227" t="s">
        <v>3644</v>
      </c>
      <c r="D46" s="59"/>
      <c r="E46" s="59"/>
      <c r="F46" s="126"/>
      <c r="G46" s="126"/>
      <c r="H46" s="125"/>
      <c r="I46" s="125"/>
      <c r="J46" s="99"/>
      <c r="K46" s="99"/>
      <c r="L46" s="99"/>
      <c r="M46" s="99">
        <f t="shared" si="2"/>
        <v>1</v>
      </c>
      <c r="N46" s="99">
        <f t="shared" si="3"/>
        <v>1</v>
      </c>
      <c r="O46" s="84"/>
      <c r="P46" s="84"/>
      <c r="Q46" s="84"/>
      <c r="R46" s="84"/>
      <c r="S46" s="84"/>
      <c r="T46" s="84"/>
      <c r="U46" s="84"/>
      <c r="V46" s="84"/>
    </row>
    <row r="47" ht="15.75" customHeight="1">
      <c r="A47" s="227">
        <v>1.1450109E7</v>
      </c>
      <c r="B47" s="227" t="str">
        <f t="shared" si="1"/>
        <v>11450</v>
      </c>
      <c r="C47" s="227" t="s">
        <v>3645</v>
      </c>
      <c r="D47" s="59"/>
      <c r="E47" s="59"/>
      <c r="F47" s="126"/>
      <c r="G47" s="126"/>
      <c r="H47" s="125"/>
      <c r="I47" s="125"/>
      <c r="J47" s="99"/>
      <c r="K47" s="99"/>
      <c r="L47" s="99"/>
      <c r="M47" s="99">
        <f t="shared" si="2"/>
        <v>1</v>
      </c>
      <c r="N47" s="99">
        <f t="shared" si="3"/>
        <v>1</v>
      </c>
      <c r="O47" s="84"/>
      <c r="P47" s="84"/>
      <c r="Q47" s="84"/>
      <c r="R47" s="84"/>
      <c r="S47" s="84"/>
      <c r="T47" s="84"/>
      <c r="U47" s="84"/>
      <c r="V47" s="84"/>
    </row>
    <row r="48" ht="15.75" customHeight="1">
      <c r="A48" s="227">
        <v>1.145011E7</v>
      </c>
      <c r="B48" s="227" t="str">
        <f t="shared" si="1"/>
        <v>11450</v>
      </c>
      <c r="C48" s="227" t="s">
        <v>3646</v>
      </c>
      <c r="D48" s="59"/>
      <c r="E48" s="59"/>
      <c r="F48" s="126"/>
      <c r="G48" s="126"/>
      <c r="H48" s="125"/>
      <c r="I48" s="125"/>
      <c r="J48" s="99"/>
      <c r="K48" s="99"/>
      <c r="L48" s="99"/>
      <c r="M48" s="99">
        <f t="shared" si="2"/>
        <v>1</v>
      </c>
      <c r="N48" s="99">
        <f t="shared" si="3"/>
        <v>1</v>
      </c>
      <c r="O48" s="84"/>
      <c r="P48" s="84"/>
      <c r="Q48" s="84"/>
      <c r="R48" s="84"/>
      <c r="S48" s="84"/>
      <c r="T48" s="84"/>
      <c r="U48" s="84"/>
      <c r="V48" s="84"/>
    </row>
    <row r="49" ht="15.75" customHeight="1">
      <c r="A49" s="227">
        <v>1.1450111E7</v>
      </c>
      <c r="B49" s="227" t="str">
        <f t="shared" si="1"/>
        <v>11450</v>
      </c>
      <c r="C49" s="227" t="s">
        <v>3647</v>
      </c>
      <c r="D49" s="59"/>
      <c r="E49" s="59"/>
      <c r="F49" s="126"/>
      <c r="G49" s="126"/>
      <c r="H49" s="125"/>
      <c r="I49" s="125"/>
      <c r="J49" s="99"/>
      <c r="K49" s="99"/>
      <c r="L49" s="99"/>
      <c r="M49" s="99">
        <f t="shared" si="2"/>
        <v>1</v>
      </c>
      <c r="N49" s="99">
        <f t="shared" si="3"/>
        <v>1</v>
      </c>
      <c r="O49" s="84"/>
      <c r="P49" s="84"/>
      <c r="Q49" s="84"/>
      <c r="R49" s="84"/>
      <c r="S49" s="84"/>
      <c r="T49" s="84"/>
      <c r="U49" s="84"/>
      <c r="V49" s="84"/>
    </row>
    <row r="50" ht="15.75" customHeight="1">
      <c r="A50" s="227">
        <v>1.1450112E7</v>
      </c>
      <c r="B50" s="227" t="str">
        <f t="shared" si="1"/>
        <v>11450</v>
      </c>
      <c r="C50" s="227" t="s">
        <v>3648</v>
      </c>
      <c r="D50" s="59"/>
      <c r="E50" s="59"/>
      <c r="F50" s="126"/>
      <c r="G50" s="126"/>
      <c r="H50" s="125"/>
      <c r="I50" s="125"/>
      <c r="J50" s="99"/>
      <c r="K50" s="99"/>
      <c r="L50" s="99"/>
      <c r="M50" s="99">
        <f t="shared" si="2"/>
        <v>1</v>
      </c>
      <c r="N50" s="99">
        <f t="shared" si="3"/>
        <v>1</v>
      </c>
      <c r="O50" s="84"/>
      <c r="P50" s="84"/>
      <c r="Q50" s="84"/>
      <c r="R50" s="84"/>
      <c r="S50" s="84"/>
      <c r="T50" s="84"/>
      <c r="U50" s="84"/>
      <c r="V50" s="84"/>
    </row>
    <row r="51" ht="15.75" customHeight="1">
      <c r="A51" s="227">
        <v>1.1450113E7</v>
      </c>
      <c r="B51" s="227" t="str">
        <f t="shared" si="1"/>
        <v>11450</v>
      </c>
      <c r="C51" s="227" t="s">
        <v>3649</v>
      </c>
      <c r="D51" s="59"/>
      <c r="E51" s="59"/>
      <c r="F51" s="126"/>
      <c r="G51" s="126"/>
      <c r="H51" s="125"/>
      <c r="I51" s="125"/>
      <c r="J51" s="99"/>
      <c r="K51" s="99"/>
      <c r="L51" s="99"/>
      <c r="M51" s="99">
        <f t="shared" si="2"/>
        <v>1</v>
      </c>
      <c r="N51" s="99">
        <f t="shared" si="3"/>
        <v>1</v>
      </c>
      <c r="O51" s="84"/>
      <c r="P51" s="84"/>
      <c r="Q51" s="84"/>
      <c r="R51" s="84"/>
      <c r="S51" s="84"/>
      <c r="T51" s="84"/>
      <c r="U51" s="84"/>
      <c r="V51" s="84"/>
    </row>
    <row r="52" ht="15.75" customHeight="1">
      <c r="A52" s="227">
        <v>1.1450114E7</v>
      </c>
      <c r="B52" s="227" t="str">
        <f t="shared" si="1"/>
        <v>11450</v>
      </c>
      <c r="C52" s="227" t="s">
        <v>3650</v>
      </c>
      <c r="D52" s="59"/>
      <c r="E52" s="59"/>
      <c r="F52" s="126"/>
      <c r="G52" s="126"/>
      <c r="H52" s="125"/>
      <c r="I52" s="125"/>
      <c r="J52" s="99"/>
      <c r="K52" s="99"/>
      <c r="L52" s="99"/>
      <c r="M52" s="99">
        <f t="shared" si="2"/>
        <v>1</v>
      </c>
      <c r="N52" s="99">
        <f t="shared" si="3"/>
        <v>1</v>
      </c>
      <c r="O52" s="84"/>
      <c r="P52" s="84"/>
      <c r="Q52" s="84"/>
      <c r="R52" s="84"/>
      <c r="S52" s="84"/>
      <c r="T52" s="84"/>
      <c r="U52" s="84"/>
      <c r="V52" s="84"/>
    </row>
    <row r="53" ht="15.75" customHeight="1">
      <c r="A53" s="227">
        <v>1.1450115E7</v>
      </c>
      <c r="B53" s="227" t="str">
        <f t="shared" si="1"/>
        <v>11450</v>
      </c>
      <c r="C53" s="227" t="s">
        <v>3651</v>
      </c>
      <c r="D53" s="59"/>
      <c r="E53" s="59"/>
      <c r="F53" s="126"/>
      <c r="G53" s="126"/>
      <c r="H53" s="125"/>
      <c r="I53" s="125"/>
      <c r="J53" s="99"/>
      <c r="K53" s="99"/>
      <c r="L53" s="99"/>
      <c r="M53" s="99">
        <f t="shared" si="2"/>
        <v>1</v>
      </c>
      <c r="N53" s="99">
        <f t="shared" si="3"/>
        <v>1</v>
      </c>
      <c r="O53" s="84"/>
      <c r="P53" s="84"/>
      <c r="Q53" s="84"/>
      <c r="R53" s="84"/>
      <c r="S53" s="84"/>
      <c r="T53" s="84"/>
      <c r="U53" s="84"/>
      <c r="V53" s="84"/>
    </row>
    <row r="54" ht="15.75" customHeight="1">
      <c r="A54" s="227">
        <v>1.1450116E7</v>
      </c>
      <c r="B54" s="227" t="str">
        <f t="shared" si="1"/>
        <v>11450</v>
      </c>
      <c r="C54" s="227" t="s">
        <v>3652</v>
      </c>
      <c r="D54" s="59"/>
      <c r="E54" s="59"/>
      <c r="F54" s="126"/>
      <c r="G54" s="126"/>
      <c r="H54" s="125"/>
      <c r="I54" s="125"/>
      <c r="J54" s="99"/>
      <c r="K54" s="99"/>
      <c r="L54" s="99"/>
      <c r="M54" s="99">
        <f t="shared" si="2"/>
        <v>1</v>
      </c>
      <c r="N54" s="99">
        <f t="shared" si="3"/>
        <v>1</v>
      </c>
      <c r="O54" s="84"/>
      <c r="P54" s="84"/>
      <c r="Q54" s="84"/>
      <c r="R54" s="84"/>
      <c r="S54" s="84"/>
      <c r="T54" s="84"/>
      <c r="U54" s="84"/>
      <c r="V54" s="84"/>
    </row>
    <row r="55" ht="15.75" customHeight="1">
      <c r="A55" s="227">
        <v>1.1450117E7</v>
      </c>
      <c r="B55" s="227" t="str">
        <f t="shared" si="1"/>
        <v>11450</v>
      </c>
      <c r="C55" s="227" t="s">
        <v>3653</v>
      </c>
      <c r="D55" s="59"/>
      <c r="E55" s="59"/>
      <c r="F55" s="126"/>
      <c r="G55" s="126"/>
      <c r="H55" s="125"/>
      <c r="I55" s="125"/>
      <c r="J55" s="99"/>
      <c r="K55" s="99"/>
      <c r="L55" s="99"/>
      <c r="M55" s="99">
        <f t="shared" si="2"/>
        <v>1</v>
      </c>
      <c r="N55" s="99">
        <f t="shared" si="3"/>
        <v>1</v>
      </c>
      <c r="O55" s="84"/>
      <c r="P55" s="84"/>
      <c r="Q55" s="84"/>
      <c r="R55" s="84"/>
      <c r="S55" s="84"/>
      <c r="T55" s="84"/>
      <c r="U55" s="84"/>
      <c r="V55" s="84"/>
    </row>
    <row r="56" ht="15.75" customHeight="1">
      <c r="A56" s="227">
        <v>1.1450118E7</v>
      </c>
      <c r="B56" s="227" t="str">
        <f t="shared" si="1"/>
        <v>11450</v>
      </c>
      <c r="C56" s="227" t="s">
        <v>3654</v>
      </c>
      <c r="D56" s="59"/>
      <c r="E56" s="59"/>
      <c r="F56" s="126"/>
      <c r="G56" s="126"/>
      <c r="H56" s="125"/>
      <c r="I56" s="125"/>
      <c r="J56" s="99"/>
      <c r="K56" s="99"/>
      <c r="L56" s="99"/>
      <c r="M56" s="99">
        <f t="shared" si="2"/>
        <v>1</v>
      </c>
      <c r="N56" s="99">
        <f t="shared" si="3"/>
        <v>1</v>
      </c>
      <c r="O56" s="84"/>
      <c r="P56" s="84"/>
      <c r="Q56" s="84"/>
      <c r="R56" s="84"/>
      <c r="S56" s="84"/>
      <c r="T56" s="84"/>
      <c r="U56" s="84"/>
      <c r="V56" s="84"/>
    </row>
    <row r="57" ht="15.75" customHeight="1">
      <c r="A57" s="227">
        <v>1.145012E7</v>
      </c>
      <c r="B57" s="227" t="str">
        <f t="shared" si="1"/>
        <v>11450</v>
      </c>
      <c r="C57" s="227" t="s">
        <v>3655</v>
      </c>
      <c r="D57" s="59"/>
      <c r="E57" s="59"/>
      <c r="F57" s="126"/>
      <c r="G57" s="126"/>
      <c r="H57" s="125"/>
      <c r="I57" s="125"/>
      <c r="J57" s="99"/>
      <c r="K57" s="99"/>
      <c r="L57" s="99"/>
      <c r="M57" s="99">
        <f t="shared" si="2"/>
        <v>1</v>
      </c>
      <c r="N57" s="99">
        <f t="shared" si="3"/>
        <v>1</v>
      </c>
      <c r="O57" s="84"/>
      <c r="P57" s="84"/>
      <c r="Q57" s="84"/>
      <c r="R57" s="84"/>
      <c r="S57" s="84"/>
      <c r="T57" s="84"/>
      <c r="U57" s="84"/>
      <c r="V57" s="84"/>
    </row>
    <row r="58" ht="15.75" customHeight="1">
      <c r="A58" s="227">
        <v>1.1450121E7</v>
      </c>
      <c r="B58" s="227" t="str">
        <f t="shared" si="1"/>
        <v>11450</v>
      </c>
      <c r="C58" s="227" t="s">
        <v>3656</v>
      </c>
      <c r="D58" s="73"/>
      <c r="E58" s="73"/>
      <c r="F58" s="126"/>
      <c r="G58" s="126"/>
      <c r="H58" s="125"/>
      <c r="I58" s="125"/>
      <c r="J58" s="99"/>
      <c r="K58" s="99"/>
      <c r="L58" s="99"/>
      <c r="M58" s="99">
        <f t="shared" si="2"/>
        <v>1</v>
      </c>
      <c r="N58" s="99">
        <f t="shared" si="3"/>
        <v>1</v>
      </c>
      <c r="O58" s="84"/>
      <c r="P58" s="84"/>
      <c r="Q58" s="84"/>
      <c r="R58" s="84"/>
      <c r="S58" s="84"/>
      <c r="T58" s="84"/>
      <c r="U58" s="84"/>
      <c r="V58" s="84"/>
    </row>
    <row r="59" ht="15.75" customHeight="1">
      <c r="A59" s="224">
        <v>1.1452001E7</v>
      </c>
      <c r="B59" s="224" t="str">
        <f t="shared" si="1"/>
        <v>11452</v>
      </c>
      <c r="C59" s="224" t="s">
        <v>3657</v>
      </c>
      <c r="D59" s="225" t="s">
        <v>129</v>
      </c>
      <c r="E59" s="226">
        <v>3.0</v>
      </c>
      <c r="F59" s="126"/>
      <c r="G59" s="126"/>
      <c r="H59" s="125"/>
      <c r="I59" s="125"/>
      <c r="J59" s="99"/>
      <c r="K59" s="99"/>
      <c r="L59" s="99"/>
      <c r="M59" s="99">
        <f t="shared" si="2"/>
        <v>1</v>
      </c>
      <c r="N59" s="99">
        <f t="shared" si="3"/>
        <v>1</v>
      </c>
      <c r="O59" s="84"/>
      <c r="P59" s="84"/>
      <c r="Q59" s="84"/>
      <c r="R59" s="84"/>
      <c r="S59" s="84"/>
      <c r="T59" s="84"/>
      <c r="U59" s="84"/>
      <c r="V59" s="84"/>
    </row>
    <row r="60" ht="15.75" customHeight="1">
      <c r="A60" s="224">
        <v>1.1452002E7</v>
      </c>
      <c r="B60" s="224" t="str">
        <f t="shared" si="1"/>
        <v>11452</v>
      </c>
      <c r="C60" s="224" t="s">
        <v>3658</v>
      </c>
      <c r="D60" s="59"/>
      <c r="E60" s="59"/>
      <c r="F60" s="126"/>
      <c r="G60" s="126"/>
      <c r="H60" s="125"/>
      <c r="I60" s="125"/>
      <c r="J60" s="99"/>
      <c r="K60" s="99"/>
      <c r="L60" s="99"/>
      <c r="M60" s="99">
        <f t="shared" si="2"/>
        <v>1</v>
      </c>
      <c r="N60" s="99">
        <f t="shared" si="3"/>
        <v>1</v>
      </c>
      <c r="O60" s="84"/>
      <c r="P60" s="84"/>
      <c r="Q60" s="84"/>
      <c r="R60" s="84"/>
      <c r="S60" s="84"/>
      <c r="T60" s="84"/>
      <c r="U60" s="84"/>
      <c r="V60" s="84"/>
    </row>
    <row r="61" ht="15.75" customHeight="1">
      <c r="A61" s="224">
        <v>1.1452003E7</v>
      </c>
      <c r="B61" s="224" t="str">
        <f t="shared" si="1"/>
        <v>11452</v>
      </c>
      <c r="C61" s="224" t="s">
        <v>3659</v>
      </c>
      <c r="D61" s="59"/>
      <c r="E61" s="59"/>
      <c r="F61" s="126"/>
      <c r="G61" s="126"/>
      <c r="H61" s="125"/>
      <c r="I61" s="125"/>
      <c r="J61" s="99"/>
      <c r="K61" s="99"/>
      <c r="L61" s="99"/>
      <c r="M61" s="99">
        <f t="shared" si="2"/>
        <v>1</v>
      </c>
      <c r="N61" s="99">
        <f t="shared" si="3"/>
        <v>1</v>
      </c>
      <c r="O61" s="84"/>
      <c r="P61" s="84"/>
      <c r="Q61" s="84"/>
      <c r="R61" s="84"/>
      <c r="S61" s="84"/>
      <c r="T61" s="84"/>
      <c r="U61" s="84"/>
      <c r="V61" s="84"/>
    </row>
    <row r="62" ht="15.75" customHeight="1">
      <c r="A62" s="224">
        <v>1.1452004E7</v>
      </c>
      <c r="B62" s="224" t="str">
        <f t="shared" si="1"/>
        <v>11452</v>
      </c>
      <c r="C62" s="224" t="s">
        <v>3660</v>
      </c>
      <c r="D62" s="59"/>
      <c r="E62" s="59"/>
      <c r="F62" s="126"/>
      <c r="G62" s="126"/>
      <c r="H62" s="125"/>
      <c r="I62" s="125"/>
      <c r="J62" s="99"/>
      <c r="K62" s="99"/>
      <c r="L62" s="99"/>
      <c r="M62" s="99">
        <f t="shared" si="2"/>
        <v>1</v>
      </c>
      <c r="N62" s="99">
        <f t="shared" si="3"/>
        <v>1</v>
      </c>
      <c r="O62" s="84"/>
      <c r="P62" s="84"/>
      <c r="Q62" s="84"/>
      <c r="R62" s="84"/>
      <c r="S62" s="84"/>
      <c r="T62" s="84"/>
      <c r="U62" s="84"/>
      <c r="V62" s="84"/>
    </row>
    <row r="63" ht="15.75" customHeight="1">
      <c r="A63" s="224">
        <v>1.1452005E7</v>
      </c>
      <c r="B63" s="224" t="str">
        <f t="shared" si="1"/>
        <v>11452</v>
      </c>
      <c r="C63" s="224" t="s">
        <v>3661</v>
      </c>
      <c r="D63" s="59"/>
      <c r="E63" s="59"/>
      <c r="F63" s="126"/>
      <c r="G63" s="126"/>
      <c r="H63" s="125"/>
      <c r="I63" s="125"/>
      <c r="J63" s="99"/>
      <c r="K63" s="99"/>
      <c r="L63" s="99"/>
      <c r="M63" s="99">
        <f t="shared" si="2"/>
        <v>1</v>
      </c>
      <c r="N63" s="99">
        <f t="shared" si="3"/>
        <v>1</v>
      </c>
      <c r="O63" s="84"/>
      <c r="P63" s="84"/>
      <c r="Q63" s="84"/>
      <c r="R63" s="84"/>
      <c r="S63" s="84"/>
      <c r="T63" s="84"/>
      <c r="U63" s="84"/>
      <c r="V63" s="84"/>
    </row>
    <row r="64" ht="15.75" customHeight="1">
      <c r="A64" s="224">
        <v>1.1452006E7</v>
      </c>
      <c r="B64" s="224" t="str">
        <f t="shared" si="1"/>
        <v>11452</v>
      </c>
      <c r="C64" s="224" t="s">
        <v>3662</v>
      </c>
      <c r="D64" s="59"/>
      <c r="E64" s="59"/>
      <c r="F64" s="126"/>
      <c r="G64" s="126"/>
      <c r="H64" s="125"/>
      <c r="I64" s="125"/>
      <c r="J64" s="99"/>
      <c r="K64" s="99"/>
      <c r="L64" s="99"/>
      <c r="M64" s="99">
        <f t="shared" si="2"/>
        <v>1</v>
      </c>
      <c r="N64" s="99">
        <f t="shared" si="3"/>
        <v>1</v>
      </c>
      <c r="O64" s="84"/>
      <c r="P64" s="84"/>
      <c r="Q64" s="84"/>
      <c r="R64" s="84"/>
      <c r="S64" s="84"/>
      <c r="T64" s="84"/>
      <c r="U64" s="84"/>
      <c r="V64" s="84"/>
    </row>
    <row r="65" ht="15.75" customHeight="1">
      <c r="A65" s="224">
        <v>1.1452007E7</v>
      </c>
      <c r="B65" s="224" t="str">
        <f t="shared" si="1"/>
        <v>11452</v>
      </c>
      <c r="C65" s="224" t="s">
        <v>3663</v>
      </c>
      <c r="D65" s="59"/>
      <c r="E65" s="59"/>
      <c r="F65" s="126"/>
      <c r="G65" s="126"/>
      <c r="H65" s="125"/>
      <c r="I65" s="125"/>
      <c r="J65" s="99"/>
      <c r="K65" s="99"/>
      <c r="L65" s="99"/>
      <c r="M65" s="99">
        <f t="shared" si="2"/>
        <v>1</v>
      </c>
      <c r="N65" s="99">
        <f t="shared" si="3"/>
        <v>1</v>
      </c>
      <c r="O65" s="84"/>
      <c r="P65" s="84"/>
      <c r="Q65" s="84"/>
      <c r="R65" s="84"/>
      <c r="S65" s="84"/>
      <c r="T65" s="84"/>
      <c r="U65" s="84"/>
      <c r="V65" s="84"/>
    </row>
    <row r="66" ht="15.75" customHeight="1">
      <c r="A66" s="224">
        <v>1.1452008E7</v>
      </c>
      <c r="B66" s="224" t="str">
        <f t="shared" si="1"/>
        <v>11452</v>
      </c>
      <c r="C66" s="224" t="s">
        <v>3664</v>
      </c>
      <c r="D66" s="73"/>
      <c r="E66" s="73"/>
      <c r="F66" s="126"/>
      <c r="G66" s="126"/>
      <c r="H66" s="125"/>
      <c r="I66" s="125"/>
      <c r="J66" s="99"/>
      <c r="K66" s="99"/>
      <c r="L66" s="99"/>
      <c r="M66" s="99">
        <f t="shared" si="2"/>
        <v>1</v>
      </c>
      <c r="N66" s="99">
        <f t="shared" si="3"/>
        <v>1</v>
      </c>
      <c r="O66" s="84"/>
      <c r="P66" s="84"/>
      <c r="Q66" s="84"/>
      <c r="R66" s="84"/>
      <c r="S66" s="84"/>
      <c r="T66" s="84"/>
      <c r="U66" s="84"/>
      <c r="V66" s="84"/>
    </row>
    <row r="67" ht="15.75" customHeight="1">
      <c r="A67" s="227">
        <v>1.1452101E7</v>
      </c>
      <c r="B67" s="227" t="str">
        <f t="shared" si="1"/>
        <v>11452</v>
      </c>
      <c r="C67" s="227" t="s">
        <v>3665</v>
      </c>
      <c r="D67" s="225" t="s">
        <v>129</v>
      </c>
      <c r="E67" s="226">
        <v>3.0</v>
      </c>
      <c r="F67" s="126"/>
      <c r="G67" s="126"/>
      <c r="H67" s="125"/>
      <c r="I67" s="125"/>
      <c r="J67" s="99"/>
      <c r="K67" s="99"/>
      <c r="L67" s="99"/>
      <c r="M67" s="99">
        <f t="shared" si="2"/>
        <v>1</v>
      </c>
      <c r="N67" s="99">
        <f t="shared" si="3"/>
        <v>1</v>
      </c>
      <c r="O67" s="84"/>
      <c r="P67" s="122"/>
      <c r="Q67" s="84"/>
      <c r="R67" s="84"/>
      <c r="S67" s="84"/>
      <c r="T67" s="84"/>
      <c r="U67" s="84"/>
      <c r="V67" s="84"/>
    </row>
    <row r="68" ht="15.75" customHeight="1">
      <c r="A68" s="227">
        <v>1.1452102E7</v>
      </c>
      <c r="B68" s="227" t="str">
        <f t="shared" si="1"/>
        <v>11452</v>
      </c>
      <c r="C68" s="227" t="s">
        <v>3666</v>
      </c>
      <c r="D68" s="59"/>
      <c r="E68" s="59"/>
      <c r="F68" s="126"/>
      <c r="G68" s="126"/>
      <c r="H68" s="125"/>
      <c r="I68" s="125"/>
      <c r="J68" s="99"/>
      <c r="K68" s="99"/>
      <c r="L68" s="99"/>
      <c r="M68" s="99">
        <f t="shared" si="2"/>
        <v>1</v>
      </c>
      <c r="N68" s="99">
        <f t="shared" si="3"/>
        <v>1</v>
      </c>
      <c r="O68" s="84"/>
      <c r="P68" s="122"/>
      <c r="Q68" s="84"/>
      <c r="R68" s="84"/>
      <c r="S68" s="84"/>
      <c r="T68" s="84"/>
      <c r="U68" s="84"/>
      <c r="V68" s="84"/>
    </row>
    <row r="69" ht="15.75" customHeight="1">
      <c r="A69" s="227">
        <v>1.1452103E7</v>
      </c>
      <c r="B69" s="227" t="str">
        <f t="shared" si="1"/>
        <v>11452</v>
      </c>
      <c r="C69" s="227" t="s">
        <v>3667</v>
      </c>
      <c r="D69" s="59"/>
      <c r="E69" s="59"/>
      <c r="F69" s="126"/>
      <c r="G69" s="126"/>
      <c r="H69" s="125"/>
      <c r="I69" s="125"/>
      <c r="J69" s="99"/>
      <c r="K69" s="99"/>
      <c r="L69" s="99"/>
      <c r="M69" s="99">
        <f t="shared" si="2"/>
        <v>1</v>
      </c>
      <c r="N69" s="99">
        <f t="shared" si="3"/>
        <v>1</v>
      </c>
      <c r="O69" s="84"/>
      <c r="P69" s="122"/>
      <c r="Q69" s="84"/>
      <c r="R69" s="84"/>
      <c r="S69" s="84"/>
      <c r="T69" s="84"/>
      <c r="U69" s="84"/>
      <c r="V69" s="84"/>
    </row>
    <row r="70" ht="15.75" customHeight="1">
      <c r="A70" s="227">
        <v>1.1452104E7</v>
      </c>
      <c r="B70" s="227" t="str">
        <f t="shared" si="1"/>
        <v>11452</v>
      </c>
      <c r="C70" s="227" t="s">
        <v>3668</v>
      </c>
      <c r="D70" s="59"/>
      <c r="E70" s="59"/>
      <c r="F70" s="126"/>
      <c r="G70" s="126"/>
      <c r="H70" s="125"/>
      <c r="I70" s="125"/>
      <c r="J70" s="99"/>
      <c r="K70" s="99"/>
      <c r="L70" s="99"/>
      <c r="M70" s="99">
        <f t="shared" si="2"/>
        <v>1</v>
      </c>
      <c r="N70" s="99">
        <f t="shared" si="3"/>
        <v>1</v>
      </c>
      <c r="O70" s="84"/>
      <c r="P70" s="122"/>
      <c r="Q70" s="84"/>
      <c r="R70" s="84"/>
      <c r="S70" s="84"/>
      <c r="T70" s="84"/>
      <c r="U70" s="84"/>
      <c r="V70" s="84"/>
    </row>
    <row r="71" ht="15.75" customHeight="1">
      <c r="A71" s="227">
        <v>1.1452105E7</v>
      </c>
      <c r="B71" s="227" t="str">
        <f t="shared" si="1"/>
        <v>11452</v>
      </c>
      <c r="C71" s="227" t="s">
        <v>3669</v>
      </c>
      <c r="D71" s="59"/>
      <c r="E71" s="59"/>
      <c r="F71" s="126"/>
      <c r="G71" s="126"/>
      <c r="H71" s="125"/>
      <c r="I71" s="125"/>
      <c r="J71" s="99"/>
      <c r="K71" s="99"/>
      <c r="L71" s="99"/>
      <c r="M71" s="99">
        <f t="shared" si="2"/>
        <v>1</v>
      </c>
      <c r="N71" s="99">
        <f t="shared" si="3"/>
        <v>1</v>
      </c>
      <c r="O71" s="84"/>
      <c r="P71" s="122"/>
      <c r="Q71" s="84"/>
      <c r="R71" s="84"/>
      <c r="S71" s="84"/>
      <c r="T71" s="84"/>
      <c r="U71" s="84"/>
      <c r="V71" s="84"/>
    </row>
    <row r="72" ht="15.75" customHeight="1">
      <c r="A72" s="227">
        <v>1.1452106E7</v>
      </c>
      <c r="B72" s="227" t="str">
        <f t="shared" si="1"/>
        <v>11452</v>
      </c>
      <c r="C72" s="227" t="s">
        <v>3670</v>
      </c>
      <c r="D72" s="59"/>
      <c r="E72" s="59"/>
      <c r="F72" s="126"/>
      <c r="G72" s="126"/>
      <c r="H72" s="125"/>
      <c r="I72" s="125"/>
      <c r="J72" s="99"/>
      <c r="K72" s="99"/>
      <c r="L72" s="99"/>
      <c r="M72" s="99">
        <f t="shared" si="2"/>
        <v>1</v>
      </c>
      <c r="N72" s="99">
        <f t="shared" si="3"/>
        <v>1</v>
      </c>
      <c r="O72" s="84"/>
      <c r="P72" s="122"/>
      <c r="Q72" s="84"/>
      <c r="R72" s="84"/>
      <c r="S72" s="84"/>
      <c r="T72" s="84"/>
      <c r="U72" s="84"/>
      <c r="V72" s="84"/>
    </row>
    <row r="73" ht="15.75" customHeight="1">
      <c r="A73" s="227">
        <v>1.1452107E7</v>
      </c>
      <c r="B73" s="227" t="str">
        <f t="shared" si="1"/>
        <v>11452</v>
      </c>
      <c r="C73" s="227" t="s">
        <v>3671</v>
      </c>
      <c r="D73" s="59"/>
      <c r="E73" s="59"/>
      <c r="F73" s="126"/>
      <c r="G73" s="126"/>
      <c r="H73" s="125"/>
      <c r="I73" s="125"/>
      <c r="J73" s="99"/>
      <c r="K73" s="99"/>
      <c r="L73" s="99"/>
      <c r="M73" s="99">
        <f t="shared" si="2"/>
        <v>1</v>
      </c>
      <c r="N73" s="99">
        <f t="shared" si="3"/>
        <v>1</v>
      </c>
      <c r="O73" s="84"/>
      <c r="P73" s="122"/>
      <c r="Q73" s="84"/>
      <c r="R73" s="84"/>
      <c r="S73" s="84"/>
      <c r="T73" s="84"/>
      <c r="U73" s="84"/>
      <c r="V73" s="84"/>
    </row>
    <row r="74" ht="15.75" customHeight="1">
      <c r="A74" s="227">
        <v>1.1452108E7</v>
      </c>
      <c r="B74" s="227" t="str">
        <f t="shared" si="1"/>
        <v>11452</v>
      </c>
      <c r="C74" s="227" t="s">
        <v>3672</v>
      </c>
      <c r="D74" s="59"/>
      <c r="E74" s="59"/>
      <c r="F74" s="126"/>
      <c r="G74" s="126"/>
      <c r="H74" s="125"/>
      <c r="I74" s="125"/>
      <c r="J74" s="99"/>
      <c r="K74" s="99"/>
      <c r="L74" s="99"/>
      <c r="M74" s="99">
        <f t="shared" si="2"/>
        <v>1</v>
      </c>
      <c r="N74" s="99">
        <f t="shared" si="3"/>
        <v>1</v>
      </c>
      <c r="O74" s="84"/>
      <c r="P74" s="122"/>
      <c r="Q74" s="84"/>
      <c r="R74" s="84"/>
      <c r="S74" s="84"/>
      <c r="T74" s="84"/>
      <c r="U74" s="84"/>
      <c r="V74" s="84"/>
    </row>
    <row r="75" ht="15.75" customHeight="1">
      <c r="A75" s="227">
        <v>1.1452109E7</v>
      </c>
      <c r="B75" s="227" t="str">
        <f t="shared" si="1"/>
        <v>11452</v>
      </c>
      <c r="C75" s="227" t="s">
        <v>3673</v>
      </c>
      <c r="D75" s="59"/>
      <c r="E75" s="59"/>
      <c r="F75" s="126"/>
      <c r="G75" s="126"/>
      <c r="H75" s="125"/>
      <c r="I75" s="125"/>
      <c r="J75" s="99"/>
      <c r="K75" s="99"/>
      <c r="L75" s="99"/>
      <c r="M75" s="99">
        <f t="shared" si="2"/>
        <v>1</v>
      </c>
      <c r="N75" s="99">
        <f t="shared" si="3"/>
        <v>1</v>
      </c>
      <c r="O75" s="84"/>
      <c r="P75" s="122"/>
      <c r="Q75" s="84"/>
      <c r="R75" s="84"/>
      <c r="S75" s="84"/>
      <c r="T75" s="84"/>
      <c r="U75" s="84"/>
      <c r="V75" s="84"/>
    </row>
    <row r="76" ht="15.75" customHeight="1">
      <c r="A76" s="227">
        <v>1.145211E7</v>
      </c>
      <c r="B76" s="227" t="str">
        <f t="shared" si="1"/>
        <v>11452</v>
      </c>
      <c r="C76" s="227" t="s">
        <v>3674</v>
      </c>
      <c r="D76" s="59"/>
      <c r="E76" s="59"/>
      <c r="F76" s="126"/>
      <c r="G76" s="126"/>
      <c r="H76" s="125"/>
      <c r="I76" s="125"/>
      <c r="J76" s="99"/>
      <c r="K76" s="99"/>
      <c r="L76" s="99"/>
      <c r="M76" s="99">
        <f t="shared" si="2"/>
        <v>1</v>
      </c>
      <c r="N76" s="99">
        <f t="shared" si="3"/>
        <v>1</v>
      </c>
      <c r="O76" s="84"/>
      <c r="P76" s="122"/>
      <c r="Q76" s="84"/>
      <c r="R76" s="84"/>
      <c r="S76" s="84"/>
      <c r="T76" s="84"/>
      <c r="U76" s="84"/>
      <c r="V76" s="84"/>
    </row>
    <row r="77" ht="15.75" customHeight="1">
      <c r="A77" s="227">
        <v>1.1452111E7</v>
      </c>
      <c r="B77" s="227" t="str">
        <f t="shared" si="1"/>
        <v>11452</v>
      </c>
      <c r="C77" s="227" t="s">
        <v>3675</v>
      </c>
      <c r="D77" s="59"/>
      <c r="E77" s="59"/>
      <c r="F77" s="126"/>
      <c r="G77" s="126"/>
      <c r="H77" s="125"/>
      <c r="I77" s="125"/>
      <c r="J77" s="99"/>
      <c r="K77" s="99"/>
      <c r="L77" s="99"/>
      <c r="M77" s="99">
        <f t="shared" si="2"/>
        <v>1</v>
      </c>
      <c r="N77" s="99">
        <f t="shared" si="3"/>
        <v>1</v>
      </c>
      <c r="O77" s="84"/>
      <c r="P77" s="84"/>
      <c r="Q77" s="84"/>
      <c r="R77" s="84"/>
      <c r="S77" s="84"/>
      <c r="T77" s="84"/>
      <c r="U77" s="84"/>
      <c r="V77" s="84"/>
    </row>
    <row r="78" ht="15.75" customHeight="1">
      <c r="A78" s="227">
        <v>1.1452112E7</v>
      </c>
      <c r="B78" s="227" t="str">
        <f t="shared" si="1"/>
        <v>11452</v>
      </c>
      <c r="C78" s="227" t="s">
        <v>3676</v>
      </c>
      <c r="D78" s="59"/>
      <c r="E78" s="59"/>
      <c r="F78" s="126"/>
      <c r="G78" s="126"/>
      <c r="H78" s="125"/>
      <c r="I78" s="125"/>
      <c r="J78" s="99"/>
      <c r="K78" s="99"/>
      <c r="L78" s="99"/>
      <c r="M78" s="99">
        <f t="shared" si="2"/>
        <v>1</v>
      </c>
      <c r="N78" s="99">
        <f t="shared" si="3"/>
        <v>1</v>
      </c>
      <c r="O78" s="122"/>
      <c r="P78" s="84"/>
      <c r="Q78" s="122"/>
      <c r="R78" s="122"/>
      <c r="S78" s="122"/>
      <c r="T78" s="122"/>
      <c r="U78" s="122"/>
      <c r="V78" s="122"/>
    </row>
    <row r="79" ht="15.75" customHeight="1">
      <c r="A79" s="227">
        <v>1.1452113E7</v>
      </c>
      <c r="B79" s="227" t="str">
        <f t="shared" si="1"/>
        <v>11452</v>
      </c>
      <c r="C79" s="227" t="s">
        <v>3677</v>
      </c>
      <c r="D79" s="59"/>
      <c r="E79" s="59"/>
      <c r="F79" s="126"/>
      <c r="G79" s="126"/>
      <c r="H79" s="125"/>
      <c r="I79" s="125"/>
      <c r="J79" s="99"/>
      <c r="K79" s="99"/>
      <c r="L79" s="99"/>
      <c r="M79" s="99">
        <f t="shared" si="2"/>
        <v>1</v>
      </c>
      <c r="N79" s="99">
        <f t="shared" si="3"/>
        <v>1</v>
      </c>
      <c r="O79" s="122"/>
      <c r="P79" s="84"/>
      <c r="Q79" s="122"/>
      <c r="R79" s="122"/>
      <c r="S79" s="122"/>
      <c r="T79" s="122"/>
      <c r="U79" s="122"/>
      <c r="V79" s="122"/>
    </row>
    <row r="80" ht="15.75" customHeight="1">
      <c r="A80" s="227">
        <v>1.1452114E7</v>
      </c>
      <c r="B80" s="227" t="str">
        <f t="shared" si="1"/>
        <v>11452</v>
      </c>
      <c r="C80" s="227" t="s">
        <v>3678</v>
      </c>
      <c r="D80" s="59"/>
      <c r="E80" s="59"/>
      <c r="F80" s="126"/>
      <c r="G80" s="126"/>
      <c r="H80" s="125"/>
      <c r="I80" s="125"/>
      <c r="J80" s="99"/>
      <c r="K80" s="99"/>
      <c r="L80" s="99"/>
      <c r="M80" s="99">
        <f t="shared" si="2"/>
        <v>1</v>
      </c>
      <c r="N80" s="99">
        <f t="shared" si="3"/>
        <v>1</v>
      </c>
      <c r="O80" s="122"/>
      <c r="P80" s="84"/>
      <c r="Q80" s="122"/>
      <c r="R80" s="122"/>
      <c r="S80" s="122"/>
      <c r="T80" s="122"/>
      <c r="U80" s="122"/>
      <c r="V80" s="122"/>
    </row>
    <row r="81" ht="15.75" customHeight="1">
      <c r="A81" s="227">
        <v>1.1452115E7</v>
      </c>
      <c r="B81" s="227" t="str">
        <f t="shared" si="1"/>
        <v>11452</v>
      </c>
      <c r="C81" s="227" t="s">
        <v>3679</v>
      </c>
      <c r="D81" s="59"/>
      <c r="E81" s="59"/>
      <c r="F81" s="126"/>
      <c r="G81" s="126"/>
      <c r="H81" s="125"/>
      <c r="I81" s="125"/>
      <c r="J81" s="99"/>
      <c r="K81" s="99"/>
      <c r="L81" s="99"/>
      <c r="M81" s="99">
        <f t="shared" si="2"/>
        <v>1</v>
      </c>
      <c r="N81" s="99">
        <f t="shared" si="3"/>
        <v>1</v>
      </c>
      <c r="O81" s="122"/>
      <c r="P81" s="84"/>
      <c r="Q81" s="122"/>
      <c r="R81" s="122"/>
      <c r="S81" s="122"/>
      <c r="T81" s="122"/>
      <c r="U81" s="122"/>
      <c r="V81" s="122"/>
    </row>
    <row r="82" ht="15.75" customHeight="1">
      <c r="A82" s="227">
        <v>1.1452116E7</v>
      </c>
      <c r="B82" s="227" t="str">
        <f t="shared" si="1"/>
        <v>11452</v>
      </c>
      <c r="C82" s="227" t="s">
        <v>3680</v>
      </c>
      <c r="D82" s="59"/>
      <c r="E82" s="59"/>
      <c r="F82" s="126"/>
      <c r="G82" s="126"/>
      <c r="H82" s="125"/>
      <c r="I82" s="125"/>
      <c r="J82" s="99"/>
      <c r="K82" s="99"/>
      <c r="L82" s="99"/>
      <c r="M82" s="99">
        <f t="shared" si="2"/>
        <v>1</v>
      </c>
      <c r="N82" s="99">
        <f t="shared" si="3"/>
        <v>1</v>
      </c>
      <c r="O82" s="122"/>
      <c r="P82" s="84"/>
      <c r="Q82" s="122"/>
      <c r="R82" s="122"/>
      <c r="S82" s="122"/>
      <c r="T82" s="122"/>
      <c r="U82" s="122"/>
      <c r="V82" s="122"/>
    </row>
    <row r="83" ht="15.75" customHeight="1">
      <c r="A83" s="227">
        <v>1.1452117E7</v>
      </c>
      <c r="B83" s="227" t="str">
        <f t="shared" si="1"/>
        <v>11452</v>
      </c>
      <c r="C83" s="227" t="s">
        <v>3681</v>
      </c>
      <c r="D83" s="59"/>
      <c r="E83" s="59"/>
      <c r="F83" s="126"/>
      <c r="G83" s="126"/>
      <c r="H83" s="125"/>
      <c r="I83" s="125"/>
      <c r="J83" s="99"/>
      <c r="K83" s="99"/>
      <c r="L83" s="99"/>
      <c r="M83" s="99">
        <f t="shared" si="2"/>
        <v>1</v>
      </c>
      <c r="N83" s="99">
        <f t="shared" si="3"/>
        <v>1</v>
      </c>
      <c r="O83" s="122"/>
      <c r="P83" s="84"/>
      <c r="Q83" s="122"/>
      <c r="R83" s="122"/>
      <c r="S83" s="122"/>
      <c r="T83" s="122"/>
      <c r="U83" s="122"/>
      <c r="V83" s="122"/>
    </row>
    <row r="84" ht="15.75" customHeight="1">
      <c r="A84" s="227">
        <v>1.1452118E7</v>
      </c>
      <c r="B84" s="227" t="str">
        <f t="shared" si="1"/>
        <v>11452</v>
      </c>
      <c r="C84" s="227" t="s">
        <v>3682</v>
      </c>
      <c r="D84" s="59"/>
      <c r="E84" s="59"/>
      <c r="F84" s="126"/>
      <c r="G84" s="126"/>
      <c r="H84" s="125"/>
      <c r="I84" s="125"/>
      <c r="J84" s="99"/>
      <c r="K84" s="99"/>
      <c r="L84" s="99"/>
      <c r="M84" s="99">
        <f t="shared" si="2"/>
        <v>1</v>
      </c>
      <c r="N84" s="99">
        <f t="shared" si="3"/>
        <v>1</v>
      </c>
      <c r="O84" s="122"/>
      <c r="P84" s="84"/>
      <c r="Q84" s="122"/>
      <c r="R84" s="122"/>
      <c r="S84" s="122"/>
      <c r="T84" s="122"/>
      <c r="U84" s="122"/>
      <c r="V84" s="122"/>
    </row>
    <row r="85" ht="15.75" customHeight="1">
      <c r="A85" s="227">
        <v>1.145212E7</v>
      </c>
      <c r="B85" s="227" t="str">
        <f t="shared" si="1"/>
        <v>11452</v>
      </c>
      <c r="C85" s="227" t="s">
        <v>3683</v>
      </c>
      <c r="D85" s="59"/>
      <c r="E85" s="59"/>
      <c r="F85" s="126"/>
      <c r="G85" s="126"/>
      <c r="H85" s="125"/>
      <c r="I85" s="125"/>
      <c r="J85" s="99"/>
      <c r="K85" s="99"/>
      <c r="L85" s="99"/>
      <c r="M85" s="99">
        <f t="shared" si="2"/>
        <v>1</v>
      </c>
      <c r="N85" s="99">
        <f t="shared" si="3"/>
        <v>1</v>
      </c>
      <c r="O85" s="122"/>
      <c r="P85" s="84"/>
      <c r="Q85" s="122"/>
      <c r="R85" s="122"/>
      <c r="S85" s="122"/>
      <c r="T85" s="122"/>
      <c r="U85" s="122"/>
      <c r="V85" s="122"/>
    </row>
    <row r="86" ht="15.75" customHeight="1">
      <c r="A86" s="227">
        <v>1.1452121E7</v>
      </c>
      <c r="B86" s="227" t="str">
        <f t="shared" si="1"/>
        <v>11452</v>
      </c>
      <c r="C86" s="227" t="s">
        <v>3684</v>
      </c>
      <c r="D86" s="73"/>
      <c r="E86" s="73"/>
      <c r="F86" s="126"/>
      <c r="G86" s="126"/>
      <c r="H86" s="125"/>
      <c r="I86" s="125"/>
      <c r="J86" s="99"/>
      <c r="K86" s="99"/>
      <c r="L86" s="99"/>
      <c r="M86" s="99">
        <f t="shared" si="2"/>
        <v>1</v>
      </c>
      <c r="N86" s="99">
        <f t="shared" si="3"/>
        <v>1</v>
      </c>
      <c r="O86" s="122"/>
      <c r="P86" s="84"/>
      <c r="Q86" s="122"/>
      <c r="R86" s="122"/>
      <c r="S86" s="122"/>
      <c r="T86" s="122"/>
      <c r="U86" s="122"/>
      <c r="V86" s="122"/>
    </row>
    <row r="87" ht="15.75" customHeight="1">
      <c r="A87" s="224">
        <v>1.1454001E7</v>
      </c>
      <c r="B87" s="224" t="str">
        <f t="shared" si="1"/>
        <v>11454</v>
      </c>
      <c r="C87" s="224" t="s">
        <v>3685</v>
      </c>
      <c r="D87" s="225" t="s">
        <v>131</v>
      </c>
      <c r="E87" s="226">
        <v>3.0</v>
      </c>
      <c r="F87" s="126"/>
      <c r="G87" s="126"/>
      <c r="H87" s="125"/>
      <c r="I87" s="125"/>
      <c r="J87" s="99"/>
      <c r="K87" s="99"/>
      <c r="L87" s="99"/>
      <c r="M87" s="99">
        <f t="shared" si="2"/>
        <v>1</v>
      </c>
      <c r="N87" s="99">
        <f t="shared" si="3"/>
        <v>1</v>
      </c>
      <c r="O87" s="122"/>
      <c r="P87" s="84"/>
      <c r="Q87" s="122"/>
      <c r="R87" s="122"/>
      <c r="S87" s="122"/>
      <c r="T87" s="122"/>
      <c r="U87" s="122"/>
      <c r="V87" s="122"/>
    </row>
    <row r="88" ht="15.75" customHeight="1">
      <c r="A88" s="224">
        <v>1.1454002E7</v>
      </c>
      <c r="B88" s="224" t="str">
        <f t="shared" si="1"/>
        <v>11454</v>
      </c>
      <c r="C88" s="224" t="s">
        <v>3686</v>
      </c>
      <c r="D88" s="59"/>
      <c r="E88" s="59"/>
      <c r="F88" s="126"/>
      <c r="G88" s="126"/>
      <c r="H88" s="125"/>
      <c r="I88" s="125"/>
      <c r="J88" s="99"/>
      <c r="K88" s="99"/>
      <c r="L88" s="99"/>
      <c r="M88" s="99">
        <f t="shared" si="2"/>
        <v>1</v>
      </c>
      <c r="N88" s="99">
        <f t="shared" si="3"/>
        <v>1</v>
      </c>
      <c r="O88" s="84"/>
      <c r="P88" s="84"/>
      <c r="Q88" s="84"/>
      <c r="R88" s="84"/>
      <c r="S88" s="84"/>
      <c r="T88" s="84"/>
      <c r="U88" s="84"/>
      <c r="V88" s="84"/>
    </row>
    <row r="89" ht="15.75" customHeight="1">
      <c r="A89" s="224">
        <v>1.1454003E7</v>
      </c>
      <c r="B89" s="224" t="str">
        <f t="shared" si="1"/>
        <v>11454</v>
      </c>
      <c r="C89" s="224" t="s">
        <v>3687</v>
      </c>
      <c r="D89" s="59"/>
      <c r="E89" s="59"/>
      <c r="F89" s="126"/>
      <c r="G89" s="126"/>
      <c r="H89" s="125"/>
      <c r="I89" s="125"/>
      <c r="J89" s="99"/>
      <c r="K89" s="99"/>
      <c r="L89" s="99"/>
      <c r="M89" s="99">
        <f t="shared" si="2"/>
        <v>1</v>
      </c>
      <c r="N89" s="99">
        <f t="shared" si="3"/>
        <v>1</v>
      </c>
      <c r="O89" s="84"/>
      <c r="P89" s="84"/>
      <c r="Q89" s="84"/>
      <c r="R89" s="84"/>
      <c r="S89" s="84"/>
      <c r="T89" s="84"/>
      <c r="U89" s="84"/>
      <c r="V89" s="84"/>
    </row>
    <row r="90" ht="15.75" customHeight="1">
      <c r="A90" s="224">
        <v>1.1454004E7</v>
      </c>
      <c r="B90" s="224" t="str">
        <f t="shared" si="1"/>
        <v>11454</v>
      </c>
      <c r="C90" s="224" t="s">
        <v>3688</v>
      </c>
      <c r="D90" s="59"/>
      <c r="E90" s="59"/>
      <c r="F90" s="126"/>
      <c r="G90" s="126"/>
      <c r="H90" s="125"/>
      <c r="I90" s="125"/>
      <c r="J90" s="99"/>
      <c r="K90" s="99"/>
      <c r="L90" s="99"/>
      <c r="M90" s="99">
        <f t="shared" si="2"/>
        <v>1</v>
      </c>
      <c r="N90" s="99">
        <f t="shared" si="3"/>
        <v>1</v>
      </c>
      <c r="O90" s="84"/>
      <c r="P90" s="84"/>
      <c r="Q90" s="84"/>
      <c r="R90" s="84"/>
      <c r="S90" s="84"/>
      <c r="T90" s="84"/>
      <c r="U90" s="84"/>
      <c r="V90" s="84"/>
    </row>
    <row r="91" ht="15.75" customHeight="1">
      <c r="A91" s="224">
        <v>1.1454005E7</v>
      </c>
      <c r="B91" s="224" t="str">
        <f t="shared" si="1"/>
        <v>11454</v>
      </c>
      <c r="C91" s="224" t="s">
        <v>3689</v>
      </c>
      <c r="D91" s="59"/>
      <c r="E91" s="59"/>
      <c r="F91" s="126"/>
      <c r="G91" s="126"/>
      <c r="H91" s="125"/>
      <c r="I91" s="125"/>
      <c r="J91" s="99"/>
      <c r="K91" s="99"/>
      <c r="L91" s="99"/>
      <c r="M91" s="99">
        <f t="shared" si="2"/>
        <v>1</v>
      </c>
      <c r="N91" s="99">
        <f t="shared" si="3"/>
        <v>1</v>
      </c>
      <c r="O91" s="84"/>
      <c r="P91" s="84"/>
      <c r="Q91" s="84"/>
      <c r="R91" s="84"/>
      <c r="S91" s="84"/>
      <c r="T91" s="84"/>
      <c r="U91" s="84"/>
      <c r="V91" s="84"/>
    </row>
    <row r="92" ht="15.75" customHeight="1">
      <c r="A92" s="224">
        <v>1.1454006E7</v>
      </c>
      <c r="B92" s="224" t="str">
        <f t="shared" si="1"/>
        <v>11454</v>
      </c>
      <c r="C92" s="224" t="s">
        <v>3690</v>
      </c>
      <c r="D92" s="59"/>
      <c r="E92" s="59"/>
      <c r="F92" s="126"/>
      <c r="G92" s="126"/>
      <c r="H92" s="125"/>
      <c r="I92" s="125"/>
      <c r="J92" s="99"/>
      <c r="K92" s="99"/>
      <c r="L92" s="99"/>
      <c r="M92" s="99">
        <f t="shared" si="2"/>
        <v>1</v>
      </c>
      <c r="N92" s="99">
        <f t="shared" si="3"/>
        <v>1</v>
      </c>
      <c r="O92" s="84"/>
      <c r="P92" s="84"/>
      <c r="Q92" s="84"/>
      <c r="R92" s="84"/>
      <c r="S92" s="84"/>
      <c r="T92" s="84"/>
      <c r="U92" s="84"/>
      <c r="V92" s="84"/>
    </row>
    <row r="93" ht="15.75" customHeight="1">
      <c r="A93" s="224">
        <v>1.1454007E7</v>
      </c>
      <c r="B93" s="224" t="str">
        <f t="shared" si="1"/>
        <v>11454</v>
      </c>
      <c r="C93" s="224" t="s">
        <v>3691</v>
      </c>
      <c r="D93" s="59"/>
      <c r="E93" s="59"/>
      <c r="F93" s="126"/>
      <c r="G93" s="126"/>
      <c r="H93" s="125"/>
      <c r="I93" s="125"/>
      <c r="J93" s="99"/>
      <c r="K93" s="99"/>
      <c r="L93" s="99"/>
      <c r="M93" s="99">
        <f t="shared" si="2"/>
        <v>1</v>
      </c>
      <c r="N93" s="99">
        <f t="shared" si="3"/>
        <v>1</v>
      </c>
      <c r="O93" s="84"/>
      <c r="P93" s="84"/>
      <c r="Q93" s="84"/>
      <c r="R93" s="84"/>
      <c r="S93" s="84"/>
      <c r="T93" s="84"/>
      <c r="U93" s="84"/>
      <c r="V93" s="84"/>
    </row>
    <row r="94" ht="15.75" customHeight="1">
      <c r="A94" s="224">
        <v>1.1454008E7</v>
      </c>
      <c r="B94" s="224" t="str">
        <f t="shared" si="1"/>
        <v>11454</v>
      </c>
      <c r="C94" s="224" t="s">
        <v>3692</v>
      </c>
      <c r="D94" s="73"/>
      <c r="E94" s="73"/>
      <c r="F94" s="126"/>
      <c r="G94" s="126"/>
      <c r="H94" s="125"/>
      <c r="I94" s="125"/>
      <c r="J94" s="99"/>
      <c r="K94" s="99"/>
      <c r="L94" s="99"/>
      <c r="M94" s="99">
        <f t="shared" si="2"/>
        <v>1</v>
      </c>
      <c r="N94" s="99">
        <f t="shared" si="3"/>
        <v>1</v>
      </c>
      <c r="O94" s="84"/>
      <c r="P94" s="84"/>
      <c r="Q94" s="84"/>
      <c r="R94" s="84"/>
      <c r="S94" s="84"/>
      <c r="T94" s="84"/>
      <c r="U94" s="84"/>
      <c r="V94" s="84"/>
    </row>
    <row r="95" ht="15.75" customHeight="1">
      <c r="A95" s="227">
        <v>1.1454101E7</v>
      </c>
      <c r="B95" s="227" t="str">
        <f t="shared" si="1"/>
        <v>11454</v>
      </c>
      <c r="C95" s="227" t="s">
        <v>3693</v>
      </c>
      <c r="D95" s="225" t="s">
        <v>131</v>
      </c>
      <c r="E95" s="226">
        <v>3.0</v>
      </c>
      <c r="F95" s="126"/>
      <c r="G95" s="126"/>
      <c r="H95" s="125"/>
      <c r="I95" s="125"/>
      <c r="J95" s="99"/>
      <c r="K95" s="99"/>
      <c r="L95" s="99"/>
      <c r="M95" s="99">
        <f t="shared" si="2"/>
        <v>1</v>
      </c>
      <c r="N95" s="99">
        <f t="shared" si="3"/>
        <v>1</v>
      </c>
      <c r="O95" s="84"/>
      <c r="P95" s="84"/>
      <c r="Q95" s="84"/>
      <c r="R95" s="84"/>
      <c r="S95" s="84"/>
      <c r="T95" s="84"/>
      <c r="U95" s="84"/>
      <c r="V95" s="84"/>
    </row>
    <row r="96" ht="15.75" customHeight="1">
      <c r="A96" s="227">
        <v>1.1454102E7</v>
      </c>
      <c r="B96" s="227" t="str">
        <f t="shared" si="1"/>
        <v>11454</v>
      </c>
      <c r="C96" s="227" t="s">
        <v>3694</v>
      </c>
      <c r="D96" s="59"/>
      <c r="E96" s="59"/>
      <c r="F96" s="126"/>
      <c r="G96" s="126"/>
      <c r="H96" s="125"/>
      <c r="I96" s="125"/>
      <c r="J96" s="99"/>
      <c r="K96" s="99"/>
      <c r="L96" s="99"/>
      <c r="M96" s="99">
        <f t="shared" si="2"/>
        <v>1</v>
      </c>
      <c r="N96" s="99">
        <f t="shared" si="3"/>
        <v>1</v>
      </c>
      <c r="O96" s="84"/>
      <c r="P96" s="84"/>
      <c r="Q96" s="84"/>
      <c r="R96" s="84"/>
      <c r="S96" s="84"/>
      <c r="T96" s="84"/>
      <c r="U96" s="84"/>
      <c r="V96" s="84"/>
    </row>
    <row r="97" ht="15.75" customHeight="1">
      <c r="A97" s="227">
        <v>1.1454103E7</v>
      </c>
      <c r="B97" s="227" t="str">
        <f t="shared" si="1"/>
        <v>11454</v>
      </c>
      <c r="C97" s="227" t="s">
        <v>3695</v>
      </c>
      <c r="D97" s="59"/>
      <c r="E97" s="59"/>
      <c r="F97" s="126"/>
      <c r="G97" s="126"/>
      <c r="H97" s="125"/>
      <c r="I97" s="125"/>
      <c r="J97" s="99"/>
      <c r="K97" s="99"/>
      <c r="L97" s="99"/>
      <c r="M97" s="99">
        <f t="shared" si="2"/>
        <v>1</v>
      </c>
      <c r="N97" s="99">
        <f t="shared" si="3"/>
        <v>1</v>
      </c>
      <c r="O97" s="84"/>
      <c r="P97" s="84"/>
      <c r="Q97" s="84"/>
      <c r="R97" s="84"/>
      <c r="S97" s="84"/>
      <c r="T97" s="84"/>
      <c r="U97" s="84"/>
      <c r="V97" s="84"/>
    </row>
    <row r="98" ht="15.75" customHeight="1">
      <c r="A98" s="227">
        <v>1.1454104E7</v>
      </c>
      <c r="B98" s="227" t="str">
        <f t="shared" si="1"/>
        <v>11454</v>
      </c>
      <c r="C98" s="227" t="s">
        <v>3696</v>
      </c>
      <c r="D98" s="59"/>
      <c r="E98" s="59"/>
      <c r="F98" s="126"/>
      <c r="G98" s="126"/>
      <c r="H98" s="125"/>
      <c r="I98" s="125"/>
      <c r="J98" s="99"/>
      <c r="K98" s="99"/>
      <c r="L98" s="99"/>
      <c r="M98" s="99">
        <f t="shared" si="2"/>
        <v>1</v>
      </c>
      <c r="N98" s="99">
        <f t="shared" si="3"/>
        <v>1</v>
      </c>
      <c r="O98" s="84"/>
      <c r="P98" s="84"/>
      <c r="Q98" s="84"/>
      <c r="R98" s="84"/>
      <c r="S98" s="84"/>
      <c r="T98" s="84"/>
      <c r="U98" s="84"/>
      <c r="V98" s="84"/>
    </row>
    <row r="99" ht="15.75" customHeight="1">
      <c r="A99" s="227">
        <v>1.1454105E7</v>
      </c>
      <c r="B99" s="227" t="str">
        <f t="shared" si="1"/>
        <v>11454</v>
      </c>
      <c r="C99" s="227" t="s">
        <v>3697</v>
      </c>
      <c r="D99" s="59"/>
      <c r="E99" s="59"/>
      <c r="F99" s="126"/>
      <c r="G99" s="126"/>
      <c r="H99" s="125"/>
      <c r="I99" s="125"/>
      <c r="J99" s="99"/>
      <c r="K99" s="99"/>
      <c r="L99" s="99"/>
      <c r="M99" s="99">
        <f t="shared" si="2"/>
        <v>1</v>
      </c>
      <c r="N99" s="99">
        <f t="shared" si="3"/>
        <v>1</v>
      </c>
      <c r="O99" s="84"/>
      <c r="P99" s="84"/>
      <c r="Q99" s="84"/>
      <c r="R99" s="84"/>
      <c r="S99" s="84"/>
      <c r="T99" s="84"/>
      <c r="U99" s="84"/>
      <c r="V99" s="84"/>
    </row>
    <row r="100" ht="15.75" customHeight="1">
      <c r="A100" s="227">
        <v>1.1454106E7</v>
      </c>
      <c r="B100" s="227" t="str">
        <f t="shared" si="1"/>
        <v>11454</v>
      </c>
      <c r="C100" s="227" t="s">
        <v>3698</v>
      </c>
      <c r="D100" s="59"/>
      <c r="E100" s="59"/>
      <c r="F100" s="126"/>
      <c r="G100" s="126"/>
      <c r="H100" s="125"/>
      <c r="I100" s="125"/>
      <c r="J100" s="99"/>
      <c r="K100" s="99"/>
      <c r="L100" s="99"/>
      <c r="M100" s="99">
        <f t="shared" si="2"/>
        <v>1</v>
      </c>
      <c r="N100" s="99">
        <f t="shared" si="3"/>
        <v>1</v>
      </c>
      <c r="O100" s="84"/>
      <c r="P100" s="84"/>
      <c r="Q100" s="84"/>
      <c r="R100" s="84"/>
      <c r="S100" s="84"/>
      <c r="T100" s="84"/>
      <c r="U100" s="84"/>
      <c r="V100" s="84"/>
    </row>
    <row r="101" ht="15.75" customHeight="1">
      <c r="A101" s="227">
        <v>1.1454107E7</v>
      </c>
      <c r="B101" s="227" t="str">
        <f t="shared" si="1"/>
        <v>11454</v>
      </c>
      <c r="C101" s="227" t="s">
        <v>3699</v>
      </c>
      <c r="D101" s="59"/>
      <c r="E101" s="59"/>
      <c r="F101" s="126"/>
      <c r="G101" s="126"/>
      <c r="H101" s="125"/>
      <c r="I101" s="125"/>
      <c r="J101" s="99"/>
      <c r="K101" s="99"/>
      <c r="L101" s="99"/>
      <c r="M101" s="99">
        <f t="shared" si="2"/>
        <v>1</v>
      </c>
      <c r="N101" s="99">
        <f t="shared" si="3"/>
        <v>1</v>
      </c>
      <c r="O101" s="84"/>
      <c r="P101" s="84"/>
      <c r="Q101" s="84"/>
      <c r="R101" s="84"/>
      <c r="S101" s="84"/>
      <c r="T101" s="84"/>
      <c r="U101" s="84"/>
      <c r="V101" s="84"/>
    </row>
    <row r="102" ht="15.75" customHeight="1">
      <c r="A102" s="227">
        <v>1.1454108E7</v>
      </c>
      <c r="B102" s="227" t="str">
        <f t="shared" si="1"/>
        <v>11454</v>
      </c>
      <c r="C102" s="227" t="s">
        <v>3700</v>
      </c>
      <c r="D102" s="59"/>
      <c r="E102" s="59"/>
      <c r="F102" s="126"/>
      <c r="G102" s="126"/>
      <c r="H102" s="125"/>
      <c r="I102" s="125"/>
      <c r="J102" s="99"/>
      <c r="K102" s="99"/>
      <c r="L102" s="99"/>
      <c r="M102" s="99">
        <f t="shared" si="2"/>
        <v>1</v>
      </c>
      <c r="N102" s="99">
        <f t="shared" si="3"/>
        <v>1</v>
      </c>
      <c r="O102" s="84"/>
      <c r="P102" s="84"/>
      <c r="Q102" s="84"/>
      <c r="R102" s="84"/>
      <c r="S102" s="84"/>
      <c r="T102" s="84"/>
      <c r="U102" s="84"/>
      <c r="V102" s="84"/>
    </row>
    <row r="103" ht="15.75" customHeight="1">
      <c r="A103" s="227">
        <v>1.1454109E7</v>
      </c>
      <c r="B103" s="227" t="str">
        <f t="shared" si="1"/>
        <v>11454</v>
      </c>
      <c r="C103" s="227" t="s">
        <v>3701</v>
      </c>
      <c r="D103" s="59"/>
      <c r="E103" s="59"/>
      <c r="F103" s="126"/>
      <c r="G103" s="126"/>
      <c r="H103" s="125"/>
      <c r="I103" s="125"/>
      <c r="J103" s="99"/>
      <c r="K103" s="99"/>
      <c r="L103" s="99"/>
      <c r="M103" s="99">
        <f t="shared" si="2"/>
        <v>1</v>
      </c>
      <c r="N103" s="99">
        <f t="shared" si="3"/>
        <v>1</v>
      </c>
      <c r="O103" s="84"/>
      <c r="P103" s="84"/>
      <c r="Q103" s="84"/>
      <c r="R103" s="84"/>
      <c r="S103" s="84"/>
      <c r="T103" s="84"/>
      <c r="U103" s="84"/>
      <c r="V103" s="84"/>
    </row>
    <row r="104" ht="15.75" customHeight="1">
      <c r="A104" s="227">
        <v>1.145411E7</v>
      </c>
      <c r="B104" s="227" t="str">
        <f t="shared" si="1"/>
        <v>11454</v>
      </c>
      <c r="C104" s="227" t="s">
        <v>3702</v>
      </c>
      <c r="D104" s="59"/>
      <c r="E104" s="59"/>
      <c r="F104" s="126"/>
      <c r="G104" s="126"/>
      <c r="H104" s="125"/>
      <c r="I104" s="125"/>
      <c r="J104" s="99"/>
      <c r="K104" s="99"/>
      <c r="L104" s="99"/>
      <c r="M104" s="99">
        <f t="shared" si="2"/>
        <v>1</v>
      </c>
      <c r="N104" s="99">
        <f t="shared" si="3"/>
        <v>1</v>
      </c>
      <c r="O104" s="84"/>
      <c r="P104" s="84"/>
      <c r="Q104" s="84"/>
      <c r="R104" s="84"/>
      <c r="S104" s="84"/>
      <c r="T104" s="84"/>
      <c r="U104" s="84"/>
      <c r="V104" s="84"/>
    </row>
    <row r="105" ht="15.75" customHeight="1">
      <c r="A105" s="227">
        <v>1.1454111E7</v>
      </c>
      <c r="B105" s="227" t="str">
        <f t="shared" si="1"/>
        <v>11454</v>
      </c>
      <c r="C105" s="227" t="s">
        <v>3703</v>
      </c>
      <c r="D105" s="59"/>
      <c r="E105" s="59"/>
      <c r="F105" s="126"/>
      <c r="G105" s="126"/>
      <c r="H105" s="125"/>
      <c r="I105" s="125"/>
      <c r="J105" s="99"/>
      <c r="K105" s="99"/>
      <c r="L105" s="99"/>
      <c r="M105" s="99">
        <f t="shared" si="2"/>
        <v>1</v>
      </c>
      <c r="N105" s="99">
        <f t="shared" si="3"/>
        <v>1</v>
      </c>
      <c r="O105" s="84"/>
      <c r="P105" s="84"/>
      <c r="Q105" s="84"/>
      <c r="R105" s="84"/>
      <c r="S105" s="84"/>
      <c r="T105" s="84"/>
      <c r="U105" s="84"/>
      <c r="V105" s="84"/>
    </row>
    <row r="106" ht="15.75" customHeight="1">
      <c r="A106" s="227">
        <v>1.1454112E7</v>
      </c>
      <c r="B106" s="227" t="str">
        <f t="shared" si="1"/>
        <v>11454</v>
      </c>
      <c r="C106" s="227" t="s">
        <v>3704</v>
      </c>
      <c r="D106" s="59"/>
      <c r="E106" s="59"/>
      <c r="F106" s="126"/>
      <c r="G106" s="126"/>
      <c r="H106" s="125"/>
      <c r="I106" s="125"/>
      <c r="J106" s="99"/>
      <c r="K106" s="99"/>
      <c r="L106" s="99"/>
      <c r="M106" s="99">
        <f t="shared" si="2"/>
        <v>1</v>
      </c>
      <c r="N106" s="99">
        <f t="shared" si="3"/>
        <v>1</v>
      </c>
      <c r="O106" s="84"/>
      <c r="P106" s="84"/>
      <c r="Q106" s="84"/>
      <c r="R106" s="84"/>
      <c r="S106" s="84"/>
      <c r="T106" s="84"/>
      <c r="U106" s="84"/>
      <c r="V106" s="84"/>
    </row>
    <row r="107" ht="15.75" customHeight="1">
      <c r="A107" s="227">
        <v>1.1454113E7</v>
      </c>
      <c r="B107" s="227" t="str">
        <f t="shared" si="1"/>
        <v>11454</v>
      </c>
      <c r="C107" s="227" t="s">
        <v>3705</v>
      </c>
      <c r="D107" s="59"/>
      <c r="E107" s="59"/>
      <c r="F107" s="126"/>
      <c r="G107" s="126"/>
      <c r="H107" s="125"/>
      <c r="I107" s="125"/>
      <c r="J107" s="99"/>
      <c r="K107" s="99"/>
      <c r="L107" s="99"/>
      <c r="M107" s="99">
        <f t="shared" si="2"/>
        <v>1</v>
      </c>
      <c r="N107" s="99">
        <f t="shared" si="3"/>
        <v>1</v>
      </c>
      <c r="O107" s="84"/>
      <c r="P107" s="84"/>
      <c r="Q107" s="84"/>
      <c r="R107" s="84"/>
      <c r="S107" s="84"/>
      <c r="T107" s="84"/>
      <c r="U107" s="84"/>
      <c r="V107" s="84"/>
    </row>
    <row r="108" ht="15.75" customHeight="1">
      <c r="A108" s="227">
        <v>1.1454114E7</v>
      </c>
      <c r="B108" s="227" t="str">
        <f t="shared" si="1"/>
        <v>11454</v>
      </c>
      <c r="C108" s="227" t="s">
        <v>3706</v>
      </c>
      <c r="D108" s="59"/>
      <c r="E108" s="59"/>
      <c r="F108" s="126"/>
      <c r="G108" s="126"/>
      <c r="H108" s="125"/>
      <c r="I108" s="125"/>
      <c r="J108" s="99"/>
      <c r="K108" s="99"/>
      <c r="L108" s="99"/>
      <c r="M108" s="99">
        <f t="shared" si="2"/>
        <v>1</v>
      </c>
      <c r="N108" s="99">
        <f t="shared" si="3"/>
        <v>1</v>
      </c>
      <c r="O108" s="84"/>
      <c r="P108" s="84"/>
      <c r="Q108" s="84"/>
      <c r="R108" s="84"/>
      <c r="S108" s="84"/>
      <c r="T108" s="84"/>
      <c r="U108" s="84"/>
      <c r="V108" s="84"/>
    </row>
    <row r="109" ht="15.75" customHeight="1">
      <c r="A109" s="227">
        <v>1.1454115E7</v>
      </c>
      <c r="B109" s="227" t="str">
        <f t="shared" si="1"/>
        <v>11454</v>
      </c>
      <c r="C109" s="227" t="s">
        <v>3707</v>
      </c>
      <c r="D109" s="59"/>
      <c r="E109" s="59"/>
      <c r="F109" s="126"/>
      <c r="G109" s="126"/>
      <c r="H109" s="125"/>
      <c r="I109" s="125"/>
      <c r="J109" s="99"/>
      <c r="K109" s="99"/>
      <c r="L109" s="99"/>
      <c r="M109" s="99">
        <f t="shared" si="2"/>
        <v>1</v>
      </c>
      <c r="N109" s="99">
        <f t="shared" si="3"/>
        <v>1</v>
      </c>
      <c r="O109" s="84"/>
      <c r="P109" s="84"/>
      <c r="Q109" s="84"/>
      <c r="R109" s="84"/>
      <c r="S109" s="84"/>
      <c r="T109" s="84"/>
      <c r="U109" s="84"/>
      <c r="V109" s="84"/>
    </row>
    <row r="110" ht="15.75" customHeight="1">
      <c r="A110" s="227">
        <v>1.1454116E7</v>
      </c>
      <c r="B110" s="227" t="str">
        <f t="shared" si="1"/>
        <v>11454</v>
      </c>
      <c r="C110" s="227" t="s">
        <v>3708</v>
      </c>
      <c r="D110" s="59"/>
      <c r="E110" s="59"/>
      <c r="F110" s="126"/>
      <c r="G110" s="126"/>
      <c r="H110" s="125"/>
      <c r="I110" s="125"/>
      <c r="J110" s="99"/>
      <c r="K110" s="99"/>
      <c r="L110" s="99"/>
      <c r="M110" s="99">
        <f t="shared" si="2"/>
        <v>1</v>
      </c>
      <c r="N110" s="99">
        <f t="shared" si="3"/>
        <v>1</v>
      </c>
      <c r="O110" s="84"/>
      <c r="P110" s="84"/>
      <c r="Q110" s="84"/>
      <c r="R110" s="84"/>
      <c r="S110" s="84"/>
      <c r="T110" s="84"/>
      <c r="U110" s="84"/>
      <c r="V110" s="84"/>
    </row>
    <row r="111" ht="15.75" customHeight="1">
      <c r="A111" s="227">
        <v>1.1454117E7</v>
      </c>
      <c r="B111" s="227" t="str">
        <f t="shared" si="1"/>
        <v>11454</v>
      </c>
      <c r="C111" s="227" t="s">
        <v>3709</v>
      </c>
      <c r="D111" s="59"/>
      <c r="E111" s="59"/>
      <c r="F111" s="126"/>
      <c r="G111" s="126"/>
      <c r="H111" s="125"/>
      <c r="I111" s="125"/>
      <c r="J111" s="99"/>
      <c r="K111" s="99"/>
      <c r="L111" s="99"/>
      <c r="M111" s="99">
        <f t="shared" si="2"/>
        <v>1</v>
      </c>
      <c r="N111" s="99">
        <f t="shared" si="3"/>
        <v>1</v>
      </c>
      <c r="O111" s="84"/>
      <c r="P111" s="84"/>
      <c r="Q111" s="84"/>
      <c r="R111" s="84"/>
      <c r="S111" s="84"/>
      <c r="T111" s="84"/>
      <c r="U111" s="84"/>
      <c r="V111" s="84"/>
    </row>
    <row r="112" ht="15.75" customHeight="1">
      <c r="A112" s="227">
        <v>1.1454118E7</v>
      </c>
      <c r="B112" s="227" t="str">
        <f t="shared" si="1"/>
        <v>11454</v>
      </c>
      <c r="C112" s="227" t="s">
        <v>3710</v>
      </c>
      <c r="D112" s="59"/>
      <c r="E112" s="59"/>
      <c r="F112" s="126"/>
      <c r="G112" s="126"/>
      <c r="H112" s="125"/>
      <c r="I112" s="125"/>
      <c r="J112" s="99"/>
      <c r="K112" s="99"/>
      <c r="L112" s="99"/>
      <c r="M112" s="99">
        <f t="shared" si="2"/>
        <v>1</v>
      </c>
      <c r="N112" s="99">
        <f t="shared" si="3"/>
        <v>1</v>
      </c>
      <c r="O112" s="84"/>
      <c r="P112" s="84"/>
      <c r="Q112" s="84"/>
      <c r="R112" s="84"/>
      <c r="S112" s="84"/>
      <c r="T112" s="84"/>
      <c r="U112" s="84"/>
      <c r="V112" s="84"/>
    </row>
    <row r="113" ht="15.75" customHeight="1">
      <c r="A113" s="227">
        <v>1.145412E7</v>
      </c>
      <c r="B113" s="227" t="str">
        <f t="shared" si="1"/>
        <v>11454</v>
      </c>
      <c r="C113" s="227" t="s">
        <v>3711</v>
      </c>
      <c r="D113" s="59"/>
      <c r="E113" s="59"/>
      <c r="F113" s="126"/>
      <c r="G113" s="126"/>
      <c r="H113" s="125"/>
      <c r="I113" s="125"/>
      <c r="J113" s="99"/>
      <c r="K113" s="99"/>
      <c r="L113" s="99"/>
      <c r="M113" s="99">
        <f t="shared" si="2"/>
        <v>1</v>
      </c>
      <c r="N113" s="99">
        <f t="shared" si="3"/>
        <v>1</v>
      </c>
      <c r="O113" s="84"/>
      <c r="P113" s="84"/>
      <c r="Q113" s="84"/>
      <c r="R113" s="84"/>
      <c r="S113" s="84"/>
      <c r="T113" s="84"/>
      <c r="U113" s="84"/>
      <c r="V113" s="84"/>
    </row>
    <row r="114" ht="15.75" customHeight="1">
      <c r="A114" s="227">
        <v>1.1454121E7</v>
      </c>
      <c r="B114" s="227" t="str">
        <f t="shared" si="1"/>
        <v>11454</v>
      </c>
      <c r="C114" s="227" t="s">
        <v>3712</v>
      </c>
      <c r="D114" s="73"/>
      <c r="E114" s="73"/>
      <c r="F114" s="126"/>
      <c r="G114" s="126"/>
      <c r="H114" s="125"/>
      <c r="I114" s="125"/>
      <c r="J114" s="99"/>
      <c r="K114" s="99"/>
      <c r="L114" s="99"/>
      <c r="M114" s="99">
        <f t="shared" si="2"/>
        <v>1</v>
      </c>
      <c r="N114" s="99">
        <f t="shared" si="3"/>
        <v>1</v>
      </c>
      <c r="O114" s="84"/>
      <c r="P114" s="84"/>
      <c r="Q114" s="84"/>
      <c r="R114" s="84"/>
      <c r="S114" s="84"/>
      <c r="T114" s="84"/>
      <c r="U114" s="84"/>
      <c r="V114" s="84"/>
    </row>
    <row r="115" ht="15.75" customHeight="1">
      <c r="A115" s="224">
        <v>1.2017E7</v>
      </c>
      <c r="B115" s="224" t="str">
        <f t="shared" si="1"/>
        <v>12017</v>
      </c>
      <c r="C115" s="224" t="s">
        <v>3713</v>
      </c>
      <c r="D115" s="225" t="s">
        <v>3714</v>
      </c>
      <c r="E115" s="226">
        <v>8.0</v>
      </c>
      <c r="F115" s="126"/>
      <c r="G115" s="126"/>
      <c r="H115" s="125"/>
      <c r="I115" s="125"/>
      <c r="J115" s="99"/>
      <c r="K115" s="99"/>
      <c r="L115" s="99"/>
      <c r="M115" s="99">
        <f t="shared" si="2"/>
        <v>1</v>
      </c>
      <c r="N115" s="99">
        <f t="shared" si="3"/>
        <v>1</v>
      </c>
      <c r="O115" s="84"/>
      <c r="P115" s="84"/>
      <c r="Q115" s="84"/>
      <c r="R115" s="84"/>
      <c r="S115" s="84"/>
      <c r="T115" s="84"/>
      <c r="U115" s="84"/>
      <c r="V115" s="84"/>
    </row>
    <row r="116" ht="15.75" customHeight="1">
      <c r="A116" s="224">
        <v>1.2017001E7</v>
      </c>
      <c r="B116" s="224" t="str">
        <f t="shared" si="1"/>
        <v>12017</v>
      </c>
      <c r="C116" s="224" t="s">
        <v>3715</v>
      </c>
      <c r="D116" s="59"/>
      <c r="E116" s="59"/>
      <c r="F116" s="126"/>
      <c r="G116" s="126"/>
      <c r="H116" s="125"/>
      <c r="I116" s="125"/>
      <c r="J116" s="99"/>
      <c r="K116" s="99"/>
      <c r="L116" s="99"/>
      <c r="M116" s="99">
        <f t="shared" si="2"/>
        <v>1</v>
      </c>
      <c r="N116" s="99">
        <f t="shared" si="3"/>
        <v>1</v>
      </c>
      <c r="O116" s="84"/>
      <c r="P116" s="84"/>
      <c r="Q116" s="84"/>
      <c r="R116" s="84"/>
      <c r="S116" s="84"/>
      <c r="T116" s="84"/>
      <c r="U116" s="84"/>
      <c r="V116" s="84"/>
    </row>
    <row r="117" ht="15.75" customHeight="1">
      <c r="A117" s="224">
        <v>1.2017002E7</v>
      </c>
      <c r="B117" s="224" t="str">
        <f t="shared" si="1"/>
        <v>12017</v>
      </c>
      <c r="C117" s="224" t="s">
        <v>3716</v>
      </c>
      <c r="D117" s="59"/>
      <c r="E117" s="59"/>
      <c r="F117" s="126"/>
      <c r="G117" s="126"/>
      <c r="H117" s="125"/>
      <c r="I117" s="125"/>
      <c r="J117" s="99"/>
      <c r="K117" s="99"/>
      <c r="L117" s="99"/>
      <c r="M117" s="99">
        <f t="shared" si="2"/>
        <v>1</v>
      </c>
      <c r="N117" s="99">
        <f t="shared" si="3"/>
        <v>1</v>
      </c>
      <c r="O117" s="84"/>
      <c r="P117" s="84"/>
      <c r="Q117" s="84"/>
      <c r="R117" s="84"/>
      <c r="S117" s="84"/>
      <c r="T117" s="84"/>
      <c r="U117" s="84"/>
      <c r="V117" s="84"/>
    </row>
    <row r="118" ht="15.75" customHeight="1">
      <c r="A118" s="224">
        <v>1.2017003E7</v>
      </c>
      <c r="B118" s="224" t="str">
        <f t="shared" si="1"/>
        <v>12017</v>
      </c>
      <c r="C118" s="224" t="s">
        <v>3717</v>
      </c>
      <c r="D118" s="73"/>
      <c r="E118" s="73"/>
      <c r="F118" s="126"/>
      <c r="G118" s="126"/>
      <c r="H118" s="125"/>
      <c r="I118" s="125"/>
      <c r="J118" s="99"/>
      <c r="K118" s="99"/>
      <c r="L118" s="99"/>
      <c r="M118" s="99">
        <f t="shared" si="2"/>
        <v>1</v>
      </c>
      <c r="N118" s="99">
        <f t="shared" si="3"/>
        <v>1</v>
      </c>
      <c r="O118" s="84"/>
      <c r="P118" s="84"/>
      <c r="Q118" s="84"/>
      <c r="R118" s="84"/>
      <c r="S118" s="84"/>
      <c r="T118" s="84"/>
      <c r="U118" s="84"/>
      <c r="V118" s="84"/>
    </row>
    <row r="119" ht="15.75" customHeight="1">
      <c r="A119" s="227">
        <v>1.20171E7</v>
      </c>
      <c r="B119" s="227" t="str">
        <f t="shared" si="1"/>
        <v>12017</v>
      </c>
      <c r="C119" s="227" t="s">
        <v>3718</v>
      </c>
      <c r="D119" s="225" t="s">
        <v>3714</v>
      </c>
      <c r="E119" s="226">
        <v>8.0</v>
      </c>
      <c r="F119" s="126"/>
      <c r="G119" s="126"/>
      <c r="H119" s="125"/>
      <c r="I119" s="125"/>
      <c r="J119" s="99"/>
      <c r="K119" s="99"/>
      <c r="L119" s="99"/>
      <c r="M119" s="99">
        <f t="shared" si="2"/>
        <v>1</v>
      </c>
      <c r="N119" s="99">
        <f t="shared" si="3"/>
        <v>1</v>
      </c>
      <c r="O119" s="84"/>
      <c r="P119" s="84"/>
      <c r="Q119" s="84"/>
      <c r="R119" s="84"/>
      <c r="S119" s="84"/>
      <c r="T119" s="84"/>
      <c r="U119" s="84"/>
      <c r="V119" s="84"/>
    </row>
    <row r="120" ht="15.75" customHeight="1">
      <c r="A120" s="227">
        <v>1.2017101E7</v>
      </c>
      <c r="B120" s="227" t="str">
        <f t="shared" si="1"/>
        <v>12017</v>
      </c>
      <c r="C120" s="227" t="s">
        <v>3719</v>
      </c>
      <c r="D120" s="59"/>
      <c r="E120" s="59"/>
      <c r="F120" s="126"/>
      <c r="G120" s="126"/>
      <c r="H120" s="125"/>
      <c r="I120" s="125"/>
      <c r="J120" s="99"/>
      <c r="K120" s="99"/>
      <c r="L120" s="99"/>
      <c r="M120" s="99">
        <f t="shared" si="2"/>
        <v>1</v>
      </c>
      <c r="N120" s="99">
        <f t="shared" si="3"/>
        <v>1</v>
      </c>
      <c r="O120" s="84"/>
      <c r="P120" s="84"/>
      <c r="Q120" s="84"/>
      <c r="R120" s="84"/>
      <c r="S120" s="84"/>
      <c r="T120" s="84"/>
      <c r="U120" s="84"/>
      <c r="V120" s="84"/>
    </row>
    <row r="121" ht="15.75" customHeight="1">
      <c r="A121" s="227">
        <v>1.2017102E7</v>
      </c>
      <c r="B121" s="227" t="str">
        <f t="shared" si="1"/>
        <v>12017</v>
      </c>
      <c r="C121" s="227" t="s">
        <v>3720</v>
      </c>
      <c r="D121" s="59"/>
      <c r="E121" s="59"/>
      <c r="F121" s="126"/>
      <c r="G121" s="126"/>
      <c r="H121" s="125"/>
      <c r="I121" s="125"/>
      <c r="J121" s="99"/>
      <c r="K121" s="99"/>
      <c r="L121" s="99"/>
      <c r="M121" s="99">
        <f t="shared" si="2"/>
        <v>1</v>
      </c>
      <c r="N121" s="99">
        <f t="shared" si="3"/>
        <v>1</v>
      </c>
      <c r="O121" s="84"/>
      <c r="P121" s="84"/>
      <c r="Q121" s="84"/>
      <c r="R121" s="84"/>
      <c r="S121" s="84"/>
      <c r="T121" s="84"/>
      <c r="U121" s="84"/>
      <c r="V121" s="84"/>
    </row>
    <row r="122" ht="15.75" customHeight="1">
      <c r="A122" s="227">
        <v>1.2017103E7</v>
      </c>
      <c r="B122" s="227" t="str">
        <f t="shared" si="1"/>
        <v>12017</v>
      </c>
      <c r="C122" s="227" t="s">
        <v>3721</v>
      </c>
      <c r="D122" s="59"/>
      <c r="E122" s="59"/>
      <c r="F122" s="126"/>
      <c r="G122" s="126"/>
      <c r="H122" s="125"/>
      <c r="I122" s="125"/>
      <c r="J122" s="99"/>
      <c r="K122" s="99"/>
      <c r="L122" s="99"/>
      <c r="M122" s="99">
        <f t="shared" si="2"/>
        <v>1</v>
      </c>
      <c r="N122" s="99">
        <f t="shared" si="3"/>
        <v>1</v>
      </c>
      <c r="O122" s="84"/>
      <c r="P122" s="84"/>
      <c r="Q122" s="84"/>
      <c r="R122" s="84"/>
      <c r="S122" s="84"/>
      <c r="T122" s="84"/>
      <c r="U122" s="84"/>
      <c r="V122" s="84"/>
    </row>
    <row r="123" ht="15.75" customHeight="1">
      <c r="A123" s="227">
        <v>1.201711E7</v>
      </c>
      <c r="B123" s="227" t="str">
        <f t="shared" si="1"/>
        <v>12017</v>
      </c>
      <c r="C123" s="227" t="s">
        <v>3722</v>
      </c>
      <c r="D123" s="59"/>
      <c r="E123" s="59"/>
      <c r="F123" s="126"/>
      <c r="G123" s="126"/>
      <c r="H123" s="125"/>
      <c r="I123" s="125"/>
      <c r="J123" s="99"/>
      <c r="K123" s="99"/>
      <c r="L123" s="99"/>
      <c r="M123" s="99">
        <f t="shared" si="2"/>
        <v>1</v>
      </c>
      <c r="N123" s="99">
        <f t="shared" si="3"/>
        <v>1</v>
      </c>
      <c r="O123" s="84"/>
      <c r="P123" s="84"/>
      <c r="Q123" s="84"/>
      <c r="R123" s="84"/>
      <c r="S123" s="84"/>
      <c r="T123" s="84"/>
      <c r="U123" s="84"/>
      <c r="V123" s="84"/>
    </row>
    <row r="124" ht="15.75" customHeight="1">
      <c r="A124" s="227">
        <v>1.2017111E7</v>
      </c>
      <c r="B124" s="227" t="str">
        <f t="shared" si="1"/>
        <v>12017</v>
      </c>
      <c r="C124" s="227" t="s">
        <v>3723</v>
      </c>
      <c r="D124" s="59"/>
      <c r="E124" s="59"/>
      <c r="F124" s="126"/>
      <c r="G124" s="126"/>
      <c r="H124" s="125"/>
      <c r="I124" s="125"/>
      <c r="J124" s="99"/>
      <c r="K124" s="99"/>
      <c r="L124" s="99"/>
      <c r="M124" s="99">
        <f t="shared" si="2"/>
        <v>1</v>
      </c>
      <c r="N124" s="99">
        <f t="shared" si="3"/>
        <v>1</v>
      </c>
      <c r="O124" s="84"/>
      <c r="P124" s="84"/>
      <c r="Q124" s="84"/>
      <c r="R124" s="84"/>
      <c r="S124" s="84"/>
      <c r="T124" s="84"/>
      <c r="U124" s="84"/>
      <c r="V124" s="84"/>
    </row>
    <row r="125" ht="15.75" customHeight="1">
      <c r="A125" s="227">
        <v>1.2017112E7</v>
      </c>
      <c r="B125" s="227" t="str">
        <f t="shared" si="1"/>
        <v>12017</v>
      </c>
      <c r="C125" s="227" t="s">
        <v>3724</v>
      </c>
      <c r="D125" s="59"/>
      <c r="E125" s="59"/>
      <c r="F125" s="126"/>
      <c r="G125" s="126"/>
      <c r="H125" s="125"/>
      <c r="I125" s="125"/>
      <c r="J125" s="99"/>
      <c r="K125" s="99"/>
      <c r="L125" s="99"/>
      <c r="M125" s="99">
        <f t="shared" si="2"/>
        <v>1</v>
      </c>
      <c r="N125" s="99">
        <f t="shared" si="3"/>
        <v>1</v>
      </c>
      <c r="O125" s="84"/>
      <c r="P125" s="84"/>
      <c r="Q125" s="84"/>
      <c r="R125" s="84"/>
      <c r="S125" s="84"/>
      <c r="T125" s="84"/>
      <c r="U125" s="84"/>
      <c r="V125" s="84"/>
    </row>
    <row r="126" ht="15.75" customHeight="1">
      <c r="A126" s="227">
        <v>1.2017113E7</v>
      </c>
      <c r="B126" s="227" t="str">
        <f t="shared" si="1"/>
        <v>12017</v>
      </c>
      <c r="C126" s="227" t="s">
        <v>3725</v>
      </c>
      <c r="D126" s="59"/>
      <c r="E126" s="59"/>
      <c r="F126" s="126"/>
      <c r="G126" s="126"/>
      <c r="H126" s="125"/>
      <c r="I126" s="125"/>
      <c r="J126" s="99"/>
      <c r="K126" s="99"/>
      <c r="L126" s="99"/>
      <c r="M126" s="99">
        <f t="shared" si="2"/>
        <v>1</v>
      </c>
      <c r="N126" s="99">
        <f t="shared" si="3"/>
        <v>1</v>
      </c>
      <c r="O126" s="84"/>
      <c r="P126" s="84"/>
      <c r="Q126" s="84"/>
      <c r="R126" s="84"/>
      <c r="S126" s="84"/>
      <c r="T126" s="84"/>
      <c r="U126" s="84"/>
      <c r="V126" s="84"/>
    </row>
    <row r="127" ht="15.75" customHeight="1">
      <c r="A127" s="227">
        <v>1.201712E7</v>
      </c>
      <c r="B127" s="227" t="str">
        <f t="shared" si="1"/>
        <v>12017</v>
      </c>
      <c r="C127" s="227" t="s">
        <v>3726</v>
      </c>
      <c r="D127" s="59"/>
      <c r="E127" s="59"/>
      <c r="F127" s="126"/>
      <c r="G127" s="126"/>
      <c r="H127" s="125"/>
      <c r="I127" s="125"/>
      <c r="J127" s="99"/>
      <c r="K127" s="99"/>
      <c r="L127" s="99"/>
      <c r="M127" s="99">
        <f t="shared" si="2"/>
        <v>1</v>
      </c>
      <c r="N127" s="99">
        <f t="shared" si="3"/>
        <v>1</v>
      </c>
      <c r="O127" s="84"/>
      <c r="P127" s="84"/>
      <c r="Q127" s="84"/>
      <c r="R127" s="84"/>
      <c r="S127" s="84"/>
      <c r="T127" s="84"/>
      <c r="U127" s="84"/>
      <c r="V127" s="84"/>
    </row>
    <row r="128" ht="15.75" customHeight="1">
      <c r="A128" s="227">
        <v>1.2017121E7</v>
      </c>
      <c r="B128" s="227" t="str">
        <f t="shared" si="1"/>
        <v>12017</v>
      </c>
      <c r="C128" s="227" t="s">
        <v>3727</v>
      </c>
      <c r="D128" s="59"/>
      <c r="E128" s="59"/>
      <c r="F128" s="126"/>
      <c r="G128" s="126"/>
      <c r="H128" s="125"/>
      <c r="I128" s="125"/>
      <c r="J128" s="99"/>
      <c r="K128" s="99"/>
      <c r="L128" s="99"/>
      <c r="M128" s="99">
        <f t="shared" si="2"/>
        <v>1</v>
      </c>
      <c r="N128" s="99">
        <f t="shared" si="3"/>
        <v>1</v>
      </c>
      <c r="O128" s="84"/>
      <c r="P128" s="84"/>
      <c r="Q128" s="84"/>
      <c r="R128" s="84"/>
      <c r="S128" s="84"/>
      <c r="T128" s="84"/>
      <c r="U128" s="84"/>
      <c r="V128" s="84"/>
    </row>
    <row r="129" ht="15.75" customHeight="1">
      <c r="A129" s="227">
        <v>1.2017122E7</v>
      </c>
      <c r="B129" s="227" t="str">
        <f t="shared" si="1"/>
        <v>12017</v>
      </c>
      <c r="C129" s="227" t="s">
        <v>3728</v>
      </c>
      <c r="D129" s="59"/>
      <c r="E129" s="59"/>
      <c r="F129" s="126"/>
      <c r="G129" s="126"/>
      <c r="H129" s="125"/>
      <c r="I129" s="125"/>
      <c r="J129" s="99"/>
      <c r="K129" s="99"/>
      <c r="L129" s="99"/>
      <c r="M129" s="99">
        <f t="shared" si="2"/>
        <v>1</v>
      </c>
      <c r="N129" s="99">
        <f t="shared" si="3"/>
        <v>1</v>
      </c>
      <c r="O129" s="84"/>
      <c r="P129" s="84"/>
      <c r="Q129" s="84"/>
      <c r="R129" s="84"/>
      <c r="S129" s="84"/>
      <c r="T129" s="84"/>
      <c r="U129" s="84"/>
      <c r="V129" s="84"/>
    </row>
    <row r="130" ht="15.75" customHeight="1">
      <c r="A130" s="227">
        <v>1.2017123E7</v>
      </c>
      <c r="B130" s="227" t="str">
        <f t="shared" si="1"/>
        <v>12017</v>
      </c>
      <c r="C130" s="227" t="s">
        <v>3729</v>
      </c>
      <c r="D130" s="59"/>
      <c r="E130" s="59"/>
      <c r="F130" s="126"/>
      <c r="G130" s="126"/>
      <c r="H130" s="125"/>
      <c r="I130" s="125"/>
      <c r="J130" s="99"/>
      <c r="K130" s="99"/>
      <c r="L130" s="99"/>
      <c r="M130" s="99">
        <f t="shared" si="2"/>
        <v>1</v>
      </c>
      <c r="N130" s="99">
        <f t="shared" si="3"/>
        <v>1</v>
      </c>
      <c r="O130" s="84"/>
      <c r="P130" s="84"/>
      <c r="Q130" s="84"/>
      <c r="R130" s="84"/>
      <c r="S130" s="84"/>
      <c r="T130" s="84"/>
      <c r="U130" s="84"/>
      <c r="V130" s="84"/>
    </row>
    <row r="131" ht="15.75" customHeight="1">
      <c r="A131" s="227">
        <v>1.201713E7</v>
      </c>
      <c r="B131" s="227" t="str">
        <f t="shared" si="1"/>
        <v>12017</v>
      </c>
      <c r="C131" s="227" t="s">
        <v>3730</v>
      </c>
      <c r="D131" s="59"/>
      <c r="E131" s="59"/>
      <c r="F131" s="126"/>
      <c r="G131" s="126"/>
      <c r="H131" s="125"/>
      <c r="I131" s="125"/>
      <c r="J131" s="99"/>
      <c r="K131" s="99"/>
      <c r="L131" s="99"/>
      <c r="M131" s="99">
        <f t="shared" si="2"/>
        <v>1</v>
      </c>
      <c r="N131" s="99">
        <f t="shared" si="3"/>
        <v>1</v>
      </c>
      <c r="O131" s="84"/>
      <c r="P131" s="84"/>
      <c r="Q131" s="84"/>
      <c r="R131" s="84"/>
      <c r="S131" s="84"/>
      <c r="T131" s="84"/>
      <c r="U131" s="84"/>
      <c r="V131" s="84"/>
    </row>
    <row r="132" ht="15.75" customHeight="1">
      <c r="A132" s="227">
        <v>1.2017131E7</v>
      </c>
      <c r="B132" s="227" t="str">
        <f t="shared" si="1"/>
        <v>12017</v>
      </c>
      <c r="C132" s="227" t="s">
        <v>3731</v>
      </c>
      <c r="D132" s="59"/>
      <c r="E132" s="59"/>
      <c r="F132" s="126"/>
      <c r="G132" s="126"/>
      <c r="H132" s="125"/>
      <c r="I132" s="125"/>
      <c r="J132" s="99"/>
      <c r="K132" s="99"/>
      <c r="L132" s="99"/>
      <c r="M132" s="99">
        <f t="shared" si="2"/>
        <v>1</v>
      </c>
      <c r="N132" s="99">
        <f t="shared" si="3"/>
        <v>1</v>
      </c>
      <c r="O132" s="84"/>
      <c r="P132" s="84"/>
      <c r="Q132" s="84"/>
      <c r="R132" s="84"/>
      <c r="S132" s="84"/>
      <c r="T132" s="84"/>
      <c r="U132" s="84"/>
      <c r="V132" s="84"/>
    </row>
    <row r="133" ht="15.75" customHeight="1">
      <c r="A133" s="227">
        <v>1.2017132E7</v>
      </c>
      <c r="B133" s="227" t="str">
        <f t="shared" si="1"/>
        <v>12017</v>
      </c>
      <c r="C133" s="227" t="s">
        <v>3732</v>
      </c>
      <c r="D133" s="59"/>
      <c r="E133" s="59"/>
      <c r="F133" s="126"/>
      <c r="G133" s="126"/>
      <c r="H133" s="125"/>
      <c r="I133" s="125"/>
      <c r="J133" s="99"/>
      <c r="K133" s="99"/>
      <c r="L133" s="99"/>
      <c r="M133" s="99">
        <f t="shared" si="2"/>
        <v>1</v>
      </c>
      <c r="N133" s="99">
        <f t="shared" si="3"/>
        <v>1</v>
      </c>
      <c r="O133" s="84"/>
      <c r="P133" s="84"/>
      <c r="Q133" s="84"/>
      <c r="R133" s="84"/>
      <c r="S133" s="84"/>
      <c r="T133" s="84"/>
      <c r="U133" s="84"/>
      <c r="V133" s="84"/>
    </row>
    <row r="134" ht="15.75" customHeight="1">
      <c r="A134" s="227">
        <v>1.2017133E7</v>
      </c>
      <c r="B134" s="227" t="str">
        <f t="shared" si="1"/>
        <v>12017</v>
      </c>
      <c r="C134" s="227" t="s">
        <v>3733</v>
      </c>
      <c r="D134" s="59"/>
      <c r="E134" s="59"/>
      <c r="F134" s="126"/>
      <c r="G134" s="126"/>
      <c r="H134" s="125"/>
      <c r="I134" s="125"/>
      <c r="J134" s="99"/>
      <c r="K134" s="99"/>
      <c r="L134" s="99"/>
      <c r="M134" s="99">
        <f t="shared" si="2"/>
        <v>1</v>
      </c>
      <c r="N134" s="99">
        <f t="shared" si="3"/>
        <v>1</v>
      </c>
      <c r="O134" s="84"/>
      <c r="P134" s="84"/>
      <c r="Q134" s="84"/>
      <c r="R134" s="84"/>
      <c r="S134" s="84"/>
      <c r="T134" s="84"/>
      <c r="U134" s="84"/>
      <c r="V134" s="84"/>
    </row>
    <row r="135" ht="15.75" customHeight="1">
      <c r="A135" s="227">
        <v>1.201714E7</v>
      </c>
      <c r="B135" s="227" t="str">
        <f t="shared" si="1"/>
        <v>12017</v>
      </c>
      <c r="C135" s="227" t="s">
        <v>3734</v>
      </c>
      <c r="D135" s="59"/>
      <c r="E135" s="59"/>
      <c r="F135" s="126"/>
      <c r="G135" s="126"/>
      <c r="H135" s="125"/>
      <c r="I135" s="125"/>
      <c r="J135" s="99"/>
      <c r="K135" s="99"/>
      <c r="L135" s="99"/>
      <c r="M135" s="99">
        <f t="shared" si="2"/>
        <v>1</v>
      </c>
      <c r="N135" s="99">
        <f t="shared" si="3"/>
        <v>1</v>
      </c>
      <c r="O135" s="84"/>
      <c r="P135" s="84"/>
      <c r="Q135" s="84"/>
      <c r="R135" s="84"/>
      <c r="S135" s="84"/>
      <c r="T135" s="84"/>
      <c r="U135" s="84"/>
      <c r="V135" s="84"/>
    </row>
    <row r="136" ht="15.75" customHeight="1">
      <c r="A136" s="227">
        <v>1.2017141E7</v>
      </c>
      <c r="B136" s="227" t="str">
        <f t="shared" si="1"/>
        <v>12017</v>
      </c>
      <c r="C136" s="227" t="s">
        <v>3735</v>
      </c>
      <c r="D136" s="59"/>
      <c r="E136" s="59"/>
      <c r="F136" s="126"/>
      <c r="G136" s="126"/>
      <c r="H136" s="125"/>
      <c r="I136" s="125"/>
      <c r="J136" s="99"/>
      <c r="K136" s="99"/>
      <c r="L136" s="99"/>
      <c r="M136" s="99">
        <f t="shared" si="2"/>
        <v>1</v>
      </c>
      <c r="N136" s="99">
        <f t="shared" si="3"/>
        <v>1</v>
      </c>
      <c r="O136" s="84"/>
      <c r="P136" s="84"/>
      <c r="Q136" s="84"/>
      <c r="R136" s="84"/>
      <c r="S136" s="84"/>
      <c r="T136" s="84"/>
      <c r="U136" s="84"/>
      <c r="V136" s="84"/>
    </row>
    <row r="137" ht="15.75" customHeight="1">
      <c r="A137" s="227">
        <v>1.2017142E7</v>
      </c>
      <c r="B137" s="227" t="str">
        <f t="shared" si="1"/>
        <v>12017</v>
      </c>
      <c r="C137" s="227" t="s">
        <v>3736</v>
      </c>
      <c r="D137" s="59"/>
      <c r="E137" s="59"/>
      <c r="F137" s="126"/>
      <c r="G137" s="126"/>
      <c r="H137" s="125"/>
      <c r="I137" s="125"/>
      <c r="J137" s="99"/>
      <c r="K137" s="99"/>
      <c r="L137" s="99"/>
      <c r="M137" s="99">
        <f t="shared" si="2"/>
        <v>1</v>
      </c>
      <c r="N137" s="99">
        <f t="shared" si="3"/>
        <v>1</v>
      </c>
      <c r="O137" s="84"/>
      <c r="P137" s="84"/>
      <c r="Q137" s="84"/>
      <c r="R137" s="84"/>
      <c r="S137" s="84"/>
      <c r="T137" s="84"/>
      <c r="U137" s="84"/>
      <c r="V137" s="84"/>
    </row>
    <row r="138" ht="15.75" customHeight="1">
      <c r="A138" s="227">
        <v>1.2017143E7</v>
      </c>
      <c r="B138" s="227" t="str">
        <f t="shared" si="1"/>
        <v>12017</v>
      </c>
      <c r="C138" s="227" t="s">
        <v>3737</v>
      </c>
      <c r="D138" s="73"/>
      <c r="E138" s="73"/>
      <c r="F138" s="126"/>
      <c r="G138" s="126"/>
      <c r="H138" s="125"/>
      <c r="I138" s="125"/>
      <c r="J138" s="99"/>
      <c r="K138" s="99"/>
      <c r="L138" s="99"/>
      <c r="M138" s="99">
        <f t="shared" si="2"/>
        <v>1</v>
      </c>
      <c r="N138" s="99">
        <f t="shared" si="3"/>
        <v>1</v>
      </c>
      <c r="O138" s="84"/>
      <c r="P138" s="84"/>
      <c r="Q138" s="84"/>
      <c r="R138" s="84"/>
      <c r="S138" s="84"/>
      <c r="T138" s="84"/>
      <c r="U138" s="84"/>
      <c r="V138" s="84"/>
    </row>
    <row r="139" ht="15.75" customHeight="1">
      <c r="A139" s="224">
        <v>1.2018E7</v>
      </c>
      <c r="B139" s="224" t="str">
        <f t="shared" si="1"/>
        <v>12018</v>
      </c>
      <c r="C139" s="224" t="s">
        <v>3738</v>
      </c>
      <c r="D139" s="225" t="s">
        <v>3739</v>
      </c>
      <c r="E139" s="226">
        <v>8.0</v>
      </c>
      <c r="F139" s="126"/>
      <c r="G139" s="126"/>
      <c r="H139" s="125"/>
      <c r="I139" s="125"/>
      <c r="J139" s="99"/>
      <c r="K139" s="99"/>
      <c r="L139" s="99"/>
      <c r="M139" s="99">
        <f t="shared" si="2"/>
        <v>1</v>
      </c>
      <c r="N139" s="99">
        <f t="shared" si="3"/>
        <v>1</v>
      </c>
      <c r="O139" s="84"/>
      <c r="P139" s="84"/>
      <c r="Q139" s="84"/>
      <c r="R139" s="84"/>
      <c r="S139" s="84"/>
      <c r="T139" s="84"/>
      <c r="U139" s="84"/>
      <c r="V139" s="84"/>
    </row>
    <row r="140" ht="15.75" customHeight="1">
      <c r="A140" s="224">
        <v>1.2018001E7</v>
      </c>
      <c r="B140" s="224" t="str">
        <f t="shared" si="1"/>
        <v>12018</v>
      </c>
      <c r="C140" s="224" t="s">
        <v>3740</v>
      </c>
      <c r="D140" s="59"/>
      <c r="E140" s="59"/>
      <c r="F140" s="126"/>
      <c r="G140" s="126"/>
      <c r="H140" s="125"/>
      <c r="I140" s="125"/>
      <c r="J140" s="99"/>
      <c r="K140" s="99"/>
      <c r="L140" s="99"/>
      <c r="M140" s="99">
        <f t="shared" si="2"/>
        <v>1</v>
      </c>
      <c r="N140" s="99">
        <f t="shared" si="3"/>
        <v>1</v>
      </c>
      <c r="O140" s="84"/>
      <c r="P140" s="84"/>
      <c r="Q140" s="84"/>
      <c r="R140" s="84"/>
      <c r="S140" s="84"/>
      <c r="T140" s="84"/>
      <c r="U140" s="84"/>
      <c r="V140" s="84"/>
    </row>
    <row r="141" ht="15.75" customHeight="1">
      <c r="A141" s="224">
        <v>1.2018002E7</v>
      </c>
      <c r="B141" s="224" t="str">
        <f t="shared" si="1"/>
        <v>12018</v>
      </c>
      <c r="C141" s="224" t="s">
        <v>3741</v>
      </c>
      <c r="D141" s="73"/>
      <c r="E141" s="73"/>
      <c r="F141" s="126"/>
      <c r="G141" s="126"/>
      <c r="H141" s="125"/>
      <c r="I141" s="125"/>
      <c r="J141" s="99"/>
      <c r="K141" s="99"/>
      <c r="L141" s="99"/>
      <c r="M141" s="99">
        <f t="shared" si="2"/>
        <v>1</v>
      </c>
      <c r="N141" s="99">
        <f t="shared" si="3"/>
        <v>1</v>
      </c>
      <c r="O141" s="84"/>
      <c r="P141" s="84"/>
      <c r="Q141" s="84"/>
      <c r="R141" s="84"/>
      <c r="S141" s="84"/>
      <c r="T141" s="84"/>
      <c r="U141" s="84"/>
      <c r="V141" s="84"/>
    </row>
    <row r="142" ht="15.75" customHeight="1">
      <c r="A142" s="227">
        <v>1.20181E7</v>
      </c>
      <c r="B142" s="227" t="str">
        <f t="shared" si="1"/>
        <v>12018</v>
      </c>
      <c r="C142" s="227" t="s">
        <v>3742</v>
      </c>
      <c r="D142" s="225" t="s">
        <v>3739</v>
      </c>
      <c r="E142" s="226">
        <v>8.0</v>
      </c>
      <c r="F142" s="126"/>
      <c r="G142" s="126"/>
      <c r="H142" s="125"/>
      <c r="I142" s="125"/>
      <c r="J142" s="99"/>
      <c r="K142" s="99"/>
      <c r="L142" s="99"/>
      <c r="M142" s="99">
        <f t="shared" si="2"/>
        <v>1</v>
      </c>
      <c r="N142" s="99">
        <f t="shared" si="3"/>
        <v>1</v>
      </c>
      <c r="O142" s="84"/>
      <c r="P142" s="84"/>
      <c r="Q142" s="84"/>
      <c r="R142" s="84"/>
      <c r="S142" s="84"/>
      <c r="T142" s="84"/>
      <c r="U142" s="84"/>
      <c r="V142" s="84"/>
    </row>
    <row r="143" ht="15.75" customHeight="1">
      <c r="A143" s="227">
        <v>1.2018101E7</v>
      </c>
      <c r="B143" s="227" t="str">
        <f t="shared" si="1"/>
        <v>12018</v>
      </c>
      <c r="C143" s="227" t="s">
        <v>3743</v>
      </c>
      <c r="D143" s="59"/>
      <c r="E143" s="59"/>
      <c r="F143" s="126"/>
      <c r="G143" s="126"/>
      <c r="H143" s="125"/>
      <c r="I143" s="125"/>
      <c r="J143" s="99"/>
      <c r="K143" s="99"/>
      <c r="L143" s="99"/>
      <c r="M143" s="99">
        <f t="shared" si="2"/>
        <v>1</v>
      </c>
      <c r="N143" s="99">
        <f t="shared" si="3"/>
        <v>1</v>
      </c>
      <c r="O143" s="84"/>
      <c r="P143" s="84"/>
      <c r="Q143" s="84"/>
      <c r="R143" s="84"/>
      <c r="S143" s="84"/>
      <c r="T143" s="84"/>
      <c r="U143" s="84"/>
      <c r="V143" s="84"/>
    </row>
    <row r="144" ht="15.75" customHeight="1">
      <c r="A144" s="227">
        <v>1.2018102E7</v>
      </c>
      <c r="B144" s="227" t="str">
        <f t="shared" si="1"/>
        <v>12018</v>
      </c>
      <c r="C144" s="227" t="s">
        <v>3744</v>
      </c>
      <c r="D144" s="73"/>
      <c r="E144" s="73"/>
      <c r="F144" s="126"/>
      <c r="G144" s="126"/>
      <c r="H144" s="125"/>
      <c r="I144" s="125"/>
      <c r="J144" s="99"/>
      <c r="K144" s="99"/>
      <c r="L144" s="99"/>
      <c r="M144" s="99">
        <f t="shared" si="2"/>
        <v>1</v>
      </c>
      <c r="N144" s="99">
        <f t="shared" si="3"/>
        <v>1</v>
      </c>
      <c r="O144" s="84"/>
      <c r="P144" s="84"/>
      <c r="Q144" s="84"/>
      <c r="R144" s="84"/>
      <c r="S144" s="84"/>
      <c r="T144" s="84"/>
      <c r="U144" s="84"/>
      <c r="V144" s="84"/>
    </row>
    <row r="145" ht="15.75" customHeight="1">
      <c r="A145" s="224">
        <v>1.2019E7</v>
      </c>
      <c r="B145" s="224" t="str">
        <f t="shared" si="1"/>
        <v>12019</v>
      </c>
      <c r="C145" s="224" t="s">
        <v>3745</v>
      </c>
      <c r="D145" s="225" t="s">
        <v>3746</v>
      </c>
      <c r="E145" s="226">
        <v>8.0</v>
      </c>
      <c r="F145" s="126"/>
      <c r="G145" s="126"/>
      <c r="H145" s="125"/>
      <c r="I145" s="125"/>
      <c r="J145" s="99"/>
      <c r="K145" s="99"/>
      <c r="L145" s="99"/>
      <c r="M145" s="99">
        <f t="shared" si="2"/>
        <v>1</v>
      </c>
      <c r="N145" s="99">
        <f t="shared" si="3"/>
        <v>1</v>
      </c>
      <c r="O145" s="84"/>
      <c r="P145" s="84"/>
      <c r="Q145" s="84"/>
      <c r="R145" s="84"/>
      <c r="S145" s="84"/>
      <c r="T145" s="84"/>
      <c r="U145" s="84"/>
      <c r="V145" s="84"/>
    </row>
    <row r="146" ht="15.75" customHeight="1">
      <c r="A146" s="224">
        <v>1.2019001E7</v>
      </c>
      <c r="B146" s="224" t="str">
        <f t="shared" si="1"/>
        <v>12019</v>
      </c>
      <c r="C146" s="224" t="s">
        <v>3747</v>
      </c>
      <c r="D146" s="59"/>
      <c r="E146" s="59"/>
      <c r="F146" s="126"/>
      <c r="G146" s="126"/>
      <c r="H146" s="125"/>
      <c r="I146" s="125"/>
      <c r="J146" s="99"/>
      <c r="K146" s="99"/>
      <c r="L146" s="99"/>
      <c r="M146" s="99">
        <f t="shared" si="2"/>
        <v>1</v>
      </c>
      <c r="N146" s="99">
        <f t="shared" si="3"/>
        <v>1</v>
      </c>
      <c r="O146" s="84"/>
      <c r="P146" s="84"/>
      <c r="Q146" s="84"/>
      <c r="R146" s="84"/>
      <c r="S146" s="84"/>
      <c r="T146" s="84"/>
      <c r="U146" s="84"/>
      <c r="V146" s="84"/>
    </row>
    <row r="147" ht="15.75" customHeight="1">
      <c r="A147" s="224">
        <v>1.2019002E7</v>
      </c>
      <c r="B147" s="224" t="str">
        <f t="shared" si="1"/>
        <v>12019</v>
      </c>
      <c r="C147" s="224" t="s">
        <v>3748</v>
      </c>
      <c r="D147" s="59"/>
      <c r="E147" s="59"/>
      <c r="F147" s="126"/>
      <c r="G147" s="126"/>
      <c r="H147" s="125"/>
      <c r="I147" s="125"/>
      <c r="J147" s="99"/>
      <c r="K147" s="99"/>
      <c r="L147" s="99"/>
      <c r="M147" s="99">
        <f t="shared" si="2"/>
        <v>1</v>
      </c>
      <c r="N147" s="99">
        <f t="shared" si="3"/>
        <v>1</v>
      </c>
      <c r="O147" s="84"/>
      <c r="P147" s="84"/>
      <c r="Q147" s="84"/>
      <c r="R147" s="84"/>
      <c r="S147" s="84"/>
      <c r="T147" s="84"/>
      <c r="U147" s="84"/>
      <c r="V147" s="84"/>
    </row>
    <row r="148" ht="15.75" customHeight="1">
      <c r="A148" s="224">
        <v>1.2019003E7</v>
      </c>
      <c r="B148" s="224" t="str">
        <f t="shared" si="1"/>
        <v>12019</v>
      </c>
      <c r="C148" s="224" t="s">
        <v>3749</v>
      </c>
      <c r="D148" s="59"/>
      <c r="E148" s="59"/>
      <c r="F148" s="126"/>
      <c r="G148" s="126"/>
      <c r="H148" s="125"/>
      <c r="I148" s="125"/>
      <c r="J148" s="99"/>
      <c r="K148" s="99"/>
      <c r="L148" s="99"/>
      <c r="M148" s="99">
        <f t="shared" si="2"/>
        <v>1</v>
      </c>
      <c r="N148" s="99">
        <f t="shared" si="3"/>
        <v>1</v>
      </c>
      <c r="O148" s="84"/>
      <c r="P148" s="84"/>
      <c r="Q148" s="84"/>
      <c r="R148" s="84"/>
      <c r="S148" s="84"/>
      <c r="T148" s="84"/>
      <c r="U148" s="84"/>
      <c r="V148" s="84"/>
    </row>
    <row r="149" ht="15.75" customHeight="1">
      <c r="A149" s="224">
        <v>1.2019004E7</v>
      </c>
      <c r="B149" s="224" t="str">
        <f t="shared" si="1"/>
        <v>12019</v>
      </c>
      <c r="C149" s="224" t="s">
        <v>3750</v>
      </c>
      <c r="D149" s="59"/>
      <c r="E149" s="59"/>
      <c r="F149" s="126"/>
      <c r="G149" s="126"/>
      <c r="H149" s="125"/>
      <c r="I149" s="125"/>
      <c r="J149" s="99"/>
      <c r="K149" s="99"/>
      <c r="L149" s="99"/>
      <c r="M149" s="99">
        <f t="shared" si="2"/>
        <v>1</v>
      </c>
      <c r="N149" s="99">
        <f t="shared" si="3"/>
        <v>1</v>
      </c>
      <c r="O149" s="84"/>
      <c r="P149" s="84"/>
      <c r="Q149" s="84"/>
      <c r="R149" s="84"/>
      <c r="S149" s="84"/>
      <c r="T149" s="84"/>
      <c r="U149" s="84"/>
      <c r="V149" s="84"/>
    </row>
    <row r="150" ht="15.75" customHeight="1">
      <c r="A150" s="224">
        <v>1.2019005E7</v>
      </c>
      <c r="B150" s="224" t="str">
        <f t="shared" si="1"/>
        <v>12019</v>
      </c>
      <c r="C150" s="224" t="s">
        <v>3751</v>
      </c>
      <c r="D150" s="73"/>
      <c r="E150" s="73"/>
      <c r="F150" s="126"/>
      <c r="G150" s="126"/>
      <c r="H150" s="125"/>
      <c r="I150" s="125"/>
      <c r="J150" s="99"/>
      <c r="K150" s="99"/>
      <c r="L150" s="99"/>
      <c r="M150" s="99">
        <f t="shared" si="2"/>
        <v>1</v>
      </c>
      <c r="N150" s="99">
        <f t="shared" si="3"/>
        <v>1</v>
      </c>
      <c r="O150" s="84"/>
      <c r="P150" s="84"/>
      <c r="Q150" s="84"/>
      <c r="R150" s="84"/>
      <c r="S150" s="84"/>
      <c r="T150" s="84"/>
      <c r="U150" s="84"/>
      <c r="V150" s="84"/>
    </row>
    <row r="151" ht="15.75" customHeight="1">
      <c r="A151" s="227">
        <v>1.20191E7</v>
      </c>
      <c r="B151" s="227" t="str">
        <f t="shared" si="1"/>
        <v>12019</v>
      </c>
      <c r="C151" s="227" t="s">
        <v>3752</v>
      </c>
      <c r="D151" s="225" t="s">
        <v>3746</v>
      </c>
      <c r="E151" s="226">
        <v>8.0</v>
      </c>
      <c r="F151" s="126"/>
      <c r="G151" s="126"/>
      <c r="H151" s="125"/>
      <c r="I151" s="125"/>
      <c r="J151" s="99"/>
      <c r="K151" s="99"/>
      <c r="L151" s="99"/>
      <c r="M151" s="99">
        <f t="shared" si="2"/>
        <v>1</v>
      </c>
      <c r="N151" s="99">
        <f t="shared" si="3"/>
        <v>1</v>
      </c>
      <c r="O151" s="84"/>
      <c r="P151" s="84"/>
      <c r="Q151" s="84"/>
      <c r="R151" s="84"/>
      <c r="S151" s="84"/>
      <c r="T151" s="84"/>
      <c r="U151" s="84"/>
      <c r="V151" s="84"/>
    </row>
    <row r="152" ht="15.75" customHeight="1">
      <c r="A152" s="227">
        <v>1.2019101E7</v>
      </c>
      <c r="B152" s="227" t="str">
        <f t="shared" si="1"/>
        <v>12019</v>
      </c>
      <c r="C152" s="227" t="s">
        <v>3753</v>
      </c>
      <c r="D152" s="59"/>
      <c r="E152" s="59"/>
      <c r="F152" s="126"/>
      <c r="G152" s="126"/>
      <c r="H152" s="125"/>
      <c r="I152" s="125"/>
      <c r="J152" s="99"/>
      <c r="K152" s="99"/>
      <c r="L152" s="99"/>
      <c r="M152" s="99">
        <f t="shared" si="2"/>
        <v>1</v>
      </c>
      <c r="N152" s="99">
        <f t="shared" si="3"/>
        <v>1</v>
      </c>
      <c r="O152" s="84"/>
      <c r="P152" s="84"/>
      <c r="Q152" s="84"/>
      <c r="R152" s="84"/>
      <c r="S152" s="84"/>
      <c r="T152" s="84"/>
      <c r="U152" s="84"/>
      <c r="V152" s="84"/>
    </row>
    <row r="153" ht="15.75" customHeight="1">
      <c r="A153" s="227">
        <v>1.2019102E7</v>
      </c>
      <c r="B153" s="227" t="str">
        <f t="shared" si="1"/>
        <v>12019</v>
      </c>
      <c r="C153" s="227" t="s">
        <v>3754</v>
      </c>
      <c r="D153" s="59"/>
      <c r="E153" s="59"/>
      <c r="F153" s="126"/>
      <c r="G153" s="126"/>
      <c r="H153" s="125"/>
      <c r="I153" s="125"/>
      <c r="J153" s="99"/>
      <c r="K153" s="99"/>
      <c r="L153" s="99"/>
      <c r="M153" s="99">
        <f t="shared" si="2"/>
        <v>1</v>
      </c>
      <c r="N153" s="99">
        <f t="shared" si="3"/>
        <v>1</v>
      </c>
      <c r="O153" s="84"/>
      <c r="P153" s="84"/>
      <c r="Q153" s="84"/>
      <c r="R153" s="84"/>
      <c r="S153" s="84"/>
      <c r="T153" s="84"/>
      <c r="U153" s="84"/>
      <c r="V153" s="84"/>
    </row>
    <row r="154" ht="15.75" customHeight="1">
      <c r="A154" s="227">
        <v>1.2019103E7</v>
      </c>
      <c r="B154" s="227" t="str">
        <f t="shared" si="1"/>
        <v>12019</v>
      </c>
      <c r="C154" s="227" t="s">
        <v>3755</v>
      </c>
      <c r="D154" s="59"/>
      <c r="E154" s="59"/>
      <c r="F154" s="126"/>
      <c r="G154" s="126"/>
      <c r="H154" s="125"/>
      <c r="I154" s="125"/>
      <c r="J154" s="99"/>
      <c r="K154" s="99"/>
      <c r="L154" s="99"/>
      <c r="M154" s="99">
        <f t="shared" si="2"/>
        <v>1</v>
      </c>
      <c r="N154" s="99">
        <f t="shared" si="3"/>
        <v>1</v>
      </c>
      <c r="O154" s="84"/>
      <c r="P154" s="84"/>
      <c r="Q154" s="84"/>
      <c r="R154" s="84"/>
      <c r="S154" s="84"/>
      <c r="T154" s="84"/>
      <c r="U154" s="84"/>
      <c r="V154" s="84"/>
    </row>
    <row r="155" ht="15.75" customHeight="1">
      <c r="A155" s="227">
        <v>1.2019104E7</v>
      </c>
      <c r="B155" s="227" t="str">
        <f t="shared" si="1"/>
        <v>12019</v>
      </c>
      <c r="C155" s="227" t="s">
        <v>3756</v>
      </c>
      <c r="D155" s="59"/>
      <c r="E155" s="59"/>
      <c r="F155" s="126"/>
      <c r="G155" s="126"/>
      <c r="H155" s="125"/>
      <c r="I155" s="125"/>
      <c r="J155" s="99"/>
      <c r="K155" s="99"/>
      <c r="L155" s="99"/>
      <c r="M155" s="99">
        <f t="shared" si="2"/>
        <v>1</v>
      </c>
      <c r="N155" s="99">
        <f t="shared" si="3"/>
        <v>1</v>
      </c>
      <c r="O155" s="84"/>
      <c r="P155" s="84"/>
      <c r="Q155" s="84"/>
      <c r="R155" s="84"/>
      <c r="S155" s="84"/>
      <c r="T155" s="84"/>
      <c r="U155" s="84"/>
      <c r="V155" s="84"/>
    </row>
    <row r="156" ht="15.75" customHeight="1">
      <c r="A156" s="227">
        <v>1.2019105E7</v>
      </c>
      <c r="B156" s="227" t="str">
        <f t="shared" si="1"/>
        <v>12019</v>
      </c>
      <c r="C156" s="227" t="s">
        <v>3757</v>
      </c>
      <c r="D156" s="73"/>
      <c r="E156" s="73"/>
      <c r="F156" s="126"/>
      <c r="G156" s="126"/>
      <c r="H156" s="125"/>
      <c r="I156" s="125"/>
      <c r="J156" s="99"/>
      <c r="K156" s="99"/>
      <c r="L156" s="99"/>
      <c r="M156" s="99">
        <f t="shared" si="2"/>
        <v>1</v>
      </c>
      <c r="N156" s="99">
        <f t="shared" si="3"/>
        <v>1</v>
      </c>
      <c r="O156" s="84"/>
      <c r="P156" s="84"/>
      <c r="Q156" s="84"/>
      <c r="R156" s="84"/>
      <c r="S156" s="84"/>
      <c r="T156" s="84"/>
      <c r="U156" s="84"/>
      <c r="V156" s="84"/>
    </row>
    <row r="157" ht="15.75" customHeight="1">
      <c r="A157" s="224">
        <v>1.202E7</v>
      </c>
      <c r="B157" s="224" t="str">
        <f t="shared" si="1"/>
        <v>12020</v>
      </c>
      <c r="C157" s="224" t="s">
        <v>3758</v>
      </c>
      <c r="D157" s="228" t="s">
        <v>3759</v>
      </c>
      <c r="E157" s="210">
        <v>8.0</v>
      </c>
      <c r="F157" s="126"/>
      <c r="G157" s="126"/>
      <c r="H157" s="125"/>
      <c r="I157" s="125"/>
      <c r="J157" s="99"/>
      <c r="K157" s="99"/>
      <c r="L157" s="99"/>
      <c r="M157" s="99">
        <f t="shared" si="2"/>
        <v>1</v>
      </c>
      <c r="N157" s="99">
        <f t="shared" si="3"/>
        <v>1</v>
      </c>
      <c r="O157" s="84"/>
      <c r="P157" s="84"/>
      <c r="Q157" s="84"/>
      <c r="R157" s="84"/>
      <c r="S157" s="84"/>
      <c r="T157" s="84"/>
      <c r="U157" s="84"/>
      <c r="V157" s="84"/>
    </row>
    <row r="158" ht="15.75" customHeight="1">
      <c r="A158" s="227">
        <v>1.20201E7</v>
      </c>
      <c r="B158" s="227" t="str">
        <f t="shared" si="1"/>
        <v>12020</v>
      </c>
      <c r="C158" s="227" t="s">
        <v>3760</v>
      </c>
      <c r="D158" s="228" t="s">
        <v>3759</v>
      </c>
      <c r="E158" s="210">
        <v>8.0</v>
      </c>
      <c r="F158" s="126"/>
      <c r="G158" s="126"/>
      <c r="H158" s="125"/>
      <c r="I158" s="125"/>
      <c r="J158" s="99"/>
      <c r="K158" s="99"/>
      <c r="L158" s="99"/>
      <c r="M158" s="99">
        <f t="shared" si="2"/>
        <v>1</v>
      </c>
      <c r="N158" s="99">
        <f t="shared" si="3"/>
        <v>1</v>
      </c>
      <c r="O158" s="84"/>
      <c r="P158" s="84"/>
      <c r="Q158" s="84"/>
      <c r="R158" s="84"/>
      <c r="S158" s="84"/>
      <c r="T158" s="84"/>
      <c r="U158" s="84"/>
      <c r="V158" s="84"/>
    </row>
    <row r="159" ht="15.75" customHeight="1">
      <c r="A159" s="224">
        <v>1.2025E7</v>
      </c>
      <c r="B159" s="224" t="str">
        <f t="shared" si="1"/>
        <v>12025</v>
      </c>
      <c r="C159" s="224" t="s">
        <v>3761</v>
      </c>
      <c r="D159" s="225" t="s">
        <v>3762</v>
      </c>
      <c r="E159" s="226">
        <v>8.0</v>
      </c>
      <c r="F159" s="126"/>
      <c r="G159" s="126"/>
      <c r="H159" s="125"/>
      <c r="I159" s="125"/>
      <c r="J159" s="99"/>
      <c r="K159" s="99"/>
      <c r="L159" s="99"/>
      <c r="M159" s="99">
        <f t="shared" si="2"/>
        <v>1</v>
      </c>
      <c r="N159" s="99">
        <f t="shared" si="3"/>
        <v>1</v>
      </c>
      <c r="O159" s="84"/>
      <c r="P159" s="84"/>
      <c r="Q159" s="84"/>
      <c r="R159" s="84"/>
      <c r="S159" s="84"/>
      <c r="T159" s="84"/>
      <c r="U159" s="84"/>
      <c r="V159" s="84"/>
    </row>
    <row r="160" ht="15.75" customHeight="1">
      <c r="A160" s="224">
        <v>1.2025001E7</v>
      </c>
      <c r="B160" s="224" t="str">
        <f t="shared" si="1"/>
        <v>12025</v>
      </c>
      <c r="C160" s="224" t="s">
        <v>3763</v>
      </c>
      <c r="D160" s="59"/>
      <c r="E160" s="59"/>
      <c r="F160" s="126"/>
      <c r="G160" s="126"/>
      <c r="H160" s="125"/>
      <c r="I160" s="125"/>
      <c r="J160" s="99"/>
      <c r="K160" s="99"/>
      <c r="L160" s="99"/>
      <c r="M160" s="99">
        <f t="shared" si="2"/>
        <v>1</v>
      </c>
      <c r="N160" s="99">
        <f t="shared" si="3"/>
        <v>1</v>
      </c>
      <c r="O160" s="84"/>
      <c r="P160" s="84"/>
      <c r="Q160" s="84"/>
      <c r="R160" s="84"/>
      <c r="S160" s="84"/>
      <c r="T160" s="84"/>
      <c r="U160" s="84"/>
      <c r="V160" s="84"/>
    </row>
    <row r="161" ht="15.75" customHeight="1">
      <c r="A161" s="224">
        <v>1.2025002E7</v>
      </c>
      <c r="B161" s="224" t="str">
        <f t="shared" si="1"/>
        <v>12025</v>
      </c>
      <c r="C161" s="224" t="s">
        <v>3764</v>
      </c>
      <c r="D161" s="59"/>
      <c r="E161" s="59"/>
      <c r="F161" s="126"/>
      <c r="G161" s="126"/>
      <c r="H161" s="125"/>
      <c r="I161" s="125"/>
      <c r="J161" s="99"/>
      <c r="K161" s="99"/>
      <c r="L161" s="99"/>
      <c r="M161" s="99">
        <f t="shared" si="2"/>
        <v>1</v>
      </c>
      <c r="N161" s="99">
        <f t="shared" si="3"/>
        <v>1</v>
      </c>
      <c r="O161" s="84"/>
      <c r="P161" s="84"/>
      <c r="Q161" s="84"/>
      <c r="R161" s="84"/>
      <c r="S161" s="84"/>
      <c r="T161" s="84"/>
      <c r="U161" s="84"/>
      <c r="V161" s="84"/>
    </row>
    <row r="162" ht="15.75" customHeight="1">
      <c r="A162" s="224">
        <v>1.2025003E7</v>
      </c>
      <c r="B162" s="224" t="str">
        <f t="shared" si="1"/>
        <v>12025</v>
      </c>
      <c r="C162" s="224" t="s">
        <v>3765</v>
      </c>
      <c r="D162" s="73"/>
      <c r="E162" s="73"/>
      <c r="F162" s="126"/>
      <c r="G162" s="126"/>
      <c r="H162" s="125"/>
      <c r="I162" s="125"/>
      <c r="J162" s="99"/>
      <c r="K162" s="99"/>
      <c r="L162" s="99"/>
      <c r="M162" s="99">
        <f t="shared" si="2"/>
        <v>1</v>
      </c>
      <c r="N162" s="99">
        <f t="shared" si="3"/>
        <v>1</v>
      </c>
      <c r="O162" s="84"/>
      <c r="P162" s="84"/>
      <c r="Q162" s="84"/>
      <c r="R162" s="84"/>
      <c r="S162" s="84"/>
      <c r="T162" s="84"/>
      <c r="U162" s="84"/>
      <c r="V162" s="84"/>
    </row>
    <row r="163" ht="15.75" customHeight="1">
      <c r="A163" s="227">
        <v>1.20251E7</v>
      </c>
      <c r="B163" s="227" t="str">
        <f t="shared" si="1"/>
        <v>12025</v>
      </c>
      <c r="C163" s="227" t="s">
        <v>3766</v>
      </c>
      <c r="D163" s="225" t="s">
        <v>3762</v>
      </c>
      <c r="E163" s="226">
        <v>8.0</v>
      </c>
      <c r="F163" s="126"/>
      <c r="G163" s="126"/>
      <c r="H163" s="125"/>
      <c r="I163" s="125"/>
      <c r="J163" s="99"/>
      <c r="K163" s="99"/>
      <c r="L163" s="99"/>
      <c r="M163" s="99">
        <f t="shared" si="2"/>
        <v>1</v>
      </c>
      <c r="N163" s="99">
        <f t="shared" si="3"/>
        <v>1</v>
      </c>
      <c r="O163" s="84"/>
      <c r="P163" s="84"/>
      <c r="Q163" s="84"/>
      <c r="R163" s="84"/>
      <c r="S163" s="84"/>
      <c r="T163" s="84"/>
      <c r="U163" s="84"/>
      <c r="V163" s="84"/>
    </row>
    <row r="164" ht="15.75" customHeight="1">
      <c r="A164" s="227">
        <v>1.2025101E7</v>
      </c>
      <c r="B164" s="227" t="str">
        <f t="shared" si="1"/>
        <v>12025</v>
      </c>
      <c r="C164" s="227" t="s">
        <v>3767</v>
      </c>
      <c r="D164" s="59"/>
      <c r="E164" s="59"/>
      <c r="F164" s="126"/>
      <c r="G164" s="126"/>
      <c r="H164" s="125"/>
      <c r="I164" s="125"/>
      <c r="J164" s="99"/>
      <c r="K164" s="99"/>
      <c r="L164" s="99"/>
      <c r="M164" s="99">
        <f t="shared" si="2"/>
        <v>1</v>
      </c>
      <c r="N164" s="99">
        <f t="shared" si="3"/>
        <v>1</v>
      </c>
      <c r="O164" s="84"/>
      <c r="P164" s="84"/>
      <c r="Q164" s="84"/>
      <c r="R164" s="84"/>
      <c r="S164" s="84"/>
      <c r="T164" s="84"/>
      <c r="U164" s="84"/>
      <c r="V164" s="84"/>
    </row>
    <row r="165" ht="15.75" customHeight="1">
      <c r="A165" s="227">
        <v>1.2025102E7</v>
      </c>
      <c r="B165" s="227" t="str">
        <f t="shared" si="1"/>
        <v>12025</v>
      </c>
      <c r="C165" s="227" t="s">
        <v>3768</v>
      </c>
      <c r="D165" s="59"/>
      <c r="E165" s="59"/>
      <c r="F165" s="126"/>
      <c r="G165" s="126"/>
      <c r="H165" s="125"/>
      <c r="I165" s="125"/>
      <c r="J165" s="99"/>
      <c r="K165" s="99"/>
      <c r="L165" s="99"/>
      <c r="M165" s="99">
        <f t="shared" si="2"/>
        <v>1</v>
      </c>
      <c r="N165" s="99">
        <f t="shared" si="3"/>
        <v>1</v>
      </c>
      <c r="O165" s="84"/>
      <c r="P165" s="84"/>
      <c r="Q165" s="84"/>
      <c r="R165" s="84"/>
      <c r="S165" s="84"/>
      <c r="T165" s="84"/>
      <c r="U165" s="84"/>
      <c r="V165" s="84"/>
    </row>
    <row r="166" ht="15.75" customHeight="1">
      <c r="A166" s="227">
        <v>1.2025103E7</v>
      </c>
      <c r="B166" s="227" t="str">
        <f t="shared" si="1"/>
        <v>12025</v>
      </c>
      <c r="C166" s="227" t="s">
        <v>3769</v>
      </c>
      <c r="D166" s="59"/>
      <c r="E166" s="59"/>
      <c r="F166" s="126"/>
      <c r="G166" s="126"/>
      <c r="H166" s="125"/>
      <c r="I166" s="125"/>
      <c r="J166" s="99"/>
      <c r="K166" s="99"/>
      <c r="L166" s="99"/>
      <c r="M166" s="99">
        <f t="shared" si="2"/>
        <v>1</v>
      </c>
      <c r="N166" s="99">
        <f t="shared" si="3"/>
        <v>1</v>
      </c>
      <c r="O166" s="84"/>
      <c r="P166" s="84"/>
      <c r="Q166" s="84"/>
      <c r="R166" s="84"/>
      <c r="S166" s="84"/>
      <c r="T166" s="84"/>
      <c r="U166" s="84"/>
      <c r="V166" s="84"/>
    </row>
    <row r="167" ht="15.75" customHeight="1">
      <c r="A167" s="227">
        <v>1.202511E7</v>
      </c>
      <c r="B167" s="227" t="str">
        <f t="shared" si="1"/>
        <v>12025</v>
      </c>
      <c r="C167" s="227" t="s">
        <v>3770</v>
      </c>
      <c r="D167" s="59"/>
      <c r="E167" s="59"/>
      <c r="F167" s="126"/>
      <c r="G167" s="126"/>
      <c r="H167" s="125"/>
      <c r="I167" s="125"/>
      <c r="J167" s="99"/>
      <c r="K167" s="99"/>
      <c r="L167" s="99"/>
      <c r="M167" s="99">
        <f t="shared" si="2"/>
        <v>1</v>
      </c>
      <c r="N167" s="99">
        <f t="shared" si="3"/>
        <v>1</v>
      </c>
      <c r="O167" s="84"/>
      <c r="P167" s="84"/>
      <c r="Q167" s="84"/>
      <c r="R167" s="84"/>
      <c r="S167" s="84"/>
      <c r="T167" s="84"/>
      <c r="U167" s="84"/>
      <c r="V167" s="84"/>
    </row>
    <row r="168" ht="15.75" customHeight="1">
      <c r="A168" s="227">
        <v>1.2025111E7</v>
      </c>
      <c r="B168" s="227" t="str">
        <f t="shared" si="1"/>
        <v>12025</v>
      </c>
      <c r="C168" s="227" t="s">
        <v>3771</v>
      </c>
      <c r="D168" s="59"/>
      <c r="E168" s="59"/>
      <c r="F168" s="126"/>
      <c r="G168" s="126"/>
      <c r="H168" s="125"/>
      <c r="I168" s="125"/>
      <c r="J168" s="99"/>
      <c r="K168" s="99"/>
      <c r="L168" s="99"/>
      <c r="M168" s="99">
        <f t="shared" si="2"/>
        <v>1</v>
      </c>
      <c r="N168" s="99">
        <f t="shared" si="3"/>
        <v>1</v>
      </c>
      <c r="O168" s="84"/>
      <c r="P168" s="84"/>
      <c r="Q168" s="84"/>
      <c r="R168" s="84"/>
      <c r="S168" s="84"/>
      <c r="T168" s="84"/>
      <c r="U168" s="84"/>
      <c r="V168" s="84"/>
    </row>
    <row r="169" ht="15.75" customHeight="1">
      <c r="A169" s="227">
        <v>1.2025112E7</v>
      </c>
      <c r="B169" s="227" t="str">
        <f t="shared" si="1"/>
        <v>12025</v>
      </c>
      <c r="C169" s="227" t="s">
        <v>3772</v>
      </c>
      <c r="D169" s="59"/>
      <c r="E169" s="59"/>
      <c r="F169" s="126"/>
      <c r="G169" s="126"/>
      <c r="H169" s="125"/>
      <c r="I169" s="125"/>
      <c r="J169" s="99"/>
      <c r="K169" s="99"/>
      <c r="L169" s="99"/>
      <c r="M169" s="99">
        <f t="shared" si="2"/>
        <v>1</v>
      </c>
      <c r="N169" s="99">
        <f t="shared" si="3"/>
        <v>1</v>
      </c>
      <c r="O169" s="84"/>
      <c r="P169" s="84"/>
      <c r="Q169" s="84"/>
      <c r="R169" s="84"/>
      <c r="S169" s="84"/>
      <c r="T169" s="84"/>
      <c r="U169" s="84"/>
      <c r="V169" s="84"/>
    </row>
    <row r="170" ht="15.75" customHeight="1">
      <c r="A170" s="227">
        <v>1.2025113E7</v>
      </c>
      <c r="B170" s="227" t="str">
        <f t="shared" si="1"/>
        <v>12025</v>
      </c>
      <c r="C170" s="227" t="s">
        <v>3773</v>
      </c>
      <c r="D170" s="59"/>
      <c r="E170" s="59"/>
      <c r="F170" s="126"/>
      <c r="G170" s="126"/>
      <c r="H170" s="125"/>
      <c r="I170" s="125"/>
      <c r="J170" s="99"/>
      <c r="K170" s="99"/>
      <c r="L170" s="99"/>
      <c r="M170" s="99">
        <f t="shared" si="2"/>
        <v>1</v>
      </c>
      <c r="N170" s="99">
        <f t="shared" si="3"/>
        <v>1</v>
      </c>
      <c r="O170" s="84"/>
      <c r="P170" s="84"/>
      <c r="Q170" s="84"/>
      <c r="R170" s="84"/>
      <c r="S170" s="84"/>
      <c r="T170" s="84"/>
      <c r="U170" s="84"/>
      <c r="V170" s="84"/>
    </row>
    <row r="171" ht="15.75" customHeight="1">
      <c r="A171" s="227">
        <v>1.202512E7</v>
      </c>
      <c r="B171" s="227" t="str">
        <f t="shared" si="1"/>
        <v>12025</v>
      </c>
      <c r="C171" s="227" t="s">
        <v>3774</v>
      </c>
      <c r="D171" s="59"/>
      <c r="E171" s="59"/>
      <c r="F171" s="126"/>
      <c r="G171" s="126"/>
      <c r="H171" s="125"/>
      <c r="I171" s="125"/>
      <c r="J171" s="99"/>
      <c r="K171" s="99"/>
      <c r="L171" s="99"/>
      <c r="M171" s="99">
        <f t="shared" si="2"/>
        <v>1</v>
      </c>
      <c r="N171" s="99">
        <f t="shared" si="3"/>
        <v>1</v>
      </c>
      <c r="O171" s="84"/>
      <c r="P171" s="84"/>
      <c r="Q171" s="84"/>
      <c r="R171" s="84"/>
      <c r="S171" s="84"/>
      <c r="T171" s="84"/>
      <c r="U171" s="84"/>
      <c r="V171" s="84"/>
    </row>
    <row r="172" ht="15.75" customHeight="1">
      <c r="A172" s="227">
        <v>1.2025121E7</v>
      </c>
      <c r="B172" s="227" t="str">
        <f t="shared" si="1"/>
        <v>12025</v>
      </c>
      <c r="C172" s="227" t="s">
        <v>3775</v>
      </c>
      <c r="D172" s="59"/>
      <c r="E172" s="59"/>
      <c r="F172" s="126"/>
      <c r="G172" s="126"/>
      <c r="H172" s="125"/>
      <c r="I172" s="125"/>
      <c r="J172" s="99"/>
      <c r="K172" s="99"/>
      <c r="L172" s="99"/>
      <c r="M172" s="99">
        <f t="shared" si="2"/>
        <v>1</v>
      </c>
      <c r="N172" s="99">
        <f t="shared" si="3"/>
        <v>1</v>
      </c>
      <c r="O172" s="84"/>
      <c r="P172" s="84"/>
      <c r="Q172" s="84"/>
      <c r="R172" s="84"/>
      <c r="S172" s="84"/>
      <c r="T172" s="84"/>
      <c r="U172" s="84"/>
      <c r="V172" s="84"/>
    </row>
    <row r="173" ht="15.75" customHeight="1">
      <c r="A173" s="227">
        <v>1.2025122E7</v>
      </c>
      <c r="B173" s="227" t="str">
        <f t="shared" si="1"/>
        <v>12025</v>
      </c>
      <c r="C173" s="227" t="s">
        <v>3776</v>
      </c>
      <c r="D173" s="59"/>
      <c r="E173" s="59"/>
      <c r="F173" s="126"/>
      <c r="G173" s="126"/>
      <c r="H173" s="125"/>
      <c r="I173" s="125"/>
      <c r="J173" s="99"/>
      <c r="K173" s="99"/>
      <c r="L173" s="99"/>
      <c r="M173" s="99">
        <f t="shared" si="2"/>
        <v>1</v>
      </c>
      <c r="N173" s="99">
        <f t="shared" si="3"/>
        <v>1</v>
      </c>
      <c r="O173" s="84"/>
      <c r="P173" s="84"/>
      <c r="Q173" s="84"/>
      <c r="R173" s="84"/>
      <c r="S173" s="84"/>
      <c r="T173" s="84"/>
      <c r="U173" s="84"/>
      <c r="V173" s="84"/>
    </row>
    <row r="174" ht="15.75" customHeight="1">
      <c r="A174" s="227">
        <v>1.2025123E7</v>
      </c>
      <c r="B174" s="227" t="str">
        <f t="shared" si="1"/>
        <v>12025</v>
      </c>
      <c r="C174" s="227" t="s">
        <v>3777</v>
      </c>
      <c r="D174" s="59"/>
      <c r="E174" s="59"/>
      <c r="F174" s="126"/>
      <c r="G174" s="126"/>
      <c r="H174" s="125"/>
      <c r="I174" s="125"/>
      <c r="J174" s="99"/>
      <c r="K174" s="99"/>
      <c r="L174" s="99"/>
      <c r="M174" s="99">
        <f t="shared" si="2"/>
        <v>1</v>
      </c>
      <c r="N174" s="99">
        <f t="shared" si="3"/>
        <v>1</v>
      </c>
      <c r="O174" s="84"/>
      <c r="P174" s="84"/>
      <c r="Q174" s="84"/>
      <c r="R174" s="84"/>
      <c r="S174" s="84"/>
      <c r="T174" s="84"/>
      <c r="U174" s="84"/>
      <c r="V174" s="84"/>
    </row>
    <row r="175" ht="15.75" customHeight="1">
      <c r="A175" s="227">
        <v>1.202513E7</v>
      </c>
      <c r="B175" s="227" t="str">
        <f t="shared" si="1"/>
        <v>12025</v>
      </c>
      <c r="C175" s="227" t="s">
        <v>3778</v>
      </c>
      <c r="D175" s="59"/>
      <c r="E175" s="59"/>
      <c r="F175" s="126"/>
      <c r="G175" s="126"/>
      <c r="H175" s="125"/>
      <c r="I175" s="125"/>
      <c r="J175" s="99"/>
      <c r="K175" s="99"/>
      <c r="L175" s="99"/>
      <c r="M175" s="99">
        <f t="shared" si="2"/>
        <v>1</v>
      </c>
      <c r="N175" s="99">
        <f t="shared" si="3"/>
        <v>1</v>
      </c>
      <c r="O175" s="84"/>
      <c r="P175" s="84"/>
      <c r="Q175" s="84"/>
      <c r="R175" s="84"/>
      <c r="S175" s="84"/>
      <c r="T175" s="84"/>
      <c r="U175" s="84"/>
      <c r="V175" s="84"/>
    </row>
    <row r="176" ht="15.75" customHeight="1">
      <c r="A176" s="227">
        <v>1.2025131E7</v>
      </c>
      <c r="B176" s="227" t="str">
        <f t="shared" si="1"/>
        <v>12025</v>
      </c>
      <c r="C176" s="227" t="s">
        <v>3779</v>
      </c>
      <c r="D176" s="59"/>
      <c r="E176" s="59"/>
      <c r="F176" s="126"/>
      <c r="G176" s="126"/>
      <c r="H176" s="125"/>
      <c r="I176" s="125"/>
      <c r="J176" s="99"/>
      <c r="K176" s="99"/>
      <c r="L176" s="99"/>
      <c r="M176" s="99">
        <f t="shared" si="2"/>
        <v>1</v>
      </c>
      <c r="N176" s="99">
        <f t="shared" si="3"/>
        <v>1</v>
      </c>
      <c r="O176" s="84"/>
      <c r="P176" s="84"/>
      <c r="Q176" s="84"/>
      <c r="R176" s="84"/>
      <c r="S176" s="84"/>
      <c r="T176" s="84"/>
      <c r="U176" s="84"/>
      <c r="V176" s="84"/>
    </row>
    <row r="177" ht="15.75" customHeight="1">
      <c r="A177" s="227">
        <v>1.2025132E7</v>
      </c>
      <c r="B177" s="227" t="str">
        <f t="shared" si="1"/>
        <v>12025</v>
      </c>
      <c r="C177" s="227" t="s">
        <v>3780</v>
      </c>
      <c r="D177" s="59"/>
      <c r="E177" s="59"/>
      <c r="F177" s="126"/>
      <c r="G177" s="126"/>
      <c r="H177" s="125"/>
      <c r="I177" s="125"/>
      <c r="J177" s="99"/>
      <c r="K177" s="99"/>
      <c r="L177" s="99"/>
      <c r="M177" s="99">
        <f t="shared" si="2"/>
        <v>1</v>
      </c>
      <c r="N177" s="99">
        <f t="shared" si="3"/>
        <v>1</v>
      </c>
      <c r="O177" s="84"/>
      <c r="P177" s="84"/>
      <c r="Q177" s="84"/>
      <c r="R177" s="84"/>
      <c r="S177" s="84"/>
      <c r="T177" s="84"/>
      <c r="U177" s="84"/>
      <c r="V177" s="84"/>
    </row>
    <row r="178" ht="15.75" customHeight="1">
      <c r="A178" s="227">
        <v>1.2025133E7</v>
      </c>
      <c r="B178" s="227" t="str">
        <f t="shared" si="1"/>
        <v>12025</v>
      </c>
      <c r="C178" s="227" t="s">
        <v>3781</v>
      </c>
      <c r="D178" s="59"/>
      <c r="E178" s="59"/>
      <c r="F178" s="126"/>
      <c r="G178" s="126"/>
      <c r="H178" s="125"/>
      <c r="I178" s="125"/>
      <c r="J178" s="99"/>
      <c r="K178" s="99"/>
      <c r="L178" s="99"/>
      <c r="M178" s="99">
        <f t="shared" si="2"/>
        <v>1</v>
      </c>
      <c r="N178" s="99">
        <f t="shared" si="3"/>
        <v>1</v>
      </c>
      <c r="O178" s="84"/>
      <c r="P178" s="84"/>
      <c r="Q178" s="84"/>
      <c r="R178" s="84"/>
      <c r="S178" s="84"/>
      <c r="T178" s="84"/>
      <c r="U178" s="84"/>
      <c r="V178" s="84"/>
    </row>
    <row r="179" ht="15.75" customHeight="1">
      <c r="A179" s="227">
        <v>1.202514E7</v>
      </c>
      <c r="B179" s="227" t="str">
        <f t="shared" si="1"/>
        <v>12025</v>
      </c>
      <c r="C179" s="227" t="s">
        <v>3782</v>
      </c>
      <c r="D179" s="59"/>
      <c r="E179" s="59"/>
      <c r="F179" s="126"/>
      <c r="G179" s="126"/>
      <c r="H179" s="125"/>
      <c r="I179" s="125"/>
      <c r="J179" s="99"/>
      <c r="K179" s="99"/>
      <c r="L179" s="99"/>
      <c r="M179" s="99">
        <f t="shared" si="2"/>
        <v>1</v>
      </c>
      <c r="N179" s="99">
        <f t="shared" si="3"/>
        <v>1</v>
      </c>
      <c r="O179" s="84"/>
      <c r="P179" s="84"/>
      <c r="Q179" s="84"/>
      <c r="R179" s="84"/>
      <c r="S179" s="84"/>
      <c r="T179" s="84"/>
      <c r="U179" s="84"/>
      <c r="V179" s="84"/>
    </row>
    <row r="180" ht="15.75" customHeight="1">
      <c r="A180" s="227">
        <v>1.2025141E7</v>
      </c>
      <c r="B180" s="227" t="str">
        <f t="shared" si="1"/>
        <v>12025</v>
      </c>
      <c r="C180" s="227" t="s">
        <v>3783</v>
      </c>
      <c r="D180" s="59"/>
      <c r="E180" s="59"/>
      <c r="F180" s="126"/>
      <c r="G180" s="126"/>
      <c r="H180" s="125"/>
      <c r="I180" s="125"/>
      <c r="J180" s="99"/>
      <c r="K180" s="99"/>
      <c r="L180" s="99"/>
      <c r="M180" s="99">
        <f t="shared" si="2"/>
        <v>1</v>
      </c>
      <c r="N180" s="99">
        <f t="shared" si="3"/>
        <v>1</v>
      </c>
      <c r="O180" s="84"/>
      <c r="P180" s="84"/>
      <c r="Q180" s="84"/>
      <c r="R180" s="84"/>
      <c r="S180" s="84"/>
      <c r="T180" s="84"/>
      <c r="U180" s="84"/>
      <c r="V180" s="84"/>
    </row>
    <row r="181" ht="15.75" customHeight="1">
      <c r="A181" s="227">
        <v>1.2025142E7</v>
      </c>
      <c r="B181" s="227" t="str">
        <f t="shared" si="1"/>
        <v>12025</v>
      </c>
      <c r="C181" s="227" t="s">
        <v>3784</v>
      </c>
      <c r="D181" s="59"/>
      <c r="E181" s="59"/>
      <c r="F181" s="126"/>
      <c r="G181" s="126"/>
      <c r="H181" s="125"/>
      <c r="I181" s="125"/>
      <c r="J181" s="99"/>
      <c r="K181" s="99"/>
      <c r="L181" s="99"/>
      <c r="M181" s="99">
        <f t="shared" si="2"/>
        <v>1</v>
      </c>
      <c r="N181" s="99">
        <f t="shared" si="3"/>
        <v>1</v>
      </c>
      <c r="O181" s="84"/>
      <c r="P181" s="84"/>
      <c r="Q181" s="84"/>
      <c r="R181" s="84"/>
      <c r="S181" s="84"/>
      <c r="T181" s="84"/>
      <c r="U181" s="84"/>
      <c r="V181" s="84"/>
    </row>
    <row r="182" ht="15.75" customHeight="1">
      <c r="A182" s="227">
        <v>1.2025143E7</v>
      </c>
      <c r="B182" s="227" t="str">
        <f t="shared" si="1"/>
        <v>12025</v>
      </c>
      <c r="C182" s="227" t="s">
        <v>3785</v>
      </c>
      <c r="D182" s="73"/>
      <c r="E182" s="73"/>
      <c r="F182" s="126"/>
      <c r="G182" s="126"/>
      <c r="H182" s="125"/>
      <c r="I182" s="125"/>
      <c r="J182" s="99"/>
      <c r="K182" s="99"/>
      <c r="L182" s="99"/>
      <c r="M182" s="99">
        <f t="shared" si="2"/>
        <v>1</v>
      </c>
      <c r="N182" s="99">
        <f t="shared" si="3"/>
        <v>1</v>
      </c>
      <c r="O182" s="84"/>
      <c r="P182" s="84"/>
      <c r="Q182" s="84"/>
      <c r="R182" s="84"/>
      <c r="S182" s="84"/>
      <c r="T182" s="84"/>
      <c r="U182" s="84"/>
      <c r="V182" s="84"/>
    </row>
    <row r="183" ht="15.75" customHeight="1">
      <c r="A183" s="224">
        <v>1.2026E7</v>
      </c>
      <c r="B183" s="224" t="str">
        <f t="shared" si="1"/>
        <v>12026</v>
      </c>
      <c r="C183" s="224" t="s">
        <v>3786</v>
      </c>
      <c r="D183" s="225" t="s">
        <v>3787</v>
      </c>
      <c r="E183" s="226">
        <v>8.0</v>
      </c>
      <c r="F183" s="126"/>
      <c r="G183" s="126"/>
      <c r="H183" s="125"/>
      <c r="I183" s="125"/>
      <c r="J183" s="99"/>
      <c r="K183" s="99"/>
      <c r="L183" s="99"/>
      <c r="M183" s="99">
        <f t="shared" si="2"/>
        <v>1</v>
      </c>
      <c r="N183" s="99">
        <f t="shared" si="3"/>
        <v>1</v>
      </c>
      <c r="O183" s="84"/>
      <c r="P183" s="84"/>
      <c r="Q183" s="84"/>
      <c r="R183" s="84"/>
      <c r="S183" s="84"/>
      <c r="T183" s="84"/>
      <c r="U183" s="84"/>
      <c r="V183" s="84"/>
    </row>
    <row r="184" ht="15.75" customHeight="1">
      <c r="A184" s="224">
        <v>1.2026001E7</v>
      </c>
      <c r="B184" s="224" t="str">
        <f t="shared" si="1"/>
        <v>12026</v>
      </c>
      <c r="C184" s="224" t="s">
        <v>3788</v>
      </c>
      <c r="D184" s="59"/>
      <c r="E184" s="59"/>
      <c r="F184" s="126"/>
      <c r="G184" s="126"/>
      <c r="H184" s="125"/>
      <c r="I184" s="125"/>
      <c r="J184" s="99"/>
      <c r="K184" s="99"/>
      <c r="L184" s="99"/>
      <c r="M184" s="99">
        <f t="shared" si="2"/>
        <v>1</v>
      </c>
      <c r="N184" s="99">
        <f t="shared" si="3"/>
        <v>1</v>
      </c>
      <c r="O184" s="84"/>
      <c r="P184" s="84"/>
      <c r="Q184" s="84"/>
      <c r="R184" s="84"/>
      <c r="S184" s="84"/>
      <c r="T184" s="84"/>
      <c r="U184" s="84"/>
      <c r="V184" s="84"/>
    </row>
    <row r="185" ht="15.75" customHeight="1">
      <c r="A185" s="224">
        <v>1.2026002E7</v>
      </c>
      <c r="B185" s="224" t="str">
        <f t="shared" si="1"/>
        <v>12026</v>
      </c>
      <c r="C185" s="224" t="s">
        <v>3789</v>
      </c>
      <c r="D185" s="73"/>
      <c r="E185" s="73"/>
      <c r="F185" s="126"/>
      <c r="G185" s="126"/>
      <c r="H185" s="125"/>
      <c r="I185" s="125"/>
      <c r="J185" s="99"/>
      <c r="K185" s="99"/>
      <c r="L185" s="99"/>
      <c r="M185" s="99">
        <f t="shared" si="2"/>
        <v>1</v>
      </c>
      <c r="N185" s="99">
        <f t="shared" si="3"/>
        <v>1</v>
      </c>
      <c r="O185" s="84"/>
      <c r="P185" s="84"/>
      <c r="Q185" s="84"/>
      <c r="R185" s="84"/>
      <c r="S185" s="84"/>
      <c r="T185" s="84"/>
      <c r="U185" s="84"/>
      <c r="V185" s="84"/>
    </row>
    <row r="186" ht="15.75" customHeight="1">
      <c r="A186" s="227">
        <v>1.20261E7</v>
      </c>
      <c r="B186" s="227" t="str">
        <f t="shared" si="1"/>
        <v>12026</v>
      </c>
      <c r="C186" s="227" t="s">
        <v>3790</v>
      </c>
      <c r="D186" s="225" t="s">
        <v>3787</v>
      </c>
      <c r="E186" s="226">
        <v>8.0</v>
      </c>
      <c r="F186" s="126"/>
      <c r="G186" s="126"/>
      <c r="H186" s="125"/>
      <c r="I186" s="125"/>
      <c r="J186" s="99"/>
      <c r="K186" s="99"/>
      <c r="L186" s="99"/>
      <c r="M186" s="99">
        <f t="shared" si="2"/>
        <v>1</v>
      </c>
      <c r="N186" s="99">
        <f t="shared" si="3"/>
        <v>1</v>
      </c>
      <c r="O186" s="84"/>
      <c r="P186" s="84"/>
      <c r="Q186" s="84"/>
      <c r="R186" s="84"/>
      <c r="S186" s="84"/>
      <c r="T186" s="84"/>
      <c r="U186" s="84"/>
      <c r="V186" s="84"/>
    </row>
    <row r="187" ht="15.75" customHeight="1">
      <c r="A187" s="227">
        <v>1.2026101E7</v>
      </c>
      <c r="B187" s="227" t="str">
        <f t="shared" si="1"/>
        <v>12026</v>
      </c>
      <c r="C187" s="227" t="s">
        <v>3791</v>
      </c>
      <c r="D187" s="59"/>
      <c r="E187" s="59"/>
      <c r="F187" s="126"/>
      <c r="G187" s="126"/>
      <c r="H187" s="125"/>
      <c r="I187" s="125"/>
      <c r="J187" s="99"/>
      <c r="K187" s="99"/>
      <c r="L187" s="99"/>
      <c r="M187" s="99">
        <f t="shared" si="2"/>
        <v>1</v>
      </c>
      <c r="N187" s="99">
        <f t="shared" si="3"/>
        <v>1</v>
      </c>
      <c r="O187" s="84"/>
      <c r="P187" s="84"/>
      <c r="Q187" s="84"/>
      <c r="R187" s="84"/>
      <c r="S187" s="84"/>
      <c r="T187" s="84"/>
      <c r="U187" s="84"/>
      <c r="V187" s="84"/>
    </row>
    <row r="188" ht="15.75" customHeight="1">
      <c r="A188" s="227">
        <v>1.2026102E7</v>
      </c>
      <c r="B188" s="227" t="str">
        <f t="shared" si="1"/>
        <v>12026</v>
      </c>
      <c r="C188" s="227" t="s">
        <v>3792</v>
      </c>
      <c r="D188" s="73"/>
      <c r="E188" s="73"/>
      <c r="F188" s="126"/>
      <c r="G188" s="126"/>
      <c r="H188" s="125"/>
      <c r="I188" s="125"/>
      <c r="J188" s="99"/>
      <c r="K188" s="99"/>
      <c r="L188" s="99"/>
      <c r="M188" s="99">
        <f t="shared" si="2"/>
        <v>1</v>
      </c>
      <c r="N188" s="99">
        <f t="shared" si="3"/>
        <v>1</v>
      </c>
      <c r="O188" s="84"/>
      <c r="P188" s="84"/>
      <c r="Q188" s="84"/>
      <c r="R188" s="84"/>
      <c r="S188" s="84"/>
      <c r="T188" s="84"/>
      <c r="U188" s="84"/>
      <c r="V188" s="84"/>
    </row>
    <row r="189" ht="15.75" customHeight="1">
      <c r="A189" s="224">
        <v>1.2027E7</v>
      </c>
      <c r="B189" s="224" t="str">
        <f t="shared" si="1"/>
        <v>12027</v>
      </c>
      <c r="C189" s="224" t="s">
        <v>3793</v>
      </c>
      <c r="D189" s="225" t="s">
        <v>3794</v>
      </c>
      <c r="E189" s="226">
        <v>8.0</v>
      </c>
      <c r="F189" s="126"/>
      <c r="G189" s="126"/>
      <c r="H189" s="125"/>
      <c r="I189" s="125"/>
      <c r="J189" s="99"/>
      <c r="K189" s="99"/>
      <c r="L189" s="99"/>
      <c r="M189" s="99">
        <f t="shared" si="2"/>
        <v>1</v>
      </c>
      <c r="N189" s="99">
        <f t="shared" si="3"/>
        <v>1</v>
      </c>
      <c r="O189" s="84"/>
      <c r="P189" s="84"/>
      <c r="Q189" s="84"/>
      <c r="R189" s="84"/>
      <c r="S189" s="84"/>
      <c r="T189" s="84"/>
      <c r="U189" s="84"/>
      <c r="V189" s="84"/>
    </row>
    <row r="190" ht="15.75" customHeight="1">
      <c r="A190" s="224">
        <v>1.2027001E7</v>
      </c>
      <c r="B190" s="224" t="str">
        <f t="shared" si="1"/>
        <v>12027</v>
      </c>
      <c r="C190" s="224" t="s">
        <v>3795</v>
      </c>
      <c r="D190" s="59"/>
      <c r="E190" s="59"/>
      <c r="F190" s="126"/>
      <c r="G190" s="126"/>
      <c r="H190" s="125"/>
      <c r="I190" s="125"/>
      <c r="J190" s="99"/>
      <c r="K190" s="99"/>
      <c r="L190" s="99"/>
      <c r="M190" s="99">
        <f t="shared" si="2"/>
        <v>1</v>
      </c>
      <c r="N190" s="99">
        <f t="shared" si="3"/>
        <v>1</v>
      </c>
      <c r="O190" s="84"/>
      <c r="P190" s="84"/>
      <c r="Q190" s="84"/>
      <c r="R190" s="84"/>
      <c r="S190" s="84"/>
      <c r="T190" s="84"/>
      <c r="U190" s="84"/>
      <c r="V190" s="84"/>
    </row>
    <row r="191" ht="15.75" customHeight="1">
      <c r="A191" s="224">
        <v>1.2027002E7</v>
      </c>
      <c r="B191" s="224" t="str">
        <f t="shared" si="1"/>
        <v>12027</v>
      </c>
      <c r="C191" s="224" t="s">
        <v>3796</v>
      </c>
      <c r="D191" s="59"/>
      <c r="E191" s="59"/>
      <c r="F191" s="126"/>
      <c r="G191" s="126"/>
      <c r="H191" s="125"/>
      <c r="I191" s="125"/>
      <c r="J191" s="99"/>
      <c r="K191" s="99"/>
      <c r="L191" s="99"/>
      <c r="M191" s="99">
        <f t="shared" si="2"/>
        <v>1</v>
      </c>
      <c r="N191" s="99">
        <f t="shared" si="3"/>
        <v>1</v>
      </c>
      <c r="O191" s="84"/>
      <c r="P191" s="84"/>
      <c r="Q191" s="84"/>
      <c r="R191" s="84"/>
      <c r="S191" s="84"/>
      <c r="T191" s="84"/>
      <c r="U191" s="84"/>
      <c r="V191" s="84"/>
    </row>
    <row r="192" ht="15.75" customHeight="1">
      <c r="A192" s="224">
        <v>1.2027003E7</v>
      </c>
      <c r="B192" s="224" t="str">
        <f t="shared" si="1"/>
        <v>12027</v>
      </c>
      <c r="C192" s="224" t="s">
        <v>3797</v>
      </c>
      <c r="D192" s="59"/>
      <c r="E192" s="59"/>
      <c r="F192" s="126"/>
      <c r="G192" s="126"/>
      <c r="H192" s="125"/>
      <c r="I192" s="125"/>
      <c r="J192" s="99"/>
      <c r="K192" s="99"/>
      <c r="L192" s="99"/>
      <c r="M192" s="99">
        <f t="shared" si="2"/>
        <v>1</v>
      </c>
      <c r="N192" s="99">
        <f t="shared" si="3"/>
        <v>1</v>
      </c>
      <c r="O192" s="84"/>
      <c r="P192" s="84"/>
      <c r="Q192" s="84"/>
      <c r="R192" s="84"/>
      <c r="S192" s="84"/>
      <c r="T192" s="84"/>
      <c r="U192" s="84"/>
      <c r="V192" s="84"/>
    </row>
    <row r="193" ht="15.75" customHeight="1">
      <c r="A193" s="224">
        <v>1.2027004E7</v>
      </c>
      <c r="B193" s="224" t="str">
        <f t="shared" si="1"/>
        <v>12027</v>
      </c>
      <c r="C193" s="224" t="s">
        <v>3798</v>
      </c>
      <c r="D193" s="59"/>
      <c r="E193" s="59"/>
      <c r="F193" s="126"/>
      <c r="G193" s="126"/>
      <c r="H193" s="125"/>
      <c r="I193" s="125"/>
      <c r="J193" s="99"/>
      <c r="K193" s="99"/>
      <c r="L193" s="99"/>
      <c r="M193" s="99">
        <f t="shared" si="2"/>
        <v>1</v>
      </c>
      <c r="N193" s="99">
        <f t="shared" si="3"/>
        <v>1</v>
      </c>
      <c r="O193" s="84"/>
      <c r="P193" s="84"/>
      <c r="Q193" s="84"/>
      <c r="R193" s="84"/>
      <c r="S193" s="84"/>
      <c r="T193" s="84"/>
      <c r="U193" s="84"/>
      <c r="V193" s="84"/>
    </row>
    <row r="194" ht="15.75" customHeight="1">
      <c r="A194" s="224">
        <v>1.2027005E7</v>
      </c>
      <c r="B194" s="224" t="str">
        <f t="shared" si="1"/>
        <v>12027</v>
      </c>
      <c r="C194" s="224" t="s">
        <v>3799</v>
      </c>
      <c r="D194" s="73"/>
      <c r="E194" s="73"/>
      <c r="F194" s="126"/>
      <c r="G194" s="126"/>
      <c r="H194" s="125"/>
      <c r="I194" s="125"/>
      <c r="J194" s="99"/>
      <c r="K194" s="99"/>
      <c r="L194" s="99"/>
      <c r="M194" s="99">
        <f t="shared" si="2"/>
        <v>1</v>
      </c>
      <c r="N194" s="99">
        <f t="shared" si="3"/>
        <v>1</v>
      </c>
      <c r="O194" s="84"/>
      <c r="P194" s="84"/>
      <c r="Q194" s="84"/>
      <c r="R194" s="84"/>
      <c r="S194" s="84"/>
      <c r="T194" s="84"/>
      <c r="U194" s="84"/>
      <c r="V194" s="84"/>
    </row>
    <row r="195" ht="15.75" customHeight="1">
      <c r="A195" s="227">
        <v>1.20271E7</v>
      </c>
      <c r="B195" s="227" t="str">
        <f t="shared" si="1"/>
        <v>12027</v>
      </c>
      <c r="C195" s="227" t="s">
        <v>3800</v>
      </c>
      <c r="D195" s="225" t="s">
        <v>3794</v>
      </c>
      <c r="E195" s="226">
        <v>8.0</v>
      </c>
      <c r="F195" s="126"/>
      <c r="G195" s="126"/>
      <c r="H195" s="125"/>
      <c r="I195" s="125"/>
      <c r="J195" s="99"/>
      <c r="K195" s="99"/>
      <c r="L195" s="99"/>
      <c r="M195" s="99">
        <f t="shared" si="2"/>
        <v>1</v>
      </c>
      <c r="N195" s="99">
        <f t="shared" si="3"/>
        <v>1</v>
      </c>
      <c r="O195" s="84"/>
      <c r="P195" s="84"/>
      <c r="Q195" s="84"/>
      <c r="R195" s="84"/>
      <c r="S195" s="84"/>
      <c r="T195" s="84"/>
      <c r="U195" s="84"/>
      <c r="V195" s="84"/>
    </row>
    <row r="196" ht="15.75" customHeight="1">
      <c r="A196" s="227">
        <v>1.2027101E7</v>
      </c>
      <c r="B196" s="227" t="str">
        <f t="shared" si="1"/>
        <v>12027</v>
      </c>
      <c r="C196" s="227" t="s">
        <v>3801</v>
      </c>
      <c r="D196" s="59"/>
      <c r="E196" s="59"/>
      <c r="F196" s="126"/>
      <c r="G196" s="126"/>
      <c r="H196" s="125"/>
      <c r="I196" s="125"/>
      <c r="J196" s="99"/>
      <c r="K196" s="99"/>
      <c r="L196" s="99"/>
      <c r="M196" s="99">
        <f t="shared" si="2"/>
        <v>1</v>
      </c>
      <c r="N196" s="99">
        <f t="shared" si="3"/>
        <v>1</v>
      </c>
      <c r="O196" s="84"/>
      <c r="P196" s="84"/>
      <c r="Q196" s="84"/>
      <c r="R196" s="84"/>
      <c r="S196" s="84"/>
      <c r="T196" s="84"/>
      <c r="U196" s="84"/>
      <c r="V196" s="84"/>
    </row>
    <row r="197" ht="15.75" customHeight="1">
      <c r="A197" s="227">
        <v>1.2027102E7</v>
      </c>
      <c r="B197" s="227" t="str">
        <f t="shared" si="1"/>
        <v>12027</v>
      </c>
      <c r="C197" s="227" t="s">
        <v>3802</v>
      </c>
      <c r="D197" s="59"/>
      <c r="E197" s="59"/>
      <c r="F197" s="126"/>
      <c r="G197" s="126"/>
      <c r="H197" s="125"/>
      <c r="I197" s="125"/>
      <c r="J197" s="99"/>
      <c r="K197" s="99"/>
      <c r="L197" s="99"/>
      <c r="M197" s="99">
        <f t="shared" si="2"/>
        <v>1</v>
      </c>
      <c r="N197" s="99">
        <f t="shared" si="3"/>
        <v>1</v>
      </c>
      <c r="O197" s="84"/>
      <c r="P197" s="84"/>
      <c r="Q197" s="84"/>
      <c r="R197" s="84"/>
      <c r="S197" s="84"/>
      <c r="T197" s="84"/>
      <c r="U197" s="84"/>
      <c r="V197" s="84"/>
    </row>
    <row r="198" ht="15.75" customHeight="1">
      <c r="A198" s="227">
        <v>1.2027103E7</v>
      </c>
      <c r="B198" s="227" t="str">
        <f t="shared" si="1"/>
        <v>12027</v>
      </c>
      <c r="C198" s="227" t="s">
        <v>3803</v>
      </c>
      <c r="D198" s="59"/>
      <c r="E198" s="59"/>
      <c r="F198" s="126"/>
      <c r="G198" s="126"/>
      <c r="H198" s="125"/>
      <c r="I198" s="125"/>
      <c r="J198" s="99"/>
      <c r="K198" s="99"/>
      <c r="L198" s="99"/>
      <c r="M198" s="99">
        <f t="shared" si="2"/>
        <v>1</v>
      </c>
      <c r="N198" s="99">
        <f t="shared" si="3"/>
        <v>1</v>
      </c>
      <c r="O198" s="84"/>
      <c r="P198" s="84"/>
      <c r="Q198" s="84"/>
      <c r="R198" s="84"/>
      <c r="S198" s="84"/>
      <c r="T198" s="84"/>
      <c r="U198" s="84"/>
      <c r="V198" s="84"/>
    </row>
    <row r="199" ht="15.75" customHeight="1">
      <c r="A199" s="227">
        <v>1.2027104E7</v>
      </c>
      <c r="B199" s="227" t="str">
        <f t="shared" si="1"/>
        <v>12027</v>
      </c>
      <c r="C199" s="227" t="s">
        <v>3804</v>
      </c>
      <c r="D199" s="59"/>
      <c r="E199" s="59"/>
      <c r="F199" s="126"/>
      <c r="G199" s="126"/>
      <c r="H199" s="125"/>
      <c r="I199" s="125"/>
      <c r="J199" s="99"/>
      <c r="K199" s="99"/>
      <c r="L199" s="99"/>
      <c r="M199" s="99">
        <f t="shared" si="2"/>
        <v>1</v>
      </c>
      <c r="N199" s="99">
        <f t="shared" si="3"/>
        <v>1</v>
      </c>
      <c r="O199" s="84"/>
      <c r="P199" s="84"/>
      <c r="Q199" s="84"/>
      <c r="R199" s="84"/>
      <c r="S199" s="84"/>
      <c r="T199" s="84"/>
      <c r="U199" s="84"/>
      <c r="V199" s="84"/>
    </row>
    <row r="200" ht="15.75" customHeight="1">
      <c r="A200" s="227">
        <v>1.2027105E7</v>
      </c>
      <c r="B200" s="227" t="str">
        <f t="shared" si="1"/>
        <v>12027</v>
      </c>
      <c r="C200" s="227" t="s">
        <v>3805</v>
      </c>
      <c r="D200" s="73"/>
      <c r="E200" s="73"/>
      <c r="F200" s="126"/>
      <c r="G200" s="126"/>
      <c r="H200" s="125"/>
      <c r="I200" s="125"/>
      <c r="J200" s="99"/>
      <c r="K200" s="99"/>
      <c r="L200" s="99"/>
      <c r="M200" s="99">
        <f t="shared" si="2"/>
        <v>1</v>
      </c>
      <c r="N200" s="99">
        <f t="shared" si="3"/>
        <v>1</v>
      </c>
      <c r="O200" s="84"/>
      <c r="P200" s="84"/>
      <c r="Q200" s="84"/>
      <c r="R200" s="84"/>
      <c r="S200" s="84"/>
      <c r="T200" s="84"/>
      <c r="U200" s="84"/>
      <c r="V200" s="84"/>
    </row>
    <row r="201" ht="15.75" customHeight="1">
      <c r="A201" s="224">
        <v>1.2028E7</v>
      </c>
      <c r="B201" s="224" t="str">
        <f t="shared" si="1"/>
        <v>12028</v>
      </c>
      <c r="C201" s="224" t="s">
        <v>3806</v>
      </c>
      <c r="D201" s="228" t="s">
        <v>3807</v>
      </c>
      <c r="E201" s="210">
        <v>8.0</v>
      </c>
      <c r="F201" s="126"/>
      <c r="G201" s="126"/>
      <c r="H201" s="125"/>
      <c r="I201" s="125"/>
      <c r="J201" s="99"/>
      <c r="K201" s="99"/>
      <c r="L201" s="99"/>
      <c r="M201" s="99">
        <f t="shared" si="2"/>
        <v>1</v>
      </c>
      <c r="N201" s="99">
        <f t="shared" si="3"/>
        <v>1</v>
      </c>
      <c r="O201" s="84"/>
      <c r="P201" s="84"/>
      <c r="Q201" s="84"/>
      <c r="R201" s="84"/>
      <c r="S201" s="84"/>
      <c r="T201" s="84"/>
      <c r="U201" s="84"/>
      <c r="V201" s="84"/>
    </row>
    <row r="202" ht="15.75" customHeight="1">
      <c r="A202" s="227">
        <v>1.20281E7</v>
      </c>
      <c r="B202" s="227" t="str">
        <f t="shared" si="1"/>
        <v>12028</v>
      </c>
      <c r="C202" s="227" t="s">
        <v>3808</v>
      </c>
      <c r="D202" s="228" t="s">
        <v>3807</v>
      </c>
      <c r="E202" s="210">
        <v>8.0</v>
      </c>
      <c r="F202" s="126"/>
      <c r="G202" s="126"/>
      <c r="H202" s="125"/>
      <c r="I202" s="125"/>
      <c r="J202" s="99"/>
      <c r="K202" s="99"/>
      <c r="L202" s="99"/>
      <c r="M202" s="99">
        <f t="shared" si="2"/>
        <v>1</v>
      </c>
      <c r="N202" s="99">
        <f t="shared" si="3"/>
        <v>1</v>
      </c>
      <c r="O202" s="84"/>
      <c r="P202" s="84"/>
      <c r="Q202" s="84"/>
      <c r="R202" s="84"/>
      <c r="S202" s="84"/>
      <c r="T202" s="84"/>
      <c r="U202" s="84"/>
      <c r="V202" s="84"/>
    </row>
    <row r="203" ht="15.75" customHeight="1">
      <c r="A203" s="224">
        <v>1.2033E7</v>
      </c>
      <c r="B203" s="224" t="str">
        <f t="shared" si="1"/>
        <v>12033</v>
      </c>
      <c r="C203" s="224" t="s">
        <v>3809</v>
      </c>
      <c r="D203" s="225" t="s">
        <v>3810</v>
      </c>
      <c r="E203" s="226">
        <v>8.0</v>
      </c>
      <c r="F203" s="126"/>
      <c r="G203" s="126"/>
      <c r="H203" s="125"/>
      <c r="I203" s="125"/>
      <c r="J203" s="99"/>
      <c r="K203" s="99"/>
      <c r="L203" s="99"/>
      <c r="M203" s="99">
        <f t="shared" si="2"/>
        <v>1</v>
      </c>
      <c r="N203" s="99">
        <f t="shared" si="3"/>
        <v>1</v>
      </c>
      <c r="O203" s="84"/>
      <c r="P203" s="84"/>
      <c r="Q203" s="84"/>
      <c r="R203" s="84"/>
      <c r="S203" s="84"/>
      <c r="T203" s="84"/>
      <c r="U203" s="84"/>
      <c r="V203" s="84"/>
    </row>
    <row r="204" ht="15.75" customHeight="1">
      <c r="A204" s="224">
        <v>1.2033001E7</v>
      </c>
      <c r="B204" s="224" t="str">
        <f t="shared" si="1"/>
        <v>12033</v>
      </c>
      <c r="C204" s="224" t="s">
        <v>3811</v>
      </c>
      <c r="D204" s="59"/>
      <c r="E204" s="59"/>
      <c r="F204" s="126"/>
      <c r="G204" s="126"/>
      <c r="H204" s="125"/>
      <c r="I204" s="125"/>
      <c r="J204" s="99"/>
      <c r="K204" s="99"/>
      <c r="L204" s="99"/>
      <c r="M204" s="99">
        <f t="shared" si="2"/>
        <v>1</v>
      </c>
      <c r="N204" s="99">
        <f t="shared" si="3"/>
        <v>1</v>
      </c>
      <c r="O204" s="84"/>
      <c r="P204" s="84"/>
      <c r="Q204" s="84"/>
      <c r="R204" s="84"/>
      <c r="S204" s="84"/>
      <c r="T204" s="84"/>
      <c r="U204" s="84"/>
      <c r="V204" s="84"/>
    </row>
    <row r="205" ht="15.75" customHeight="1">
      <c r="A205" s="224">
        <v>1.2033002E7</v>
      </c>
      <c r="B205" s="224" t="str">
        <f t="shared" si="1"/>
        <v>12033</v>
      </c>
      <c r="C205" s="224" t="s">
        <v>3812</v>
      </c>
      <c r="D205" s="59"/>
      <c r="E205" s="59"/>
      <c r="F205" s="126"/>
      <c r="G205" s="126"/>
      <c r="H205" s="125"/>
      <c r="I205" s="125"/>
      <c r="J205" s="99"/>
      <c r="K205" s="99"/>
      <c r="L205" s="99"/>
      <c r="M205" s="99">
        <f t="shared" si="2"/>
        <v>1</v>
      </c>
      <c r="N205" s="99">
        <f t="shared" si="3"/>
        <v>1</v>
      </c>
      <c r="O205" s="84"/>
      <c r="P205" s="84"/>
      <c r="Q205" s="84"/>
      <c r="R205" s="84"/>
      <c r="S205" s="84"/>
      <c r="T205" s="84"/>
      <c r="U205" s="84"/>
      <c r="V205" s="84"/>
    </row>
    <row r="206" ht="15.75" customHeight="1">
      <c r="A206" s="224">
        <v>1.2033003E7</v>
      </c>
      <c r="B206" s="224" t="str">
        <f t="shared" si="1"/>
        <v>12033</v>
      </c>
      <c r="C206" s="224" t="s">
        <v>3813</v>
      </c>
      <c r="D206" s="73"/>
      <c r="E206" s="73"/>
      <c r="F206" s="126"/>
      <c r="G206" s="126"/>
      <c r="H206" s="125"/>
      <c r="I206" s="125"/>
      <c r="J206" s="99"/>
      <c r="K206" s="99"/>
      <c r="L206" s="99"/>
      <c r="M206" s="99">
        <f t="shared" si="2"/>
        <v>1</v>
      </c>
      <c r="N206" s="99">
        <f t="shared" si="3"/>
        <v>1</v>
      </c>
      <c r="O206" s="84"/>
      <c r="P206" s="84"/>
      <c r="Q206" s="84"/>
      <c r="R206" s="84"/>
      <c r="S206" s="84"/>
      <c r="T206" s="84"/>
      <c r="U206" s="84"/>
      <c r="V206" s="84"/>
    </row>
    <row r="207" ht="15.75" customHeight="1">
      <c r="A207" s="227">
        <v>1.20331E7</v>
      </c>
      <c r="B207" s="227" t="str">
        <f t="shared" si="1"/>
        <v>12033</v>
      </c>
      <c r="C207" s="227" t="s">
        <v>3814</v>
      </c>
      <c r="D207" s="225" t="s">
        <v>3810</v>
      </c>
      <c r="E207" s="226">
        <v>8.0</v>
      </c>
      <c r="F207" s="126"/>
      <c r="G207" s="126"/>
      <c r="H207" s="125"/>
      <c r="I207" s="125"/>
      <c r="J207" s="99"/>
      <c r="K207" s="99"/>
      <c r="L207" s="99"/>
      <c r="M207" s="99">
        <f t="shared" si="2"/>
        <v>1</v>
      </c>
      <c r="N207" s="99">
        <f t="shared" si="3"/>
        <v>1</v>
      </c>
      <c r="O207" s="84"/>
      <c r="P207" s="84"/>
      <c r="Q207" s="84"/>
      <c r="R207" s="84"/>
      <c r="S207" s="84"/>
      <c r="T207" s="84"/>
      <c r="U207" s="84"/>
      <c r="V207" s="84"/>
    </row>
    <row r="208" ht="15.75" customHeight="1">
      <c r="A208" s="227">
        <v>1.2033101E7</v>
      </c>
      <c r="B208" s="227" t="str">
        <f t="shared" si="1"/>
        <v>12033</v>
      </c>
      <c r="C208" s="227" t="s">
        <v>3815</v>
      </c>
      <c r="D208" s="59"/>
      <c r="E208" s="59"/>
      <c r="F208" s="126"/>
      <c r="G208" s="126"/>
      <c r="H208" s="125"/>
      <c r="I208" s="125"/>
      <c r="J208" s="99"/>
      <c r="K208" s="99"/>
      <c r="L208" s="99"/>
      <c r="M208" s="99">
        <f t="shared" si="2"/>
        <v>1</v>
      </c>
      <c r="N208" s="99">
        <f t="shared" si="3"/>
        <v>1</v>
      </c>
      <c r="O208" s="84"/>
      <c r="P208" s="84"/>
      <c r="Q208" s="84"/>
      <c r="R208" s="84"/>
      <c r="S208" s="84"/>
      <c r="T208" s="84"/>
      <c r="U208" s="84"/>
      <c r="V208" s="84"/>
    </row>
    <row r="209" ht="15.75" customHeight="1">
      <c r="A209" s="227">
        <v>1.2033102E7</v>
      </c>
      <c r="B209" s="227" t="str">
        <f t="shared" si="1"/>
        <v>12033</v>
      </c>
      <c r="C209" s="227" t="s">
        <v>3816</v>
      </c>
      <c r="D209" s="59"/>
      <c r="E209" s="59"/>
      <c r="F209" s="126"/>
      <c r="G209" s="126"/>
      <c r="H209" s="125"/>
      <c r="I209" s="125"/>
      <c r="J209" s="99"/>
      <c r="K209" s="99"/>
      <c r="L209" s="99"/>
      <c r="M209" s="99">
        <f t="shared" si="2"/>
        <v>1</v>
      </c>
      <c r="N209" s="99">
        <f t="shared" si="3"/>
        <v>1</v>
      </c>
      <c r="O209" s="84"/>
      <c r="P209" s="84"/>
      <c r="Q209" s="84"/>
      <c r="R209" s="84"/>
      <c r="S209" s="84"/>
      <c r="T209" s="84"/>
      <c r="U209" s="84"/>
      <c r="V209" s="84"/>
    </row>
    <row r="210" ht="15.75" customHeight="1">
      <c r="A210" s="227">
        <v>1.2033103E7</v>
      </c>
      <c r="B210" s="227" t="str">
        <f t="shared" si="1"/>
        <v>12033</v>
      </c>
      <c r="C210" s="227" t="s">
        <v>3817</v>
      </c>
      <c r="D210" s="59"/>
      <c r="E210" s="59"/>
      <c r="F210" s="126"/>
      <c r="G210" s="126"/>
      <c r="H210" s="125"/>
      <c r="I210" s="125"/>
      <c r="J210" s="99"/>
      <c r="K210" s="99"/>
      <c r="L210" s="99"/>
      <c r="M210" s="99">
        <f t="shared" si="2"/>
        <v>1</v>
      </c>
      <c r="N210" s="99">
        <f t="shared" si="3"/>
        <v>1</v>
      </c>
      <c r="O210" s="84"/>
      <c r="P210" s="84"/>
      <c r="Q210" s="84"/>
      <c r="R210" s="84"/>
      <c r="S210" s="84"/>
      <c r="T210" s="84"/>
      <c r="U210" s="84"/>
      <c r="V210" s="84"/>
    </row>
    <row r="211" ht="15.75" customHeight="1">
      <c r="A211" s="227">
        <v>1.203311E7</v>
      </c>
      <c r="B211" s="227" t="str">
        <f t="shared" si="1"/>
        <v>12033</v>
      </c>
      <c r="C211" s="227" t="s">
        <v>3818</v>
      </c>
      <c r="D211" s="59"/>
      <c r="E211" s="59"/>
      <c r="F211" s="126"/>
      <c r="G211" s="126"/>
      <c r="H211" s="125"/>
      <c r="I211" s="125"/>
      <c r="J211" s="99"/>
      <c r="K211" s="99"/>
      <c r="L211" s="99"/>
      <c r="M211" s="99">
        <f t="shared" si="2"/>
        <v>1</v>
      </c>
      <c r="N211" s="99">
        <f t="shared" si="3"/>
        <v>1</v>
      </c>
      <c r="O211" s="84"/>
      <c r="P211" s="84"/>
      <c r="Q211" s="84"/>
      <c r="R211" s="84"/>
      <c r="S211" s="84"/>
      <c r="T211" s="84"/>
      <c r="U211" s="84"/>
      <c r="V211" s="84"/>
    </row>
    <row r="212" ht="15.75" customHeight="1">
      <c r="A212" s="227">
        <v>1.2033111E7</v>
      </c>
      <c r="B212" s="227" t="str">
        <f t="shared" si="1"/>
        <v>12033</v>
      </c>
      <c r="C212" s="227" t="s">
        <v>3819</v>
      </c>
      <c r="D212" s="59"/>
      <c r="E212" s="59"/>
      <c r="F212" s="126"/>
      <c r="G212" s="126"/>
      <c r="H212" s="125"/>
      <c r="I212" s="125"/>
      <c r="J212" s="99"/>
      <c r="K212" s="99"/>
      <c r="L212" s="99"/>
      <c r="M212" s="99">
        <f t="shared" si="2"/>
        <v>1</v>
      </c>
      <c r="N212" s="99">
        <f t="shared" si="3"/>
        <v>1</v>
      </c>
      <c r="O212" s="84"/>
      <c r="P212" s="84"/>
      <c r="Q212" s="84"/>
      <c r="R212" s="84"/>
      <c r="S212" s="84"/>
      <c r="T212" s="84"/>
      <c r="U212" s="84"/>
      <c r="V212" s="84"/>
    </row>
    <row r="213" ht="15.75" customHeight="1">
      <c r="A213" s="227">
        <v>1.2033112E7</v>
      </c>
      <c r="B213" s="227" t="str">
        <f t="shared" si="1"/>
        <v>12033</v>
      </c>
      <c r="C213" s="227" t="s">
        <v>3820</v>
      </c>
      <c r="D213" s="59"/>
      <c r="E213" s="59"/>
      <c r="F213" s="126"/>
      <c r="G213" s="126"/>
      <c r="H213" s="125"/>
      <c r="I213" s="125"/>
      <c r="J213" s="99"/>
      <c r="K213" s="99"/>
      <c r="L213" s="99"/>
      <c r="M213" s="99">
        <f t="shared" si="2"/>
        <v>1</v>
      </c>
      <c r="N213" s="99">
        <f t="shared" si="3"/>
        <v>1</v>
      </c>
      <c r="O213" s="84"/>
      <c r="P213" s="84"/>
      <c r="Q213" s="84"/>
      <c r="R213" s="84"/>
      <c r="S213" s="84"/>
      <c r="T213" s="84"/>
      <c r="U213" s="84"/>
      <c r="V213" s="84"/>
    </row>
    <row r="214" ht="15.75" customHeight="1">
      <c r="A214" s="227">
        <v>1.2033113E7</v>
      </c>
      <c r="B214" s="227" t="str">
        <f t="shared" si="1"/>
        <v>12033</v>
      </c>
      <c r="C214" s="227" t="s">
        <v>3821</v>
      </c>
      <c r="D214" s="59"/>
      <c r="E214" s="59"/>
      <c r="F214" s="126"/>
      <c r="G214" s="126"/>
      <c r="H214" s="125"/>
      <c r="I214" s="125"/>
      <c r="J214" s="99"/>
      <c r="K214" s="99"/>
      <c r="L214" s="99"/>
      <c r="M214" s="99">
        <f t="shared" si="2"/>
        <v>1</v>
      </c>
      <c r="N214" s="99">
        <f t="shared" si="3"/>
        <v>1</v>
      </c>
      <c r="O214" s="84"/>
      <c r="P214" s="84"/>
      <c r="Q214" s="84"/>
      <c r="R214" s="84"/>
      <c r="S214" s="84"/>
      <c r="T214" s="84"/>
      <c r="U214" s="84"/>
      <c r="V214" s="84"/>
    </row>
    <row r="215" ht="15.75" customHeight="1">
      <c r="A215" s="227">
        <v>1.203312E7</v>
      </c>
      <c r="B215" s="227" t="str">
        <f t="shared" si="1"/>
        <v>12033</v>
      </c>
      <c r="C215" s="227" t="s">
        <v>3822</v>
      </c>
      <c r="D215" s="59"/>
      <c r="E215" s="59"/>
      <c r="F215" s="126"/>
      <c r="G215" s="126"/>
      <c r="H215" s="125"/>
      <c r="I215" s="125"/>
      <c r="J215" s="99"/>
      <c r="K215" s="99"/>
      <c r="L215" s="99"/>
      <c r="M215" s="99">
        <f t="shared" si="2"/>
        <v>1</v>
      </c>
      <c r="N215" s="99">
        <f t="shared" si="3"/>
        <v>1</v>
      </c>
      <c r="O215" s="84"/>
      <c r="P215" s="84"/>
      <c r="Q215" s="84"/>
      <c r="R215" s="84"/>
      <c r="S215" s="84"/>
      <c r="T215" s="84"/>
      <c r="U215" s="84"/>
      <c r="V215" s="84"/>
    </row>
    <row r="216" ht="15.75" customHeight="1">
      <c r="A216" s="227">
        <v>1.2033121E7</v>
      </c>
      <c r="B216" s="227" t="str">
        <f t="shared" si="1"/>
        <v>12033</v>
      </c>
      <c r="C216" s="227" t="s">
        <v>3823</v>
      </c>
      <c r="D216" s="59"/>
      <c r="E216" s="59"/>
      <c r="F216" s="126"/>
      <c r="G216" s="126"/>
      <c r="H216" s="125"/>
      <c r="I216" s="125"/>
      <c r="J216" s="99"/>
      <c r="K216" s="99"/>
      <c r="L216" s="99"/>
      <c r="M216" s="99">
        <f t="shared" si="2"/>
        <v>1</v>
      </c>
      <c r="N216" s="99">
        <f t="shared" si="3"/>
        <v>1</v>
      </c>
      <c r="O216" s="84"/>
      <c r="P216" s="84"/>
      <c r="Q216" s="84"/>
      <c r="R216" s="84"/>
      <c r="S216" s="84"/>
      <c r="T216" s="84"/>
      <c r="U216" s="84"/>
      <c r="V216" s="84"/>
    </row>
    <row r="217" ht="15.75" customHeight="1">
      <c r="A217" s="227">
        <v>1.2033122E7</v>
      </c>
      <c r="B217" s="227" t="str">
        <f t="shared" si="1"/>
        <v>12033</v>
      </c>
      <c r="C217" s="227" t="s">
        <v>3824</v>
      </c>
      <c r="D217" s="59"/>
      <c r="E217" s="59"/>
      <c r="F217" s="126"/>
      <c r="G217" s="126"/>
      <c r="H217" s="125"/>
      <c r="I217" s="125"/>
      <c r="J217" s="99"/>
      <c r="K217" s="99"/>
      <c r="L217" s="99"/>
      <c r="M217" s="99">
        <f t="shared" si="2"/>
        <v>1</v>
      </c>
      <c r="N217" s="99">
        <f t="shared" si="3"/>
        <v>1</v>
      </c>
      <c r="O217" s="84"/>
      <c r="P217" s="84"/>
      <c r="Q217" s="84"/>
      <c r="R217" s="84"/>
      <c r="S217" s="84"/>
      <c r="T217" s="84"/>
      <c r="U217" s="84"/>
      <c r="V217" s="84"/>
    </row>
    <row r="218" ht="15.75" customHeight="1">
      <c r="A218" s="227">
        <v>1.2033123E7</v>
      </c>
      <c r="B218" s="227" t="str">
        <f t="shared" si="1"/>
        <v>12033</v>
      </c>
      <c r="C218" s="227" t="s">
        <v>3825</v>
      </c>
      <c r="D218" s="59"/>
      <c r="E218" s="59"/>
      <c r="F218" s="126"/>
      <c r="G218" s="126"/>
      <c r="H218" s="125"/>
      <c r="I218" s="125"/>
      <c r="J218" s="99"/>
      <c r="K218" s="99"/>
      <c r="L218" s="99"/>
      <c r="M218" s="99">
        <f t="shared" si="2"/>
        <v>1</v>
      </c>
      <c r="N218" s="99">
        <f t="shared" si="3"/>
        <v>1</v>
      </c>
      <c r="O218" s="84"/>
      <c r="P218" s="84"/>
      <c r="Q218" s="84"/>
      <c r="R218" s="84"/>
      <c r="S218" s="84"/>
      <c r="T218" s="84"/>
      <c r="U218" s="84"/>
      <c r="V218" s="84"/>
    </row>
    <row r="219" ht="15.75" customHeight="1">
      <c r="A219" s="227">
        <v>1.203313E7</v>
      </c>
      <c r="B219" s="227" t="str">
        <f t="shared" si="1"/>
        <v>12033</v>
      </c>
      <c r="C219" s="227" t="s">
        <v>3826</v>
      </c>
      <c r="D219" s="59"/>
      <c r="E219" s="59"/>
      <c r="F219" s="126"/>
      <c r="G219" s="126"/>
      <c r="H219" s="125"/>
      <c r="I219" s="125"/>
      <c r="J219" s="99"/>
      <c r="K219" s="99"/>
      <c r="L219" s="99"/>
      <c r="M219" s="99">
        <f t="shared" si="2"/>
        <v>1</v>
      </c>
      <c r="N219" s="99">
        <f t="shared" si="3"/>
        <v>1</v>
      </c>
      <c r="O219" s="84"/>
      <c r="P219" s="84"/>
      <c r="Q219" s="84"/>
      <c r="R219" s="84"/>
      <c r="S219" s="84"/>
      <c r="T219" s="84"/>
      <c r="U219" s="84"/>
      <c r="V219" s="84"/>
    </row>
    <row r="220" ht="15.75" customHeight="1">
      <c r="A220" s="227">
        <v>1.2033131E7</v>
      </c>
      <c r="B220" s="227" t="str">
        <f t="shared" si="1"/>
        <v>12033</v>
      </c>
      <c r="C220" s="227" t="s">
        <v>3827</v>
      </c>
      <c r="D220" s="59"/>
      <c r="E220" s="59"/>
      <c r="F220" s="126"/>
      <c r="G220" s="126"/>
      <c r="H220" s="125"/>
      <c r="I220" s="125"/>
      <c r="J220" s="99"/>
      <c r="K220" s="99"/>
      <c r="L220" s="99"/>
      <c r="M220" s="99">
        <f t="shared" si="2"/>
        <v>1</v>
      </c>
      <c r="N220" s="99">
        <f t="shared" si="3"/>
        <v>1</v>
      </c>
      <c r="O220" s="84"/>
      <c r="P220" s="84"/>
      <c r="Q220" s="84"/>
      <c r="R220" s="84"/>
      <c r="S220" s="84"/>
      <c r="T220" s="84"/>
      <c r="U220" s="84"/>
      <c r="V220" s="84"/>
    </row>
    <row r="221" ht="15.75" customHeight="1">
      <c r="A221" s="227">
        <v>1.2033132E7</v>
      </c>
      <c r="B221" s="227" t="str">
        <f t="shared" si="1"/>
        <v>12033</v>
      </c>
      <c r="C221" s="227" t="s">
        <v>3828</v>
      </c>
      <c r="D221" s="59"/>
      <c r="E221" s="59"/>
      <c r="F221" s="126"/>
      <c r="G221" s="126"/>
      <c r="H221" s="125"/>
      <c r="I221" s="125"/>
      <c r="J221" s="99"/>
      <c r="K221" s="99"/>
      <c r="L221" s="99"/>
      <c r="M221" s="99">
        <f t="shared" si="2"/>
        <v>1</v>
      </c>
      <c r="N221" s="99">
        <f t="shared" si="3"/>
        <v>1</v>
      </c>
      <c r="O221" s="84"/>
      <c r="P221" s="84"/>
      <c r="Q221" s="84"/>
      <c r="R221" s="84"/>
      <c r="S221" s="84"/>
      <c r="T221" s="84"/>
      <c r="U221" s="84"/>
      <c r="V221" s="84"/>
    </row>
    <row r="222" ht="15.75" customHeight="1">
      <c r="A222" s="227">
        <v>1.2033133E7</v>
      </c>
      <c r="B222" s="227" t="str">
        <f t="shared" si="1"/>
        <v>12033</v>
      </c>
      <c r="C222" s="227" t="s">
        <v>3829</v>
      </c>
      <c r="D222" s="59"/>
      <c r="E222" s="59"/>
      <c r="F222" s="126"/>
      <c r="G222" s="126"/>
      <c r="H222" s="125"/>
      <c r="I222" s="125"/>
      <c r="J222" s="99"/>
      <c r="K222" s="99"/>
      <c r="L222" s="99"/>
      <c r="M222" s="99">
        <f t="shared" si="2"/>
        <v>1</v>
      </c>
      <c r="N222" s="99">
        <f t="shared" si="3"/>
        <v>1</v>
      </c>
      <c r="O222" s="84"/>
      <c r="P222" s="84"/>
      <c r="Q222" s="84"/>
      <c r="R222" s="84"/>
      <c r="S222" s="84"/>
      <c r="T222" s="84"/>
      <c r="U222" s="84"/>
      <c r="V222" s="84"/>
    </row>
    <row r="223" ht="15.75" customHeight="1">
      <c r="A223" s="227">
        <v>1.203314E7</v>
      </c>
      <c r="B223" s="227" t="str">
        <f t="shared" si="1"/>
        <v>12033</v>
      </c>
      <c r="C223" s="227" t="s">
        <v>3830</v>
      </c>
      <c r="D223" s="59"/>
      <c r="E223" s="59"/>
      <c r="F223" s="126"/>
      <c r="G223" s="126"/>
      <c r="H223" s="125"/>
      <c r="I223" s="125"/>
      <c r="J223" s="99"/>
      <c r="K223" s="99"/>
      <c r="L223" s="99"/>
      <c r="M223" s="99">
        <f t="shared" si="2"/>
        <v>1</v>
      </c>
      <c r="N223" s="99">
        <f t="shared" si="3"/>
        <v>1</v>
      </c>
      <c r="O223" s="84"/>
      <c r="P223" s="84"/>
      <c r="Q223" s="84"/>
      <c r="R223" s="84"/>
      <c r="S223" s="84"/>
      <c r="T223" s="84"/>
      <c r="U223" s="84"/>
      <c r="V223" s="84"/>
    </row>
    <row r="224" ht="15.75" customHeight="1">
      <c r="A224" s="227">
        <v>1.2033141E7</v>
      </c>
      <c r="B224" s="227" t="str">
        <f t="shared" si="1"/>
        <v>12033</v>
      </c>
      <c r="C224" s="227" t="s">
        <v>3831</v>
      </c>
      <c r="D224" s="59"/>
      <c r="E224" s="59"/>
      <c r="F224" s="126"/>
      <c r="G224" s="126"/>
      <c r="H224" s="125"/>
      <c r="I224" s="125"/>
      <c r="J224" s="99"/>
      <c r="K224" s="99"/>
      <c r="L224" s="99"/>
      <c r="M224" s="99">
        <f t="shared" si="2"/>
        <v>1</v>
      </c>
      <c r="N224" s="99">
        <f t="shared" si="3"/>
        <v>1</v>
      </c>
      <c r="O224" s="84"/>
      <c r="P224" s="84"/>
      <c r="Q224" s="84"/>
      <c r="R224" s="84"/>
      <c r="S224" s="84"/>
      <c r="T224" s="84"/>
      <c r="U224" s="84"/>
      <c r="V224" s="84"/>
    </row>
    <row r="225" ht="15.75" customHeight="1">
      <c r="A225" s="227">
        <v>1.2033142E7</v>
      </c>
      <c r="B225" s="227" t="str">
        <f t="shared" si="1"/>
        <v>12033</v>
      </c>
      <c r="C225" s="227" t="s">
        <v>3832</v>
      </c>
      <c r="D225" s="59"/>
      <c r="E225" s="59"/>
      <c r="F225" s="126"/>
      <c r="G225" s="126"/>
      <c r="H225" s="125"/>
      <c r="I225" s="125"/>
      <c r="J225" s="99"/>
      <c r="K225" s="99"/>
      <c r="L225" s="99"/>
      <c r="M225" s="99">
        <f t="shared" si="2"/>
        <v>1</v>
      </c>
      <c r="N225" s="99">
        <f t="shared" si="3"/>
        <v>1</v>
      </c>
      <c r="O225" s="84"/>
      <c r="P225" s="84"/>
      <c r="Q225" s="84"/>
      <c r="R225" s="84"/>
      <c r="S225" s="84"/>
      <c r="T225" s="84"/>
      <c r="U225" s="84"/>
      <c r="V225" s="84"/>
    </row>
    <row r="226" ht="15.75" customHeight="1">
      <c r="A226" s="227">
        <v>1.2033143E7</v>
      </c>
      <c r="B226" s="227" t="str">
        <f t="shared" si="1"/>
        <v>12033</v>
      </c>
      <c r="C226" s="227" t="s">
        <v>3833</v>
      </c>
      <c r="D226" s="73"/>
      <c r="E226" s="73"/>
      <c r="F226" s="126"/>
      <c r="G226" s="126"/>
      <c r="H226" s="125"/>
      <c r="I226" s="125"/>
      <c r="J226" s="99"/>
      <c r="K226" s="99"/>
      <c r="L226" s="99"/>
      <c r="M226" s="99">
        <f t="shared" si="2"/>
        <v>1</v>
      </c>
      <c r="N226" s="99">
        <f t="shared" si="3"/>
        <v>1</v>
      </c>
      <c r="O226" s="84"/>
      <c r="P226" s="84"/>
      <c r="Q226" s="84"/>
      <c r="R226" s="84"/>
      <c r="S226" s="84"/>
      <c r="T226" s="84"/>
      <c r="U226" s="84"/>
      <c r="V226" s="84"/>
    </row>
    <row r="227" ht="15.75" customHeight="1">
      <c r="A227" s="224">
        <v>1.2034E7</v>
      </c>
      <c r="B227" s="224" t="str">
        <f t="shared" si="1"/>
        <v>12034</v>
      </c>
      <c r="C227" s="224" t="s">
        <v>3834</v>
      </c>
      <c r="D227" s="225" t="s">
        <v>3835</v>
      </c>
      <c r="E227" s="226">
        <v>8.0</v>
      </c>
      <c r="F227" s="126"/>
      <c r="G227" s="126"/>
      <c r="H227" s="125"/>
      <c r="I227" s="125"/>
      <c r="J227" s="99"/>
      <c r="K227" s="99"/>
      <c r="L227" s="99"/>
      <c r="M227" s="99">
        <f t="shared" si="2"/>
        <v>1</v>
      </c>
      <c r="N227" s="99">
        <f t="shared" si="3"/>
        <v>1</v>
      </c>
      <c r="O227" s="84"/>
      <c r="P227" s="84"/>
      <c r="Q227" s="84"/>
      <c r="R227" s="84"/>
      <c r="S227" s="84"/>
      <c r="T227" s="84"/>
      <c r="U227" s="84"/>
      <c r="V227" s="84"/>
    </row>
    <row r="228" ht="15.75" customHeight="1">
      <c r="A228" s="224">
        <v>1.2034001E7</v>
      </c>
      <c r="B228" s="224" t="str">
        <f t="shared" si="1"/>
        <v>12034</v>
      </c>
      <c r="C228" s="224" t="s">
        <v>3836</v>
      </c>
      <c r="D228" s="59"/>
      <c r="E228" s="59"/>
      <c r="F228" s="126"/>
      <c r="G228" s="126"/>
      <c r="H228" s="125"/>
      <c r="I228" s="125"/>
      <c r="J228" s="99"/>
      <c r="K228" s="99"/>
      <c r="L228" s="99"/>
      <c r="M228" s="99">
        <f t="shared" si="2"/>
        <v>1</v>
      </c>
      <c r="N228" s="99">
        <f t="shared" si="3"/>
        <v>1</v>
      </c>
      <c r="O228" s="84"/>
      <c r="P228" s="84"/>
      <c r="Q228" s="84"/>
      <c r="R228" s="84"/>
      <c r="S228" s="84"/>
      <c r="T228" s="84"/>
      <c r="U228" s="84"/>
      <c r="V228" s="84"/>
    </row>
    <row r="229" ht="15.75" customHeight="1">
      <c r="A229" s="224">
        <v>1.2034002E7</v>
      </c>
      <c r="B229" s="224" t="str">
        <f t="shared" si="1"/>
        <v>12034</v>
      </c>
      <c r="C229" s="224" t="s">
        <v>3837</v>
      </c>
      <c r="D229" s="73"/>
      <c r="E229" s="73"/>
      <c r="F229" s="126"/>
      <c r="G229" s="126"/>
      <c r="H229" s="125"/>
      <c r="I229" s="125"/>
      <c r="J229" s="99"/>
      <c r="K229" s="99"/>
      <c r="L229" s="99"/>
      <c r="M229" s="99">
        <f t="shared" si="2"/>
        <v>1</v>
      </c>
      <c r="N229" s="99">
        <f t="shared" si="3"/>
        <v>1</v>
      </c>
      <c r="O229" s="84"/>
      <c r="P229" s="84"/>
      <c r="Q229" s="84"/>
      <c r="R229" s="84"/>
      <c r="S229" s="84"/>
      <c r="T229" s="84"/>
      <c r="U229" s="84"/>
      <c r="V229" s="84"/>
    </row>
    <row r="230" ht="15.75" customHeight="1">
      <c r="A230" s="227">
        <v>1.20341E7</v>
      </c>
      <c r="B230" s="227" t="str">
        <f t="shared" si="1"/>
        <v>12034</v>
      </c>
      <c r="C230" s="227" t="s">
        <v>3838</v>
      </c>
      <c r="D230" s="225" t="s">
        <v>3835</v>
      </c>
      <c r="E230" s="226">
        <v>8.0</v>
      </c>
      <c r="F230" s="126"/>
      <c r="G230" s="126"/>
      <c r="H230" s="125"/>
      <c r="I230" s="125"/>
      <c r="J230" s="99"/>
      <c r="K230" s="99"/>
      <c r="L230" s="99"/>
      <c r="M230" s="99">
        <f t="shared" si="2"/>
        <v>1</v>
      </c>
      <c r="N230" s="99">
        <f t="shared" si="3"/>
        <v>1</v>
      </c>
      <c r="O230" s="84"/>
      <c r="P230" s="84"/>
      <c r="Q230" s="84"/>
      <c r="R230" s="84"/>
      <c r="S230" s="84"/>
      <c r="T230" s="84"/>
      <c r="U230" s="84"/>
      <c r="V230" s="84"/>
    </row>
    <row r="231" ht="15.75" customHeight="1">
      <c r="A231" s="227">
        <v>1.2034101E7</v>
      </c>
      <c r="B231" s="227" t="str">
        <f t="shared" si="1"/>
        <v>12034</v>
      </c>
      <c r="C231" s="227" t="s">
        <v>3839</v>
      </c>
      <c r="D231" s="59"/>
      <c r="E231" s="59"/>
      <c r="F231" s="126"/>
      <c r="G231" s="126"/>
      <c r="H231" s="125"/>
      <c r="I231" s="125"/>
      <c r="J231" s="99"/>
      <c r="K231" s="99"/>
      <c r="L231" s="99"/>
      <c r="M231" s="99">
        <f t="shared" si="2"/>
        <v>1</v>
      </c>
      <c r="N231" s="99">
        <f t="shared" si="3"/>
        <v>1</v>
      </c>
      <c r="O231" s="84"/>
      <c r="P231" s="84"/>
      <c r="Q231" s="84"/>
      <c r="R231" s="84"/>
      <c r="S231" s="84"/>
      <c r="T231" s="84"/>
      <c r="U231" s="84"/>
      <c r="V231" s="84"/>
    </row>
    <row r="232" ht="15.75" customHeight="1">
      <c r="A232" s="227">
        <v>1.2034102E7</v>
      </c>
      <c r="B232" s="227" t="str">
        <f t="shared" si="1"/>
        <v>12034</v>
      </c>
      <c r="C232" s="227" t="s">
        <v>3840</v>
      </c>
      <c r="D232" s="73"/>
      <c r="E232" s="73"/>
      <c r="F232" s="126"/>
      <c r="G232" s="126"/>
      <c r="H232" s="125"/>
      <c r="I232" s="125"/>
      <c r="J232" s="99"/>
      <c r="K232" s="99"/>
      <c r="L232" s="99"/>
      <c r="M232" s="99">
        <f t="shared" si="2"/>
        <v>1</v>
      </c>
      <c r="N232" s="99">
        <f t="shared" si="3"/>
        <v>1</v>
      </c>
      <c r="O232" s="84"/>
      <c r="P232" s="84"/>
      <c r="Q232" s="84"/>
      <c r="R232" s="84"/>
      <c r="S232" s="84"/>
      <c r="T232" s="84"/>
      <c r="U232" s="84"/>
      <c r="V232" s="84"/>
    </row>
    <row r="233" ht="15.75" customHeight="1">
      <c r="A233" s="224">
        <v>1.2035E7</v>
      </c>
      <c r="B233" s="224" t="str">
        <f t="shared" si="1"/>
        <v>12035</v>
      </c>
      <c r="C233" s="224" t="s">
        <v>3841</v>
      </c>
      <c r="D233" s="225" t="s">
        <v>3842</v>
      </c>
      <c r="E233" s="226">
        <v>8.0</v>
      </c>
      <c r="F233" s="126"/>
      <c r="G233" s="126"/>
      <c r="H233" s="125"/>
      <c r="I233" s="125"/>
      <c r="J233" s="99"/>
      <c r="K233" s="99"/>
      <c r="L233" s="99"/>
      <c r="M233" s="99">
        <f t="shared" si="2"/>
        <v>1</v>
      </c>
      <c r="N233" s="99">
        <f t="shared" si="3"/>
        <v>1</v>
      </c>
      <c r="O233" s="84"/>
      <c r="P233" s="84"/>
      <c r="Q233" s="84"/>
      <c r="R233" s="84"/>
      <c r="S233" s="84"/>
      <c r="T233" s="84"/>
      <c r="U233" s="84"/>
      <c r="V233" s="84"/>
    </row>
    <row r="234" ht="15.75" customHeight="1">
      <c r="A234" s="224">
        <v>1.2035001E7</v>
      </c>
      <c r="B234" s="224" t="str">
        <f t="shared" si="1"/>
        <v>12035</v>
      </c>
      <c r="C234" s="224" t="s">
        <v>3843</v>
      </c>
      <c r="D234" s="59"/>
      <c r="E234" s="59"/>
      <c r="F234" s="126"/>
      <c r="G234" s="126"/>
      <c r="H234" s="125"/>
      <c r="I234" s="125"/>
      <c r="J234" s="99"/>
      <c r="K234" s="99"/>
      <c r="L234" s="99"/>
      <c r="M234" s="99">
        <f t="shared" si="2"/>
        <v>1</v>
      </c>
      <c r="N234" s="99">
        <f t="shared" si="3"/>
        <v>1</v>
      </c>
      <c r="O234" s="84"/>
      <c r="P234" s="84"/>
      <c r="Q234" s="84"/>
      <c r="R234" s="84"/>
      <c r="S234" s="84"/>
      <c r="T234" s="84"/>
      <c r="U234" s="84"/>
      <c r="V234" s="84"/>
    </row>
    <row r="235" ht="15.75" customHeight="1">
      <c r="A235" s="224">
        <v>1.2035002E7</v>
      </c>
      <c r="B235" s="224" t="str">
        <f t="shared" si="1"/>
        <v>12035</v>
      </c>
      <c r="C235" s="224" t="s">
        <v>3844</v>
      </c>
      <c r="D235" s="59"/>
      <c r="E235" s="59"/>
      <c r="F235" s="126"/>
      <c r="G235" s="126"/>
      <c r="H235" s="125"/>
      <c r="I235" s="125"/>
      <c r="J235" s="99"/>
      <c r="K235" s="99"/>
      <c r="L235" s="99"/>
      <c r="M235" s="99">
        <f t="shared" si="2"/>
        <v>1</v>
      </c>
      <c r="N235" s="99">
        <f t="shared" si="3"/>
        <v>1</v>
      </c>
      <c r="O235" s="84"/>
      <c r="P235" s="84"/>
      <c r="Q235" s="84"/>
      <c r="R235" s="84"/>
      <c r="S235" s="84"/>
      <c r="T235" s="84"/>
      <c r="U235" s="84"/>
      <c r="V235" s="84"/>
    </row>
    <row r="236" ht="15.75" customHeight="1">
      <c r="A236" s="224">
        <v>1.2035003E7</v>
      </c>
      <c r="B236" s="224" t="str">
        <f t="shared" si="1"/>
        <v>12035</v>
      </c>
      <c r="C236" s="224" t="s">
        <v>3845</v>
      </c>
      <c r="D236" s="59"/>
      <c r="E236" s="59"/>
      <c r="F236" s="126"/>
      <c r="G236" s="126"/>
      <c r="H236" s="125"/>
      <c r="I236" s="125"/>
      <c r="J236" s="99"/>
      <c r="K236" s="99"/>
      <c r="L236" s="99"/>
      <c r="M236" s="99">
        <f t="shared" si="2"/>
        <v>1</v>
      </c>
      <c r="N236" s="99">
        <f t="shared" si="3"/>
        <v>1</v>
      </c>
      <c r="O236" s="84"/>
      <c r="P236" s="84"/>
      <c r="Q236" s="84"/>
      <c r="R236" s="84"/>
      <c r="S236" s="84"/>
      <c r="T236" s="84"/>
      <c r="U236" s="84"/>
      <c r="V236" s="84"/>
    </row>
    <row r="237" ht="15.75" customHeight="1">
      <c r="A237" s="224">
        <v>1.2035004E7</v>
      </c>
      <c r="B237" s="224" t="str">
        <f t="shared" si="1"/>
        <v>12035</v>
      </c>
      <c r="C237" s="224" t="s">
        <v>3846</v>
      </c>
      <c r="D237" s="59"/>
      <c r="E237" s="59"/>
      <c r="F237" s="126"/>
      <c r="G237" s="126"/>
      <c r="H237" s="125"/>
      <c r="I237" s="125"/>
      <c r="J237" s="99"/>
      <c r="K237" s="99"/>
      <c r="L237" s="99"/>
      <c r="M237" s="99">
        <f t="shared" si="2"/>
        <v>1</v>
      </c>
      <c r="N237" s="99">
        <f t="shared" si="3"/>
        <v>1</v>
      </c>
      <c r="O237" s="84"/>
      <c r="P237" s="84"/>
      <c r="Q237" s="84"/>
      <c r="R237" s="84"/>
      <c r="S237" s="84"/>
      <c r="T237" s="84"/>
      <c r="U237" s="84"/>
      <c r="V237" s="84"/>
    </row>
    <row r="238" ht="15.75" customHeight="1">
      <c r="A238" s="224">
        <v>1.2035005E7</v>
      </c>
      <c r="B238" s="224" t="str">
        <f t="shared" si="1"/>
        <v>12035</v>
      </c>
      <c r="C238" s="224" t="s">
        <v>3847</v>
      </c>
      <c r="D238" s="73"/>
      <c r="E238" s="73"/>
      <c r="F238" s="126"/>
      <c r="G238" s="126"/>
      <c r="H238" s="125"/>
      <c r="I238" s="125"/>
      <c r="J238" s="99"/>
      <c r="K238" s="99"/>
      <c r="L238" s="99"/>
      <c r="M238" s="99">
        <f t="shared" si="2"/>
        <v>1</v>
      </c>
      <c r="N238" s="99">
        <f t="shared" si="3"/>
        <v>1</v>
      </c>
      <c r="O238" s="84"/>
      <c r="P238" s="84"/>
      <c r="Q238" s="84"/>
      <c r="R238" s="84"/>
      <c r="S238" s="84"/>
      <c r="T238" s="84"/>
      <c r="U238" s="84"/>
      <c r="V238" s="84"/>
    </row>
    <row r="239" ht="15.75" customHeight="1">
      <c r="A239" s="227">
        <v>1.20351E7</v>
      </c>
      <c r="B239" s="227" t="str">
        <f t="shared" si="1"/>
        <v>12035</v>
      </c>
      <c r="C239" s="227" t="s">
        <v>3848</v>
      </c>
      <c r="D239" s="225" t="s">
        <v>3842</v>
      </c>
      <c r="E239" s="226">
        <v>8.0</v>
      </c>
      <c r="F239" s="126"/>
      <c r="G239" s="126"/>
      <c r="H239" s="125"/>
      <c r="I239" s="125"/>
      <c r="J239" s="99"/>
      <c r="K239" s="99"/>
      <c r="L239" s="99"/>
      <c r="M239" s="99">
        <f t="shared" si="2"/>
        <v>1</v>
      </c>
      <c r="N239" s="99">
        <f t="shared" si="3"/>
        <v>1</v>
      </c>
      <c r="O239" s="84"/>
      <c r="P239" s="84"/>
      <c r="Q239" s="84"/>
      <c r="R239" s="84"/>
      <c r="S239" s="84"/>
      <c r="T239" s="84"/>
      <c r="U239" s="84"/>
      <c r="V239" s="84"/>
    </row>
    <row r="240" ht="15.75" customHeight="1">
      <c r="A240" s="227">
        <v>1.2035101E7</v>
      </c>
      <c r="B240" s="227" t="str">
        <f t="shared" si="1"/>
        <v>12035</v>
      </c>
      <c r="C240" s="227" t="s">
        <v>3849</v>
      </c>
      <c r="D240" s="59"/>
      <c r="E240" s="59"/>
      <c r="F240" s="126"/>
      <c r="G240" s="126"/>
      <c r="H240" s="125"/>
      <c r="I240" s="125"/>
      <c r="J240" s="99"/>
      <c r="K240" s="99"/>
      <c r="L240" s="99"/>
      <c r="M240" s="99">
        <f t="shared" si="2"/>
        <v>1</v>
      </c>
      <c r="N240" s="99">
        <f t="shared" si="3"/>
        <v>1</v>
      </c>
      <c r="O240" s="84"/>
      <c r="P240" s="84"/>
      <c r="Q240" s="84"/>
      <c r="R240" s="84"/>
      <c r="S240" s="84"/>
      <c r="T240" s="84"/>
      <c r="U240" s="84"/>
      <c r="V240" s="84"/>
    </row>
    <row r="241" ht="15.75" customHeight="1">
      <c r="A241" s="227">
        <v>1.2035102E7</v>
      </c>
      <c r="B241" s="227" t="str">
        <f t="shared" si="1"/>
        <v>12035</v>
      </c>
      <c r="C241" s="227" t="s">
        <v>3850</v>
      </c>
      <c r="D241" s="59"/>
      <c r="E241" s="59"/>
      <c r="F241" s="126"/>
      <c r="G241" s="126"/>
      <c r="H241" s="125"/>
      <c r="I241" s="125"/>
      <c r="J241" s="99"/>
      <c r="K241" s="99"/>
      <c r="L241" s="99"/>
      <c r="M241" s="99">
        <f t="shared" si="2"/>
        <v>1</v>
      </c>
      <c r="N241" s="99">
        <f t="shared" si="3"/>
        <v>1</v>
      </c>
      <c r="O241" s="84"/>
      <c r="P241" s="84"/>
      <c r="Q241" s="84"/>
      <c r="R241" s="84"/>
      <c r="S241" s="84"/>
      <c r="T241" s="84"/>
      <c r="U241" s="84"/>
      <c r="V241" s="84"/>
    </row>
    <row r="242" ht="15.75" customHeight="1">
      <c r="A242" s="227">
        <v>1.2035103E7</v>
      </c>
      <c r="B242" s="227" t="str">
        <f t="shared" si="1"/>
        <v>12035</v>
      </c>
      <c r="C242" s="227" t="s">
        <v>3851</v>
      </c>
      <c r="D242" s="59"/>
      <c r="E242" s="59"/>
      <c r="F242" s="126"/>
      <c r="G242" s="126"/>
      <c r="H242" s="125"/>
      <c r="I242" s="125"/>
      <c r="J242" s="99"/>
      <c r="K242" s="99"/>
      <c r="L242" s="99"/>
      <c r="M242" s="99">
        <f t="shared" si="2"/>
        <v>1</v>
      </c>
      <c r="N242" s="99">
        <f t="shared" si="3"/>
        <v>1</v>
      </c>
      <c r="O242" s="84"/>
      <c r="P242" s="84"/>
      <c r="Q242" s="84"/>
      <c r="R242" s="84"/>
      <c r="S242" s="84"/>
      <c r="T242" s="84"/>
      <c r="U242" s="84"/>
      <c r="V242" s="84"/>
    </row>
    <row r="243" ht="15.75" customHeight="1">
      <c r="A243" s="227">
        <v>1.2035104E7</v>
      </c>
      <c r="B243" s="227" t="str">
        <f t="shared" si="1"/>
        <v>12035</v>
      </c>
      <c r="C243" s="227" t="s">
        <v>3852</v>
      </c>
      <c r="D243" s="59"/>
      <c r="E243" s="59"/>
      <c r="F243" s="126"/>
      <c r="G243" s="126"/>
      <c r="H243" s="125"/>
      <c r="I243" s="125"/>
      <c r="J243" s="99"/>
      <c r="K243" s="99"/>
      <c r="L243" s="99"/>
      <c r="M243" s="99">
        <f t="shared" si="2"/>
        <v>1</v>
      </c>
      <c r="N243" s="99">
        <f t="shared" si="3"/>
        <v>1</v>
      </c>
      <c r="O243" s="84"/>
      <c r="P243" s="84"/>
      <c r="Q243" s="84"/>
      <c r="R243" s="84"/>
      <c r="S243" s="84"/>
      <c r="T243" s="84"/>
      <c r="U243" s="84"/>
      <c r="V243" s="84"/>
    </row>
    <row r="244" ht="15.75" customHeight="1">
      <c r="A244" s="227">
        <v>1.2035105E7</v>
      </c>
      <c r="B244" s="227" t="str">
        <f t="shared" si="1"/>
        <v>12035</v>
      </c>
      <c r="C244" s="227" t="s">
        <v>3853</v>
      </c>
      <c r="D244" s="73"/>
      <c r="E244" s="73"/>
      <c r="F244" s="126"/>
      <c r="G244" s="126"/>
      <c r="H244" s="125"/>
      <c r="I244" s="125"/>
      <c r="J244" s="99"/>
      <c r="K244" s="99"/>
      <c r="L244" s="99"/>
      <c r="M244" s="99">
        <f t="shared" si="2"/>
        <v>1</v>
      </c>
      <c r="N244" s="99">
        <f t="shared" si="3"/>
        <v>1</v>
      </c>
      <c r="O244" s="84"/>
      <c r="P244" s="84"/>
      <c r="Q244" s="84"/>
      <c r="R244" s="84"/>
      <c r="S244" s="84"/>
      <c r="T244" s="84"/>
      <c r="U244" s="84"/>
      <c r="V244" s="84"/>
    </row>
    <row r="245" ht="15.75" customHeight="1">
      <c r="A245" s="224">
        <v>1.2036E7</v>
      </c>
      <c r="B245" s="224" t="str">
        <f t="shared" si="1"/>
        <v>12036</v>
      </c>
      <c r="C245" s="224" t="s">
        <v>3854</v>
      </c>
      <c r="D245" s="228" t="s">
        <v>3855</v>
      </c>
      <c r="E245" s="210">
        <v>8.0</v>
      </c>
      <c r="F245" s="126"/>
      <c r="G245" s="126"/>
      <c r="H245" s="125"/>
      <c r="I245" s="125"/>
      <c r="J245" s="99"/>
      <c r="K245" s="99"/>
      <c r="L245" s="99"/>
      <c r="M245" s="99">
        <f t="shared" si="2"/>
        <v>1</v>
      </c>
      <c r="N245" s="99">
        <f t="shared" si="3"/>
        <v>1</v>
      </c>
      <c r="O245" s="84"/>
      <c r="P245" s="84"/>
      <c r="Q245" s="84"/>
      <c r="R245" s="84"/>
      <c r="S245" s="84"/>
      <c r="T245" s="84"/>
      <c r="U245" s="84"/>
      <c r="V245" s="84"/>
    </row>
    <row r="246" ht="15.75" customHeight="1">
      <c r="A246" s="227">
        <v>1.20361E7</v>
      </c>
      <c r="B246" s="227" t="str">
        <f t="shared" si="1"/>
        <v>12036</v>
      </c>
      <c r="C246" s="227" t="s">
        <v>3856</v>
      </c>
      <c r="D246" s="228" t="s">
        <v>3855</v>
      </c>
      <c r="E246" s="210">
        <v>8.0</v>
      </c>
      <c r="F246" s="126"/>
      <c r="G246" s="126"/>
      <c r="H246" s="125"/>
      <c r="I246" s="125"/>
      <c r="J246" s="99"/>
      <c r="K246" s="99"/>
      <c r="L246" s="99"/>
      <c r="M246" s="99">
        <f t="shared" si="2"/>
        <v>1</v>
      </c>
      <c r="N246" s="99">
        <f t="shared" si="3"/>
        <v>1</v>
      </c>
      <c r="O246" s="84"/>
      <c r="P246" s="84"/>
      <c r="Q246" s="84"/>
      <c r="R246" s="84"/>
      <c r="S246" s="84"/>
      <c r="T246" s="84"/>
      <c r="U246" s="84"/>
      <c r="V246" s="84"/>
    </row>
    <row r="247" ht="15.75" customHeight="1">
      <c r="A247" s="224">
        <v>1.2044001E7</v>
      </c>
      <c r="B247" s="224" t="str">
        <f t="shared" si="1"/>
        <v>12044</v>
      </c>
      <c r="C247" s="224" t="s">
        <v>3857</v>
      </c>
      <c r="D247" s="225" t="s">
        <v>3858</v>
      </c>
      <c r="E247" s="226">
        <v>8.0</v>
      </c>
      <c r="F247" s="126"/>
      <c r="G247" s="126"/>
      <c r="H247" s="125"/>
      <c r="I247" s="125"/>
      <c r="J247" s="99"/>
      <c r="K247" s="99"/>
      <c r="L247" s="99"/>
      <c r="M247" s="99">
        <f t="shared" si="2"/>
        <v>1</v>
      </c>
      <c r="N247" s="99">
        <f t="shared" si="3"/>
        <v>1</v>
      </c>
      <c r="O247" s="84"/>
      <c r="P247" s="84"/>
      <c r="Q247" s="84"/>
      <c r="R247" s="84"/>
      <c r="S247" s="84"/>
      <c r="T247" s="84"/>
      <c r="U247" s="84"/>
      <c r="V247" s="84"/>
    </row>
    <row r="248" ht="15.75" customHeight="1">
      <c r="A248" s="224">
        <v>1.2044002E7</v>
      </c>
      <c r="B248" s="224" t="str">
        <f t="shared" si="1"/>
        <v>12044</v>
      </c>
      <c r="C248" s="224" t="s">
        <v>3859</v>
      </c>
      <c r="D248" s="59"/>
      <c r="E248" s="59"/>
      <c r="F248" s="126"/>
      <c r="G248" s="126"/>
      <c r="H248" s="125"/>
      <c r="I248" s="125"/>
      <c r="J248" s="99"/>
      <c r="K248" s="99"/>
      <c r="L248" s="99"/>
      <c r="M248" s="99">
        <f t="shared" si="2"/>
        <v>1</v>
      </c>
      <c r="N248" s="99">
        <f t="shared" si="3"/>
        <v>1</v>
      </c>
      <c r="O248" s="84"/>
      <c r="P248" s="84"/>
      <c r="Q248" s="84"/>
      <c r="R248" s="84"/>
      <c r="S248" s="84"/>
      <c r="T248" s="84"/>
      <c r="U248" s="84"/>
      <c r="V248" s="84"/>
    </row>
    <row r="249" ht="15.75" customHeight="1">
      <c r="A249" s="224">
        <v>1.2044003E7</v>
      </c>
      <c r="B249" s="224" t="str">
        <f t="shared" si="1"/>
        <v>12044</v>
      </c>
      <c r="C249" s="224" t="s">
        <v>3860</v>
      </c>
      <c r="D249" s="59"/>
      <c r="E249" s="59"/>
      <c r="F249" s="126"/>
      <c r="G249" s="126"/>
      <c r="H249" s="125"/>
      <c r="I249" s="125"/>
      <c r="J249" s="99"/>
      <c r="K249" s="99"/>
      <c r="L249" s="99"/>
      <c r="M249" s="99">
        <f t="shared" si="2"/>
        <v>1</v>
      </c>
      <c r="N249" s="99">
        <f t="shared" si="3"/>
        <v>1</v>
      </c>
      <c r="O249" s="84"/>
      <c r="P249" s="84"/>
      <c r="Q249" s="84"/>
      <c r="R249" s="84"/>
      <c r="S249" s="84"/>
      <c r="T249" s="84"/>
      <c r="U249" s="84"/>
      <c r="V249" s="84"/>
    </row>
    <row r="250" ht="15.75" customHeight="1">
      <c r="A250" s="224">
        <v>1.2044101E7</v>
      </c>
      <c r="B250" s="224" t="str">
        <f t="shared" si="1"/>
        <v>12044</v>
      </c>
      <c r="C250" s="224" t="s">
        <v>3861</v>
      </c>
      <c r="D250" s="59"/>
      <c r="E250" s="59"/>
      <c r="F250" s="126"/>
      <c r="G250" s="126"/>
      <c r="H250" s="125"/>
      <c r="I250" s="125"/>
      <c r="J250" s="99"/>
      <c r="K250" s="99"/>
      <c r="L250" s="99"/>
      <c r="M250" s="99">
        <f t="shared" si="2"/>
        <v>1</v>
      </c>
      <c r="N250" s="99">
        <f t="shared" si="3"/>
        <v>1</v>
      </c>
      <c r="O250" s="84"/>
      <c r="P250" s="84"/>
      <c r="Q250" s="84"/>
      <c r="R250" s="84"/>
      <c r="S250" s="84"/>
      <c r="T250" s="84"/>
      <c r="U250" s="84"/>
      <c r="V250" s="84"/>
    </row>
    <row r="251" ht="15.75" customHeight="1">
      <c r="A251" s="224">
        <v>1.2044102E7</v>
      </c>
      <c r="B251" s="224" t="str">
        <f t="shared" si="1"/>
        <v>12044</v>
      </c>
      <c r="C251" s="224" t="s">
        <v>3862</v>
      </c>
      <c r="D251" s="59"/>
      <c r="E251" s="59"/>
      <c r="F251" s="126"/>
      <c r="G251" s="126"/>
      <c r="H251" s="125"/>
      <c r="I251" s="125"/>
      <c r="J251" s="99"/>
      <c r="K251" s="99"/>
      <c r="L251" s="99"/>
      <c r="M251" s="99">
        <f t="shared" si="2"/>
        <v>1</v>
      </c>
      <c r="N251" s="99">
        <f t="shared" si="3"/>
        <v>1</v>
      </c>
      <c r="O251" s="84"/>
      <c r="P251" s="84"/>
      <c r="Q251" s="84"/>
      <c r="R251" s="84"/>
      <c r="S251" s="84"/>
      <c r="T251" s="84"/>
      <c r="U251" s="84"/>
      <c r="V251" s="84"/>
    </row>
    <row r="252" ht="15.75" customHeight="1">
      <c r="A252" s="224">
        <v>1.2044103E7</v>
      </c>
      <c r="B252" s="224" t="str">
        <f t="shared" si="1"/>
        <v>12044</v>
      </c>
      <c r="C252" s="224" t="s">
        <v>3863</v>
      </c>
      <c r="D252" s="73"/>
      <c r="E252" s="73"/>
      <c r="F252" s="126"/>
      <c r="G252" s="126"/>
      <c r="H252" s="125"/>
      <c r="I252" s="125"/>
      <c r="J252" s="99"/>
      <c r="K252" s="99"/>
      <c r="L252" s="99"/>
      <c r="M252" s="99">
        <f t="shared" si="2"/>
        <v>1</v>
      </c>
      <c r="N252" s="99">
        <f t="shared" si="3"/>
        <v>1</v>
      </c>
      <c r="O252" s="84"/>
      <c r="P252" s="84"/>
      <c r="Q252" s="84"/>
      <c r="R252" s="84"/>
      <c r="S252" s="84"/>
      <c r="T252" s="84"/>
      <c r="U252" s="84"/>
      <c r="V252" s="84"/>
    </row>
    <row r="253" ht="15.75" customHeight="1">
      <c r="A253" s="224">
        <v>1.2045001E7</v>
      </c>
      <c r="B253" s="224" t="str">
        <f t="shared" si="1"/>
        <v>12045</v>
      </c>
      <c r="C253" s="224" t="s">
        <v>3864</v>
      </c>
      <c r="D253" s="225" t="s">
        <v>3865</v>
      </c>
      <c r="E253" s="226">
        <v>8.0</v>
      </c>
      <c r="F253" s="126"/>
      <c r="G253" s="126"/>
      <c r="H253" s="125"/>
      <c r="I253" s="125"/>
      <c r="J253" s="99"/>
      <c r="K253" s="99"/>
      <c r="L253" s="99"/>
      <c r="M253" s="99">
        <f t="shared" si="2"/>
        <v>1</v>
      </c>
      <c r="N253" s="99">
        <f t="shared" si="3"/>
        <v>1</v>
      </c>
      <c r="O253" s="84"/>
      <c r="P253" s="84"/>
      <c r="Q253" s="84"/>
      <c r="R253" s="84"/>
      <c r="S253" s="84"/>
      <c r="T253" s="84"/>
      <c r="U253" s="84"/>
      <c r="V253" s="84"/>
    </row>
    <row r="254" ht="15.75" customHeight="1">
      <c r="A254" s="224">
        <v>1.2045002E7</v>
      </c>
      <c r="B254" s="224" t="str">
        <f t="shared" si="1"/>
        <v>12045</v>
      </c>
      <c r="C254" s="224" t="s">
        <v>3866</v>
      </c>
      <c r="D254" s="59"/>
      <c r="E254" s="59"/>
      <c r="F254" s="126"/>
      <c r="G254" s="126"/>
      <c r="H254" s="125"/>
      <c r="I254" s="125"/>
      <c r="J254" s="99"/>
      <c r="K254" s="99"/>
      <c r="L254" s="99"/>
      <c r="M254" s="99">
        <f t="shared" si="2"/>
        <v>1</v>
      </c>
      <c r="N254" s="99">
        <f t="shared" si="3"/>
        <v>1</v>
      </c>
      <c r="O254" s="84"/>
      <c r="P254" s="84"/>
      <c r="Q254" s="84"/>
      <c r="R254" s="84"/>
      <c r="S254" s="84"/>
      <c r="T254" s="84"/>
      <c r="U254" s="84"/>
      <c r="V254" s="84"/>
    </row>
    <row r="255" ht="15.75" customHeight="1">
      <c r="A255" s="224">
        <v>1.2045003E7</v>
      </c>
      <c r="B255" s="224" t="str">
        <f t="shared" si="1"/>
        <v>12045</v>
      </c>
      <c r="C255" s="224" t="s">
        <v>3867</v>
      </c>
      <c r="D255" s="59"/>
      <c r="E255" s="59"/>
      <c r="F255" s="126"/>
      <c r="G255" s="126"/>
      <c r="H255" s="125"/>
      <c r="I255" s="125"/>
      <c r="J255" s="99"/>
      <c r="K255" s="99"/>
      <c r="L255" s="99"/>
      <c r="M255" s="99">
        <f t="shared" si="2"/>
        <v>1</v>
      </c>
      <c r="N255" s="99">
        <f t="shared" si="3"/>
        <v>1</v>
      </c>
      <c r="O255" s="84"/>
      <c r="P255" s="84"/>
      <c r="Q255" s="84"/>
      <c r="R255" s="84"/>
      <c r="S255" s="84"/>
      <c r="T255" s="84"/>
      <c r="U255" s="84"/>
      <c r="V255" s="84"/>
    </row>
    <row r="256" ht="15.75" customHeight="1">
      <c r="A256" s="224">
        <v>1.2045101E7</v>
      </c>
      <c r="B256" s="224" t="str">
        <f t="shared" si="1"/>
        <v>12045</v>
      </c>
      <c r="C256" s="224" t="s">
        <v>3868</v>
      </c>
      <c r="D256" s="59"/>
      <c r="E256" s="59"/>
      <c r="F256" s="126"/>
      <c r="G256" s="126"/>
      <c r="H256" s="125"/>
      <c r="I256" s="125"/>
      <c r="J256" s="99"/>
      <c r="K256" s="99"/>
      <c r="L256" s="99"/>
      <c r="M256" s="99">
        <f t="shared" si="2"/>
        <v>1</v>
      </c>
      <c r="N256" s="99">
        <f t="shared" si="3"/>
        <v>1</v>
      </c>
      <c r="O256" s="84"/>
      <c r="P256" s="84"/>
      <c r="Q256" s="84"/>
      <c r="R256" s="84"/>
      <c r="S256" s="84"/>
      <c r="T256" s="84"/>
      <c r="U256" s="84"/>
      <c r="V256" s="84"/>
    </row>
    <row r="257" ht="15.75" customHeight="1">
      <c r="A257" s="224">
        <v>1.2045102E7</v>
      </c>
      <c r="B257" s="224" t="str">
        <f t="shared" si="1"/>
        <v>12045</v>
      </c>
      <c r="C257" s="224" t="s">
        <v>3869</v>
      </c>
      <c r="D257" s="59"/>
      <c r="E257" s="59"/>
      <c r="F257" s="126"/>
      <c r="G257" s="126"/>
      <c r="H257" s="125"/>
      <c r="I257" s="125"/>
      <c r="J257" s="99"/>
      <c r="K257" s="99"/>
      <c r="L257" s="99"/>
      <c r="M257" s="99">
        <f t="shared" si="2"/>
        <v>1</v>
      </c>
      <c r="N257" s="99">
        <f t="shared" si="3"/>
        <v>1</v>
      </c>
      <c r="O257" s="84"/>
      <c r="P257" s="84"/>
      <c r="Q257" s="84"/>
      <c r="R257" s="84"/>
      <c r="S257" s="84"/>
      <c r="T257" s="84"/>
      <c r="U257" s="84"/>
      <c r="V257" s="84"/>
    </row>
    <row r="258" ht="15.75" customHeight="1">
      <c r="A258" s="224">
        <v>1.2045103E7</v>
      </c>
      <c r="B258" s="224" t="str">
        <f t="shared" si="1"/>
        <v>12045</v>
      </c>
      <c r="C258" s="224" t="s">
        <v>3870</v>
      </c>
      <c r="D258" s="73"/>
      <c r="E258" s="73"/>
      <c r="F258" s="126"/>
      <c r="G258" s="126"/>
      <c r="H258" s="125"/>
      <c r="I258" s="125"/>
      <c r="J258" s="99"/>
      <c r="K258" s="99"/>
      <c r="L258" s="99"/>
      <c r="M258" s="99">
        <f t="shared" si="2"/>
        <v>1</v>
      </c>
      <c r="N258" s="99">
        <f t="shared" si="3"/>
        <v>1</v>
      </c>
      <c r="O258" s="84"/>
      <c r="P258" s="84"/>
      <c r="Q258" s="84"/>
      <c r="R258" s="84"/>
      <c r="S258" s="84"/>
      <c r="T258" s="84"/>
      <c r="U258" s="84"/>
      <c r="V258" s="84"/>
    </row>
    <row r="259" ht="15.75" customHeight="1">
      <c r="A259" s="224">
        <v>1.2046001E7</v>
      </c>
      <c r="B259" s="224" t="str">
        <f t="shared" si="1"/>
        <v>12046</v>
      </c>
      <c r="C259" s="224" t="s">
        <v>3871</v>
      </c>
      <c r="D259" s="225" t="s">
        <v>3872</v>
      </c>
      <c r="E259" s="226">
        <v>8.0</v>
      </c>
      <c r="F259" s="126"/>
      <c r="G259" s="126"/>
      <c r="H259" s="125"/>
      <c r="I259" s="125"/>
      <c r="J259" s="99"/>
      <c r="K259" s="99"/>
      <c r="L259" s="99"/>
      <c r="M259" s="99">
        <f t="shared" si="2"/>
        <v>1</v>
      </c>
      <c r="N259" s="99">
        <f t="shared" si="3"/>
        <v>1</v>
      </c>
      <c r="O259" s="84"/>
      <c r="P259" s="84"/>
      <c r="Q259" s="84"/>
      <c r="R259" s="84"/>
      <c r="S259" s="84"/>
      <c r="T259" s="84"/>
      <c r="U259" s="84"/>
      <c r="V259" s="84"/>
    </row>
    <row r="260" ht="15.75" customHeight="1">
      <c r="A260" s="224">
        <v>1.2046002E7</v>
      </c>
      <c r="B260" s="224" t="str">
        <f t="shared" si="1"/>
        <v>12046</v>
      </c>
      <c r="C260" s="224" t="s">
        <v>3873</v>
      </c>
      <c r="D260" s="59"/>
      <c r="E260" s="59"/>
      <c r="F260" s="126"/>
      <c r="G260" s="126"/>
      <c r="H260" s="125"/>
      <c r="I260" s="125"/>
      <c r="J260" s="99"/>
      <c r="K260" s="99"/>
      <c r="L260" s="99"/>
      <c r="M260" s="99">
        <f t="shared" si="2"/>
        <v>1</v>
      </c>
      <c r="N260" s="99">
        <f t="shared" si="3"/>
        <v>1</v>
      </c>
      <c r="O260" s="84"/>
      <c r="P260" s="84"/>
      <c r="Q260" s="84"/>
      <c r="R260" s="84"/>
      <c r="S260" s="84"/>
      <c r="T260" s="84"/>
      <c r="U260" s="84"/>
      <c r="V260" s="84"/>
    </row>
    <row r="261" ht="15.75" customHeight="1">
      <c r="A261" s="224">
        <v>1.2046003E7</v>
      </c>
      <c r="B261" s="224" t="str">
        <f t="shared" si="1"/>
        <v>12046</v>
      </c>
      <c r="C261" s="224" t="s">
        <v>3874</v>
      </c>
      <c r="D261" s="59"/>
      <c r="E261" s="59"/>
      <c r="F261" s="126"/>
      <c r="G261" s="126"/>
      <c r="H261" s="125"/>
      <c r="I261" s="125"/>
      <c r="J261" s="99"/>
      <c r="K261" s="99"/>
      <c r="L261" s="99"/>
      <c r="M261" s="99">
        <f t="shared" si="2"/>
        <v>1</v>
      </c>
      <c r="N261" s="99">
        <f t="shared" si="3"/>
        <v>1</v>
      </c>
      <c r="O261" s="84"/>
      <c r="P261" s="84"/>
      <c r="Q261" s="84"/>
      <c r="R261" s="84"/>
      <c r="S261" s="84"/>
      <c r="T261" s="84"/>
      <c r="U261" s="84"/>
      <c r="V261" s="84"/>
    </row>
    <row r="262" ht="15.75" customHeight="1">
      <c r="A262" s="224">
        <v>1.2046101E7</v>
      </c>
      <c r="B262" s="224" t="str">
        <f t="shared" si="1"/>
        <v>12046</v>
      </c>
      <c r="C262" s="224" t="s">
        <v>3875</v>
      </c>
      <c r="D262" s="59"/>
      <c r="E262" s="59"/>
      <c r="F262" s="126"/>
      <c r="G262" s="126"/>
      <c r="H262" s="125"/>
      <c r="I262" s="125"/>
      <c r="J262" s="99"/>
      <c r="K262" s="99"/>
      <c r="L262" s="99"/>
      <c r="M262" s="99">
        <f t="shared" si="2"/>
        <v>1</v>
      </c>
      <c r="N262" s="99">
        <f t="shared" si="3"/>
        <v>1</v>
      </c>
      <c r="O262" s="84"/>
      <c r="P262" s="84"/>
      <c r="Q262" s="84"/>
      <c r="R262" s="84"/>
      <c r="S262" s="84"/>
      <c r="T262" s="84"/>
      <c r="U262" s="84"/>
      <c r="V262" s="84"/>
    </row>
    <row r="263" ht="15.75" customHeight="1">
      <c r="A263" s="224">
        <v>1.2046102E7</v>
      </c>
      <c r="B263" s="224" t="str">
        <f t="shared" si="1"/>
        <v>12046</v>
      </c>
      <c r="C263" s="224" t="s">
        <v>3876</v>
      </c>
      <c r="D263" s="59"/>
      <c r="E263" s="59"/>
      <c r="F263" s="126"/>
      <c r="G263" s="126"/>
      <c r="H263" s="125"/>
      <c r="I263" s="125"/>
      <c r="J263" s="99"/>
      <c r="K263" s="99"/>
      <c r="L263" s="99"/>
      <c r="M263" s="99">
        <f t="shared" si="2"/>
        <v>1</v>
      </c>
      <c r="N263" s="99">
        <f t="shared" si="3"/>
        <v>1</v>
      </c>
      <c r="O263" s="84"/>
      <c r="P263" s="84"/>
      <c r="Q263" s="84"/>
      <c r="R263" s="84"/>
      <c r="S263" s="84"/>
      <c r="T263" s="84"/>
      <c r="U263" s="84"/>
      <c r="V263" s="84"/>
    </row>
    <row r="264" ht="15.75" customHeight="1">
      <c r="A264" s="224">
        <v>1.2046103E7</v>
      </c>
      <c r="B264" s="224" t="str">
        <f t="shared" si="1"/>
        <v>12046</v>
      </c>
      <c r="C264" s="224" t="s">
        <v>3877</v>
      </c>
      <c r="D264" s="73"/>
      <c r="E264" s="73"/>
      <c r="F264" s="126"/>
      <c r="G264" s="126"/>
      <c r="H264" s="125"/>
      <c r="I264" s="125"/>
      <c r="J264" s="99"/>
      <c r="K264" s="99"/>
      <c r="L264" s="99"/>
      <c r="M264" s="99">
        <f t="shared" si="2"/>
        <v>1</v>
      </c>
      <c r="N264" s="99">
        <f t="shared" si="3"/>
        <v>1</v>
      </c>
      <c r="O264" s="84"/>
      <c r="P264" s="84"/>
      <c r="Q264" s="84"/>
      <c r="R264" s="84"/>
      <c r="S264" s="84"/>
      <c r="T264" s="84"/>
      <c r="U264" s="84"/>
      <c r="V264" s="84"/>
    </row>
    <row r="265" ht="15.75" customHeight="1">
      <c r="A265" s="227">
        <v>1.2050001E7</v>
      </c>
      <c r="B265" s="227" t="str">
        <f t="shared" si="1"/>
        <v>12050</v>
      </c>
      <c r="C265" s="227" t="s">
        <v>3878</v>
      </c>
      <c r="D265" s="225" t="s">
        <v>3879</v>
      </c>
      <c r="E265" s="226">
        <v>8.0</v>
      </c>
      <c r="F265" s="126"/>
      <c r="G265" s="126"/>
      <c r="H265" s="125"/>
      <c r="I265" s="125"/>
      <c r="J265" s="99"/>
      <c r="K265" s="99"/>
      <c r="L265" s="99"/>
      <c r="M265" s="99">
        <f t="shared" si="2"/>
        <v>1</v>
      </c>
      <c r="N265" s="99">
        <f t="shared" si="3"/>
        <v>1</v>
      </c>
      <c r="O265" s="84"/>
      <c r="P265" s="84"/>
      <c r="Q265" s="84"/>
      <c r="R265" s="84"/>
      <c r="S265" s="84"/>
      <c r="T265" s="84"/>
      <c r="U265" s="84"/>
      <c r="V265" s="84"/>
    </row>
    <row r="266" ht="15.75" customHeight="1">
      <c r="A266" s="227">
        <v>1.2050002E7</v>
      </c>
      <c r="B266" s="227" t="str">
        <f t="shared" si="1"/>
        <v>12050</v>
      </c>
      <c r="C266" s="227" t="s">
        <v>3880</v>
      </c>
      <c r="D266" s="59"/>
      <c r="E266" s="59"/>
      <c r="F266" s="126"/>
      <c r="G266" s="126"/>
      <c r="H266" s="125"/>
      <c r="I266" s="125"/>
      <c r="J266" s="99"/>
      <c r="K266" s="99"/>
      <c r="L266" s="99"/>
      <c r="M266" s="99">
        <f t="shared" si="2"/>
        <v>1</v>
      </c>
      <c r="N266" s="99">
        <f t="shared" si="3"/>
        <v>1</v>
      </c>
      <c r="O266" s="84"/>
      <c r="P266" s="84"/>
      <c r="Q266" s="84"/>
      <c r="R266" s="84"/>
      <c r="S266" s="84"/>
      <c r="T266" s="84"/>
      <c r="U266" s="84"/>
      <c r="V266" s="84"/>
    </row>
    <row r="267" ht="15.75" customHeight="1">
      <c r="A267" s="227">
        <v>1.2050021E7</v>
      </c>
      <c r="B267" s="227" t="str">
        <f t="shared" si="1"/>
        <v>12050</v>
      </c>
      <c r="C267" s="227" t="s">
        <v>3881</v>
      </c>
      <c r="D267" s="59"/>
      <c r="E267" s="59"/>
      <c r="F267" s="126"/>
      <c r="G267" s="126"/>
      <c r="H267" s="125"/>
      <c r="I267" s="125"/>
      <c r="J267" s="99"/>
      <c r="K267" s="99"/>
      <c r="L267" s="99"/>
      <c r="M267" s="99">
        <f t="shared" si="2"/>
        <v>1</v>
      </c>
      <c r="N267" s="99">
        <f t="shared" si="3"/>
        <v>1</v>
      </c>
      <c r="O267" s="84"/>
      <c r="P267" s="84"/>
      <c r="Q267" s="84"/>
      <c r="R267" s="84"/>
      <c r="S267" s="84"/>
      <c r="T267" s="84"/>
      <c r="U267" s="84"/>
      <c r="V267" s="84"/>
    </row>
    <row r="268" ht="15.75" customHeight="1">
      <c r="A268" s="227">
        <v>1.2050022E7</v>
      </c>
      <c r="B268" s="227" t="str">
        <f t="shared" si="1"/>
        <v>12050</v>
      </c>
      <c r="C268" s="227" t="s">
        <v>3882</v>
      </c>
      <c r="D268" s="59"/>
      <c r="E268" s="59"/>
      <c r="F268" s="126"/>
      <c r="G268" s="126"/>
      <c r="H268" s="125"/>
      <c r="I268" s="125"/>
      <c r="J268" s="99"/>
      <c r="K268" s="99"/>
      <c r="L268" s="99"/>
      <c r="M268" s="99">
        <f t="shared" si="2"/>
        <v>1</v>
      </c>
      <c r="N268" s="99">
        <f t="shared" si="3"/>
        <v>1</v>
      </c>
      <c r="O268" s="84"/>
      <c r="P268" s="84"/>
      <c r="Q268" s="84"/>
      <c r="R268" s="84"/>
      <c r="S268" s="84"/>
      <c r="T268" s="84"/>
      <c r="U268" s="84"/>
      <c r="V268" s="84"/>
    </row>
    <row r="269" ht="15.75" customHeight="1">
      <c r="A269" s="227">
        <v>1.2050041E7</v>
      </c>
      <c r="B269" s="227" t="str">
        <f t="shared" si="1"/>
        <v>12050</v>
      </c>
      <c r="C269" s="227" t="s">
        <v>3883</v>
      </c>
      <c r="D269" s="59"/>
      <c r="E269" s="59"/>
      <c r="F269" s="126"/>
      <c r="G269" s="126"/>
      <c r="H269" s="125"/>
      <c r="I269" s="125"/>
      <c r="J269" s="99"/>
      <c r="K269" s="99"/>
      <c r="L269" s="99"/>
      <c r="M269" s="99">
        <f t="shared" si="2"/>
        <v>1</v>
      </c>
      <c r="N269" s="99">
        <f t="shared" si="3"/>
        <v>1</v>
      </c>
      <c r="O269" s="84"/>
      <c r="P269" s="84"/>
      <c r="Q269" s="84"/>
      <c r="R269" s="84"/>
      <c r="S269" s="84"/>
      <c r="T269" s="84"/>
      <c r="U269" s="84"/>
      <c r="V269" s="84"/>
    </row>
    <row r="270" ht="15.75" customHeight="1">
      <c r="A270" s="227">
        <v>1.2050042E7</v>
      </c>
      <c r="B270" s="227" t="str">
        <f t="shared" si="1"/>
        <v>12050</v>
      </c>
      <c r="C270" s="227" t="s">
        <v>3884</v>
      </c>
      <c r="D270" s="59"/>
      <c r="E270" s="59"/>
      <c r="F270" s="126"/>
      <c r="G270" s="126"/>
      <c r="H270" s="125"/>
      <c r="I270" s="125"/>
      <c r="J270" s="99"/>
      <c r="K270" s="99"/>
      <c r="L270" s="99"/>
      <c r="M270" s="99">
        <f t="shared" si="2"/>
        <v>1</v>
      </c>
      <c r="N270" s="99">
        <f t="shared" si="3"/>
        <v>1</v>
      </c>
      <c r="O270" s="84"/>
      <c r="P270" s="84"/>
      <c r="Q270" s="84"/>
      <c r="R270" s="84"/>
      <c r="S270" s="84"/>
      <c r="T270" s="84"/>
      <c r="U270" s="84"/>
      <c r="V270" s="84"/>
    </row>
    <row r="271" ht="15.75" customHeight="1">
      <c r="A271" s="227">
        <v>1.2050061E7</v>
      </c>
      <c r="B271" s="227" t="str">
        <f t="shared" si="1"/>
        <v>12050</v>
      </c>
      <c r="C271" s="227" t="s">
        <v>3885</v>
      </c>
      <c r="D271" s="59"/>
      <c r="E271" s="59"/>
      <c r="F271" s="126"/>
      <c r="G271" s="126"/>
      <c r="H271" s="125"/>
      <c r="I271" s="125"/>
      <c r="J271" s="99"/>
      <c r="K271" s="99"/>
      <c r="L271" s="99"/>
      <c r="M271" s="99">
        <f t="shared" si="2"/>
        <v>1</v>
      </c>
      <c r="N271" s="99">
        <f t="shared" si="3"/>
        <v>1</v>
      </c>
      <c r="O271" s="84"/>
      <c r="P271" s="84"/>
      <c r="Q271" s="84"/>
      <c r="R271" s="84"/>
      <c r="S271" s="84"/>
      <c r="T271" s="84"/>
      <c r="U271" s="84"/>
      <c r="V271" s="84"/>
    </row>
    <row r="272" ht="15.75" customHeight="1">
      <c r="A272" s="227">
        <v>1.2050063E7</v>
      </c>
      <c r="B272" s="227" t="str">
        <f t="shared" si="1"/>
        <v>12050</v>
      </c>
      <c r="C272" s="227" t="s">
        <v>3886</v>
      </c>
      <c r="D272" s="59"/>
      <c r="E272" s="59"/>
      <c r="F272" s="126"/>
      <c r="G272" s="126"/>
      <c r="H272" s="125"/>
      <c r="I272" s="125"/>
      <c r="J272" s="99"/>
      <c r="K272" s="99"/>
      <c r="L272" s="99"/>
      <c r="M272" s="99">
        <f t="shared" si="2"/>
        <v>1</v>
      </c>
      <c r="N272" s="99">
        <f t="shared" si="3"/>
        <v>1</v>
      </c>
      <c r="O272" s="84"/>
      <c r="P272" s="84"/>
      <c r="Q272" s="84"/>
      <c r="R272" s="84"/>
      <c r="S272" s="84"/>
      <c r="T272" s="84"/>
      <c r="U272" s="84"/>
      <c r="V272" s="84"/>
    </row>
    <row r="273" ht="15.75" customHeight="1">
      <c r="A273" s="227">
        <v>1.2050101E7</v>
      </c>
      <c r="B273" s="227" t="str">
        <f t="shared" si="1"/>
        <v>12050</v>
      </c>
      <c r="C273" s="227" t="s">
        <v>3887</v>
      </c>
      <c r="D273" s="59"/>
      <c r="E273" s="59"/>
      <c r="F273" s="126"/>
      <c r="G273" s="126"/>
      <c r="H273" s="125"/>
      <c r="I273" s="125"/>
      <c r="J273" s="99"/>
      <c r="K273" s="99"/>
      <c r="L273" s="99"/>
      <c r="M273" s="99">
        <f t="shared" si="2"/>
        <v>1</v>
      </c>
      <c r="N273" s="99">
        <f t="shared" si="3"/>
        <v>1</v>
      </c>
      <c r="O273" s="84"/>
      <c r="P273" s="84"/>
      <c r="Q273" s="84"/>
      <c r="R273" s="84"/>
      <c r="S273" s="84"/>
      <c r="T273" s="84"/>
      <c r="U273" s="84"/>
      <c r="V273" s="84"/>
    </row>
    <row r="274" ht="15.75" customHeight="1">
      <c r="A274" s="227">
        <v>1.2050102E7</v>
      </c>
      <c r="B274" s="227" t="str">
        <f t="shared" si="1"/>
        <v>12050</v>
      </c>
      <c r="C274" s="227" t="s">
        <v>3888</v>
      </c>
      <c r="D274" s="59"/>
      <c r="E274" s="59"/>
      <c r="F274" s="126"/>
      <c r="G274" s="126"/>
      <c r="H274" s="125"/>
      <c r="I274" s="125"/>
      <c r="J274" s="99"/>
      <c r="K274" s="99"/>
      <c r="L274" s="99"/>
      <c r="M274" s="99">
        <f t="shared" si="2"/>
        <v>1</v>
      </c>
      <c r="N274" s="99">
        <f t="shared" si="3"/>
        <v>1</v>
      </c>
      <c r="O274" s="84"/>
      <c r="P274" s="84"/>
      <c r="Q274" s="84"/>
      <c r="R274" s="84"/>
      <c r="S274" s="84"/>
      <c r="T274" s="84"/>
      <c r="U274" s="84"/>
      <c r="V274" s="84"/>
    </row>
    <row r="275" ht="15.75" customHeight="1">
      <c r="A275" s="227">
        <v>1.2050121E7</v>
      </c>
      <c r="B275" s="227" t="str">
        <f t="shared" si="1"/>
        <v>12050</v>
      </c>
      <c r="C275" s="227" t="s">
        <v>3889</v>
      </c>
      <c r="D275" s="59"/>
      <c r="E275" s="59"/>
      <c r="F275" s="126"/>
      <c r="G275" s="126"/>
      <c r="H275" s="125"/>
      <c r="I275" s="125"/>
      <c r="J275" s="99"/>
      <c r="K275" s="99"/>
      <c r="L275" s="99"/>
      <c r="M275" s="99">
        <f t="shared" si="2"/>
        <v>1</v>
      </c>
      <c r="N275" s="99">
        <f t="shared" si="3"/>
        <v>1</v>
      </c>
      <c r="O275" s="84"/>
      <c r="P275" s="84"/>
      <c r="Q275" s="84"/>
      <c r="R275" s="84"/>
      <c r="S275" s="84"/>
      <c r="T275" s="84"/>
      <c r="U275" s="84"/>
      <c r="V275" s="84"/>
    </row>
    <row r="276" ht="15.75" customHeight="1">
      <c r="A276" s="227">
        <v>1.2050122E7</v>
      </c>
      <c r="B276" s="227" t="str">
        <f t="shared" si="1"/>
        <v>12050</v>
      </c>
      <c r="C276" s="227" t="s">
        <v>3890</v>
      </c>
      <c r="D276" s="59"/>
      <c r="E276" s="59"/>
      <c r="F276" s="126"/>
      <c r="G276" s="126"/>
      <c r="H276" s="125"/>
      <c r="I276" s="125"/>
      <c r="J276" s="99"/>
      <c r="K276" s="99"/>
      <c r="L276" s="99"/>
      <c r="M276" s="99">
        <f t="shared" si="2"/>
        <v>1</v>
      </c>
      <c r="N276" s="99">
        <f t="shared" si="3"/>
        <v>1</v>
      </c>
      <c r="O276" s="84"/>
      <c r="P276" s="84"/>
      <c r="Q276" s="84"/>
      <c r="R276" s="84"/>
      <c r="S276" s="84"/>
      <c r="T276" s="84"/>
      <c r="U276" s="84"/>
      <c r="V276" s="84"/>
    </row>
    <row r="277" ht="15.75" customHeight="1">
      <c r="A277" s="227">
        <v>1.2050141E7</v>
      </c>
      <c r="B277" s="227" t="str">
        <f t="shared" si="1"/>
        <v>12050</v>
      </c>
      <c r="C277" s="227" t="s">
        <v>3891</v>
      </c>
      <c r="D277" s="59"/>
      <c r="E277" s="59"/>
      <c r="F277" s="126"/>
      <c r="G277" s="126"/>
      <c r="H277" s="125"/>
      <c r="I277" s="125"/>
      <c r="J277" s="99"/>
      <c r="K277" s="99"/>
      <c r="L277" s="99"/>
      <c r="M277" s="99">
        <f t="shared" si="2"/>
        <v>1</v>
      </c>
      <c r="N277" s="99">
        <f t="shared" si="3"/>
        <v>1</v>
      </c>
      <c r="O277" s="84"/>
      <c r="P277" s="84"/>
      <c r="Q277" s="84"/>
      <c r="R277" s="84"/>
      <c r="S277" s="84"/>
      <c r="T277" s="84"/>
      <c r="U277" s="84"/>
      <c r="V277" s="84"/>
    </row>
    <row r="278" ht="15.75" customHeight="1">
      <c r="A278" s="227">
        <v>1.2050142E7</v>
      </c>
      <c r="B278" s="227" t="str">
        <f t="shared" si="1"/>
        <v>12050</v>
      </c>
      <c r="C278" s="227" t="s">
        <v>3892</v>
      </c>
      <c r="D278" s="59"/>
      <c r="E278" s="59"/>
      <c r="F278" s="126"/>
      <c r="G278" s="126"/>
      <c r="H278" s="125"/>
      <c r="I278" s="125"/>
      <c r="J278" s="99"/>
      <c r="K278" s="99"/>
      <c r="L278" s="99"/>
      <c r="M278" s="99">
        <f t="shared" si="2"/>
        <v>1</v>
      </c>
      <c r="N278" s="99">
        <f t="shared" si="3"/>
        <v>1</v>
      </c>
      <c r="O278" s="84"/>
      <c r="P278" s="84"/>
      <c r="Q278" s="84"/>
      <c r="R278" s="84"/>
      <c r="S278" s="84"/>
      <c r="T278" s="84"/>
      <c r="U278" s="84"/>
      <c r="V278" s="84"/>
    </row>
    <row r="279" ht="15.75" customHeight="1">
      <c r="A279" s="227">
        <v>1.2050161E7</v>
      </c>
      <c r="B279" s="227" t="str">
        <f t="shared" si="1"/>
        <v>12050</v>
      </c>
      <c r="C279" s="227" t="s">
        <v>3893</v>
      </c>
      <c r="D279" s="59"/>
      <c r="E279" s="59"/>
      <c r="F279" s="126"/>
      <c r="G279" s="126"/>
      <c r="H279" s="125"/>
      <c r="I279" s="125"/>
      <c r="J279" s="99"/>
      <c r="K279" s="99"/>
      <c r="L279" s="99"/>
      <c r="M279" s="99">
        <f t="shared" si="2"/>
        <v>1</v>
      </c>
      <c r="N279" s="99">
        <f t="shared" si="3"/>
        <v>1</v>
      </c>
      <c r="O279" s="84"/>
      <c r="P279" s="84"/>
      <c r="Q279" s="84"/>
      <c r="R279" s="84"/>
      <c r="S279" s="84"/>
      <c r="T279" s="84"/>
      <c r="U279" s="84"/>
      <c r="V279" s="84"/>
    </row>
    <row r="280" ht="15.75" customHeight="1">
      <c r="A280" s="227">
        <v>1.2050163E7</v>
      </c>
      <c r="B280" s="227" t="str">
        <f t="shared" si="1"/>
        <v>12050</v>
      </c>
      <c r="C280" s="227" t="s">
        <v>3894</v>
      </c>
      <c r="D280" s="59"/>
      <c r="E280" s="59"/>
      <c r="F280" s="126"/>
      <c r="G280" s="126"/>
      <c r="H280" s="125"/>
      <c r="I280" s="125"/>
      <c r="J280" s="99"/>
      <c r="K280" s="99"/>
      <c r="L280" s="99"/>
      <c r="M280" s="99">
        <f t="shared" si="2"/>
        <v>1</v>
      </c>
      <c r="N280" s="99">
        <f t="shared" si="3"/>
        <v>1</v>
      </c>
      <c r="O280" s="84"/>
      <c r="P280" s="84"/>
      <c r="Q280" s="84"/>
      <c r="R280" s="84"/>
      <c r="S280" s="84"/>
      <c r="T280" s="84"/>
      <c r="U280" s="84"/>
      <c r="V280" s="84"/>
    </row>
    <row r="281" ht="15.75" customHeight="1">
      <c r="A281" s="227">
        <v>1.2050201E7</v>
      </c>
      <c r="B281" s="227" t="str">
        <f t="shared" si="1"/>
        <v>12050</v>
      </c>
      <c r="C281" s="227" t="s">
        <v>3895</v>
      </c>
      <c r="D281" s="59"/>
      <c r="E281" s="59"/>
      <c r="F281" s="126"/>
      <c r="G281" s="126"/>
      <c r="H281" s="125"/>
      <c r="I281" s="125"/>
      <c r="J281" s="99"/>
      <c r="K281" s="99"/>
      <c r="L281" s="99"/>
      <c r="M281" s="99">
        <f t="shared" si="2"/>
        <v>1</v>
      </c>
      <c r="N281" s="99">
        <f t="shared" si="3"/>
        <v>1</v>
      </c>
      <c r="O281" s="84"/>
      <c r="P281" s="84"/>
      <c r="Q281" s="84"/>
      <c r="R281" s="84"/>
      <c r="S281" s="84"/>
      <c r="T281" s="84"/>
      <c r="U281" s="84"/>
      <c r="V281" s="84"/>
    </row>
    <row r="282" ht="15.75" customHeight="1">
      <c r="A282" s="227">
        <v>1.2050202E7</v>
      </c>
      <c r="B282" s="227" t="str">
        <f t="shared" si="1"/>
        <v>12050</v>
      </c>
      <c r="C282" s="227" t="s">
        <v>3896</v>
      </c>
      <c r="D282" s="59"/>
      <c r="E282" s="59"/>
      <c r="F282" s="126"/>
      <c r="G282" s="126"/>
      <c r="H282" s="125"/>
      <c r="I282" s="125"/>
      <c r="J282" s="99"/>
      <c r="K282" s="99"/>
      <c r="L282" s="99"/>
      <c r="M282" s="99">
        <f t="shared" si="2"/>
        <v>1</v>
      </c>
      <c r="N282" s="99">
        <f t="shared" si="3"/>
        <v>1</v>
      </c>
      <c r="O282" s="84"/>
      <c r="P282" s="84"/>
      <c r="Q282" s="84"/>
      <c r="R282" s="84"/>
      <c r="S282" s="84"/>
      <c r="T282" s="84"/>
      <c r="U282" s="84"/>
      <c r="V282" s="84"/>
    </row>
    <row r="283" ht="15.75" customHeight="1">
      <c r="A283" s="227">
        <v>1.2050221E7</v>
      </c>
      <c r="B283" s="227" t="str">
        <f t="shared" si="1"/>
        <v>12050</v>
      </c>
      <c r="C283" s="227" t="s">
        <v>3897</v>
      </c>
      <c r="D283" s="59"/>
      <c r="E283" s="59"/>
      <c r="F283" s="126"/>
      <c r="G283" s="126"/>
      <c r="H283" s="125"/>
      <c r="I283" s="125"/>
      <c r="J283" s="99"/>
      <c r="K283" s="99"/>
      <c r="L283" s="99"/>
      <c r="M283" s="99">
        <f t="shared" si="2"/>
        <v>1</v>
      </c>
      <c r="N283" s="99">
        <f t="shared" si="3"/>
        <v>1</v>
      </c>
      <c r="O283" s="84"/>
      <c r="P283" s="84"/>
      <c r="Q283" s="84"/>
      <c r="R283" s="84"/>
      <c r="S283" s="84"/>
      <c r="T283" s="84"/>
      <c r="U283" s="84"/>
      <c r="V283" s="84"/>
    </row>
    <row r="284" ht="15.75" customHeight="1">
      <c r="A284" s="227">
        <v>1.2050222E7</v>
      </c>
      <c r="B284" s="227" t="str">
        <f t="shared" si="1"/>
        <v>12050</v>
      </c>
      <c r="C284" s="227" t="s">
        <v>3898</v>
      </c>
      <c r="D284" s="59"/>
      <c r="E284" s="59"/>
      <c r="F284" s="126"/>
      <c r="G284" s="126"/>
      <c r="H284" s="125"/>
      <c r="I284" s="125"/>
      <c r="J284" s="99"/>
      <c r="K284" s="99"/>
      <c r="L284" s="99"/>
      <c r="M284" s="99">
        <f t="shared" si="2"/>
        <v>1</v>
      </c>
      <c r="N284" s="99">
        <f t="shared" si="3"/>
        <v>1</v>
      </c>
      <c r="O284" s="84"/>
      <c r="P284" s="84"/>
      <c r="Q284" s="84"/>
      <c r="R284" s="84"/>
      <c r="S284" s="84"/>
      <c r="T284" s="84"/>
      <c r="U284" s="84"/>
      <c r="V284" s="84"/>
    </row>
    <row r="285" ht="15.75" customHeight="1">
      <c r="A285" s="227">
        <v>1.2050241E7</v>
      </c>
      <c r="B285" s="227" t="str">
        <f t="shared" si="1"/>
        <v>12050</v>
      </c>
      <c r="C285" s="227" t="s">
        <v>3899</v>
      </c>
      <c r="D285" s="59"/>
      <c r="E285" s="59"/>
      <c r="F285" s="126"/>
      <c r="G285" s="126"/>
      <c r="H285" s="125"/>
      <c r="I285" s="125"/>
      <c r="J285" s="99"/>
      <c r="K285" s="99"/>
      <c r="L285" s="99"/>
      <c r="M285" s="99">
        <f t="shared" si="2"/>
        <v>1</v>
      </c>
      <c r="N285" s="99">
        <f t="shared" si="3"/>
        <v>1</v>
      </c>
      <c r="O285" s="84"/>
      <c r="P285" s="84"/>
      <c r="Q285" s="84"/>
      <c r="R285" s="84"/>
      <c r="S285" s="84"/>
      <c r="T285" s="84"/>
      <c r="U285" s="84"/>
      <c r="V285" s="84"/>
    </row>
    <row r="286" ht="15.75" customHeight="1">
      <c r="A286" s="227">
        <v>1.2050242E7</v>
      </c>
      <c r="B286" s="227" t="str">
        <f t="shared" si="1"/>
        <v>12050</v>
      </c>
      <c r="C286" s="227" t="s">
        <v>3900</v>
      </c>
      <c r="D286" s="59"/>
      <c r="E286" s="59"/>
      <c r="F286" s="126"/>
      <c r="G286" s="126"/>
      <c r="H286" s="125"/>
      <c r="I286" s="125"/>
      <c r="J286" s="99"/>
      <c r="K286" s="99"/>
      <c r="L286" s="99"/>
      <c r="M286" s="99">
        <f t="shared" si="2"/>
        <v>1</v>
      </c>
      <c r="N286" s="99">
        <f t="shared" si="3"/>
        <v>1</v>
      </c>
      <c r="O286" s="84"/>
      <c r="P286" s="84"/>
      <c r="Q286" s="84"/>
      <c r="R286" s="84"/>
      <c r="S286" s="84"/>
      <c r="T286" s="84"/>
      <c r="U286" s="84"/>
      <c r="V286" s="84"/>
    </row>
    <row r="287" ht="15.75" customHeight="1">
      <c r="A287" s="227">
        <v>1.2050261E7</v>
      </c>
      <c r="B287" s="227" t="str">
        <f t="shared" si="1"/>
        <v>12050</v>
      </c>
      <c r="C287" s="227" t="s">
        <v>3901</v>
      </c>
      <c r="D287" s="59"/>
      <c r="E287" s="59"/>
      <c r="F287" s="126"/>
      <c r="G287" s="126"/>
      <c r="H287" s="125"/>
      <c r="I287" s="125"/>
      <c r="J287" s="99"/>
      <c r="K287" s="99"/>
      <c r="L287" s="99"/>
      <c r="M287" s="99">
        <f t="shared" si="2"/>
        <v>1</v>
      </c>
      <c r="N287" s="99">
        <f t="shared" si="3"/>
        <v>1</v>
      </c>
      <c r="O287" s="84"/>
      <c r="P287" s="84"/>
      <c r="Q287" s="84"/>
      <c r="R287" s="84"/>
      <c r="S287" s="84"/>
      <c r="T287" s="84"/>
      <c r="U287" s="84"/>
      <c r="V287" s="84"/>
    </row>
    <row r="288" ht="15.75" customHeight="1">
      <c r="A288" s="227">
        <v>1.2050263E7</v>
      </c>
      <c r="B288" s="227" t="str">
        <f t="shared" si="1"/>
        <v>12050</v>
      </c>
      <c r="C288" s="227" t="s">
        <v>3902</v>
      </c>
      <c r="D288" s="73"/>
      <c r="E288" s="73"/>
      <c r="F288" s="126"/>
      <c r="G288" s="126"/>
      <c r="H288" s="125"/>
      <c r="I288" s="125"/>
      <c r="J288" s="99"/>
      <c r="K288" s="99"/>
      <c r="L288" s="99"/>
      <c r="M288" s="99">
        <f t="shared" si="2"/>
        <v>1</v>
      </c>
      <c r="N288" s="99">
        <f t="shared" si="3"/>
        <v>1</v>
      </c>
      <c r="O288" s="84"/>
      <c r="P288" s="84"/>
      <c r="Q288" s="84"/>
      <c r="R288" s="84"/>
      <c r="S288" s="84"/>
      <c r="T288" s="84"/>
      <c r="U288" s="84"/>
      <c r="V288" s="84"/>
    </row>
    <row r="289" ht="15.75" customHeight="1">
      <c r="A289" s="224">
        <v>1.2098E7</v>
      </c>
      <c r="B289" s="224" t="str">
        <f t="shared" si="1"/>
        <v>12098</v>
      </c>
      <c r="C289" s="224" t="s">
        <v>3903</v>
      </c>
      <c r="D289" s="225" t="s">
        <v>182</v>
      </c>
      <c r="E289" s="226">
        <v>8.0</v>
      </c>
      <c r="F289" s="126"/>
      <c r="G289" s="126"/>
      <c r="H289" s="125"/>
      <c r="I289" s="125"/>
      <c r="J289" s="99"/>
      <c r="K289" s="99"/>
      <c r="L289" s="99"/>
      <c r="M289" s="99">
        <f t="shared" si="2"/>
        <v>1</v>
      </c>
      <c r="N289" s="99">
        <f t="shared" si="3"/>
        <v>1</v>
      </c>
      <c r="O289" s="84"/>
      <c r="P289" s="84"/>
      <c r="Q289" s="84"/>
      <c r="R289" s="84"/>
      <c r="S289" s="84"/>
      <c r="T289" s="84"/>
      <c r="U289" s="84"/>
      <c r="V289" s="84"/>
    </row>
    <row r="290" ht="15.75" customHeight="1">
      <c r="A290" s="224">
        <v>1.2098001E7</v>
      </c>
      <c r="B290" s="224" t="str">
        <f t="shared" si="1"/>
        <v>12098</v>
      </c>
      <c r="C290" s="224" t="s">
        <v>3904</v>
      </c>
      <c r="D290" s="59"/>
      <c r="E290" s="59"/>
      <c r="F290" s="126"/>
      <c r="G290" s="126"/>
      <c r="H290" s="125"/>
      <c r="I290" s="125"/>
      <c r="J290" s="99"/>
      <c r="K290" s="99"/>
      <c r="L290" s="99"/>
      <c r="M290" s="99">
        <f t="shared" si="2"/>
        <v>1</v>
      </c>
      <c r="N290" s="99">
        <f t="shared" si="3"/>
        <v>1</v>
      </c>
      <c r="O290" s="84"/>
      <c r="P290" s="84"/>
      <c r="Q290" s="84"/>
      <c r="R290" s="84"/>
      <c r="S290" s="84"/>
      <c r="T290" s="84"/>
      <c r="U290" s="84"/>
      <c r="V290" s="84"/>
    </row>
    <row r="291" ht="15.75" customHeight="1">
      <c r="A291" s="224">
        <v>1.2098002E7</v>
      </c>
      <c r="B291" s="224" t="str">
        <f t="shared" si="1"/>
        <v>12098</v>
      </c>
      <c r="C291" s="224" t="s">
        <v>3905</v>
      </c>
      <c r="D291" s="59"/>
      <c r="E291" s="59"/>
      <c r="F291" s="126"/>
      <c r="G291" s="126"/>
      <c r="H291" s="125"/>
      <c r="I291" s="125"/>
      <c r="J291" s="99"/>
      <c r="K291" s="99"/>
      <c r="L291" s="99"/>
      <c r="M291" s="99">
        <f t="shared" si="2"/>
        <v>1</v>
      </c>
      <c r="N291" s="99">
        <f t="shared" si="3"/>
        <v>1</v>
      </c>
      <c r="O291" s="84"/>
      <c r="P291" s="84"/>
      <c r="Q291" s="84"/>
      <c r="R291" s="84"/>
      <c r="S291" s="84"/>
      <c r="T291" s="84"/>
      <c r="U291" s="84"/>
      <c r="V291" s="84"/>
    </row>
    <row r="292" ht="15.75" customHeight="1">
      <c r="A292" s="224">
        <v>1.2098003E7</v>
      </c>
      <c r="B292" s="224" t="str">
        <f t="shared" si="1"/>
        <v>12098</v>
      </c>
      <c r="C292" s="224" t="s">
        <v>3906</v>
      </c>
      <c r="D292" s="59"/>
      <c r="E292" s="59"/>
      <c r="F292" s="126"/>
      <c r="G292" s="126"/>
      <c r="H292" s="125"/>
      <c r="I292" s="125"/>
      <c r="J292" s="99"/>
      <c r="K292" s="99"/>
      <c r="L292" s="99"/>
      <c r="M292" s="99">
        <f t="shared" si="2"/>
        <v>1</v>
      </c>
      <c r="N292" s="99">
        <f t="shared" si="3"/>
        <v>1</v>
      </c>
      <c r="O292" s="84"/>
      <c r="P292" s="84"/>
      <c r="Q292" s="84"/>
      <c r="R292" s="84"/>
      <c r="S292" s="84"/>
      <c r="T292" s="84"/>
      <c r="U292" s="84"/>
      <c r="V292" s="84"/>
    </row>
    <row r="293" ht="15.75" customHeight="1">
      <c r="A293" s="227">
        <v>1.20981E7</v>
      </c>
      <c r="B293" s="227" t="str">
        <f t="shared" si="1"/>
        <v>12098</v>
      </c>
      <c r="C293" s="227" t="s">
        <v>3907</v>
      </c>
      <c r="D293" s="59"/>
      <c r="E293" s="59"/>
      <c r="F293" s="126"/>
      <c r="G293" s="126"/>
      <c r="H293" s="125"/>
      <c r="I293" s="125"/>
      <c r="J293" s="99"/>
      <c r="K293" s="99"/>
      <c r="L293" s="99"/>
      <c r="M293" s="99">
        <f t="shared" si="2"/>
        <v>1</v>
      </c>
      <c r="N293" s="99">
        <f t="shared" si="3"/>
        <v>1</v>
      </c>
      <c r="O293" s="84"/>
      <c r="P293" s="84"/>
      <c r="Q293" s="84"/>
      <c r="R293" s="84"/>
      <c r="S293" s="84"/>
      <c r="T293" s="84"/>
      <c r="U293" s="84"/>
      <c r="V293" s="84"/>
    </row>
    <row r="294" ht="15.75" customHeight="1">
      <c r="A294" s="227">
        <v>1.2098101E7</v>
      </c>
      <c r="B294" s="227" t="str">
        <f t="shared" si="1"/>
        <v>12098</v>
      </c>
      <c r="C294" s="227" t="s">
        <v>3908</v>
      </c>
      <c r="D294" s="59"/>
      <c r="E294" s="59"/>
      <c r="F294" s="126"/>
      <c r="G294" s="126"/>
      <c r="H294" s="125"/>
      <c r="I294" s="125"/>
      <c r="J294" s="99"/>
      <c r="K294" s="99"/>
      <c r="L294" s="99"/>
      <c r="M294" s="99">
        <f t="shared" si="2"/>
        <v>1</v>
      </c>
      <c r="N294" s="99">
        <f t="shared" si="3"/>
        <v>1</v>
      </c>
      <c r="O294" s="84"/>
      <c r="P294" s="84"/>
      <c r="Q294" s="84"/>
      <c r="R294" s="84"/>
      <c r="S294" s="84"/>
      <c r="T294" s="84"/>
      <c r="U294" s="84"/>
      <c r="V294" s="84"/>
    </row>
    <row r="295" ht="15.75" customHeight="1">
      <c r="A295" s="227">
        <v>1.2098102E7</v>
      </c>
      <c r="B295" s="227" t="str">
        <f t="shared" si="1"/>
        <v>12098</v>
      </c>
      <c r="C295" s="227" t="s">
        <v>3909</v>
      </c>
      <c r="D295" s="59"/>
      <c r="E295" s="59"/>
      <c r="F295" s="126"/>
      <c r="G295" s="126"/>
      <c r="H295" s="125"/>
      <c r="I295" s="125"/>
      <c r="J295" s="99"/>
      <c r="K295" s="99"/>
      <c r="L295" s="99"/>
      <c r="M295" s="99">
        <f t="shared" si="2"/>
        <v>1</v>
      </c>
      <c r="N295" s="99">
        <f t="shared" si="3"/>
        <v>1</v>
      </c>
      <c r="O295" s="84"/>
      <c r="P295" s="84"/>
      <c r="Q295" s="84"/>
      <c r="R295" s="84"/>
      <c r="S295" s="84"/>
      <c r="T295" s="84"/>
      <c r="U295" s="84"/>
      <c r="V295" s="84"/>
    </row>
    <row r="296" ht="15.75" customHeight="1">
      <c r="A296" s="227">
        <v>1.2098103E7</v>
      </c>
      <c r="B296" s="227" t="str">
        <f t="shared" si="1"/>
        <v>12098</v>
      </c>
      <c r="C296" s="227" t="s">
        <v>3910</v>
      </c>
      <c r="D296" s="73"/>
      <c r="E296" s="73"/>
      <c r="F296" s="126"/>
      <c r="G296" s="126"/>
      <c r="H296" s="125"/>
      <c r="I296" s="125"/>
      <c r="J296" s="99"/>
      <c r="K296" s="99"/>
      <c r="L296" s="99"/>
      <c r="M296" s="99">
        <f t="shared" si="2"/>
        <v>1</v>
      </c>
      <c r="N296" s="99">
        <f t="shared" si="3"/>
        <v>1</v>
      </c>
      <c r="O296" s="84"/>
      <c r="P296" s="84"/>
      <c r="Q296" s="84"/>
      <c r="R296" s="84"/>
      <c r="S296" s="84"/>
      <c r="T296" s="84"/>
      <c r="U296" s="84"/>
      <c r="V296" s="84"/>
    </row>
    <row r="297" ht="15.75" customHeight="1">
      <c r="A297" s="224">
        <v>1.2099E7</v>
      </c>
      <c r="B297" s="224" t="str">
        <f t="shared" si="1"/>
        <v>12099</v>
      </c>
      <c r="C297" s="224" t="s">
        <v>3911</v>
      </c>
      <c r="D297" s="225" t="s">
        <v>183</v>
      </c>
      <c r="E297" s="226">
        <v>8.0</v>
      </c>
      <c r="F297" s="126"/>
      <c r="G297" s="126"/>
      <c r="H297" s="125"/>
      <c r="I297" s="125"/>
      <c r="J297" s="99"/>
      <c r="K297" s="99"/>
      <c r="L297" s="99"/>
      <c r="M297" s="99">
        <f t="shared" si="2"/>
        <v>1</v>
      </c>
      <c r="N297" s="99">
        <f t="shared" si="3"/>
        <v>1</v>
      </c>
      <c r="O297" s="84"/>
      <c r="P297" s="84"/>
      <c r="Q297" s="84"/>
      <c r="R297" s="84"/>
      <c r="S297" s="84"/>
      <c r="T297" s="84"/>
      <c r="U297" s="84"/>
      <c r="V297" s="84"/>
    </row>
    <row r="298" ht="15.75" customHeight="1">
      <c r="A298" s="224">
        <v>1.2099002E7</v>
      </c>
      <c r="B298" s="224" t="str">
        <f t="shared" si="1"/>
        <v>12099</v>
      </c>
      <c r="C298" s="224" t="s">
        <v>3912</v>
      </c>
      <c r="D298" s="59"/>
      <c r="E298" s="59"/>
      <c r="F298" s="126"/>
      <c r="G298" s="126"/>
      <c r="H298" s="125"/>
      <c r="I298" s="125"/>
      <c r="J298" s="99"/>
      <c r="K298" s="99"/>
      <c r="L298" s="99"/>
      <c r="M298" s="99">
        <f t="shared" si="2"/>
        <v>1</v>
      </c>
      <c r="N298" s="99">
        <f t="shared" si="3"/>
        <v>1</v>
      </c>
      <c r="O298" s="84"/>
      <c r="P298" s="84"/>
      <c r="Q298" s="84"/>
      <c r="R298" s="84"/>
      <c r="S298" s="84"/>
      <c r="T298" s="84"/>
      <c r="U298" s="84"/>
      <c r="V298" s="84"/>
    </row>
    <row r="299" ht="15.75" customHeight="1">
      <c r="A299" s="224">
        <v>1.2099004E7</v>
      </c>
      <c r="B299" s="224" t="str">
        <f t="shared" si="1"/>
        <v>12099</v>
      </c>
      <c r="C299" s="224" t="s">
        <v>3913</v>
      </c>
      <c r="D299" s="59"/>
      <c r="E299" s="59"/>
      <c r="F299" s="126"/>
      <c r="G299" s="126"/>
      <c r="H299" s="125"/>
      <c r="I299" s="125"/>
      <c r="J299" s="99"/>
      <c r="K299" s="99"/>
      <c r="L299" s="99"/>
      <c r="M299" s="99">
        <f t="shared" si="2"/>
        <v>1</v>
      </c>
      <c r="N299" s="99">
        <f t="shared" si="3"/>
        <v>1</v>
      </c>
      <c r="O299" s="84"/>
      <c r="P299" s="84"/>
      <c r="Q299" s="84"/>
      <c r="R299" s="84"/>
      <c r="S299" s="84"/>
      <c r="T299" s="84"/>
      <c r="U299" s="84"/>
      <c r="V299" s="84"/>
    </row>
    <row r="300" ht="15.75" customHeight="1">
      <c r="A300" s="224">
        <v>1.2099006E7</v>
      </c>
      <c r="B300" s="224" t="str">
        <f t="shared" si="1"/>
        <v>12099</v>
      </c>
      <c r="C300" s="224" t="s">
        <v>3914</v>
      </c>
      <c r="D300" s="59"/>
      <c r="E300" s="59"/>
      <c r="F300" s="126"/>
      <c r="G300" s="126"/>
      <c r="H300" s="125"/>
      <c r="I300" s="125"/>
      <c r="J300" s="99"/>
      <c r="K300" s="99"/>
      <c r="L300" s="99"/>
      <c r="M300" s="99">
        <f t="shared" si="2"/>
        <v>1</v>
      </c>
      <c r="N300" s="99">
        <f t="shared" si="3"/>
        <v>1</v>
      </c>
      <c r="O300" s="84"/>
      <c r="P300" s="84"/>
      <c r="Q300" s="84"/>
      <c r="R300" s="84"/>
      <c r="S300" s="84"/>
      <c r="T300" s="84"/>
      <c r="U300" s="84"/>
      <c r="V300" s="84"/>
    </row>
    <row r="301" ht="15.75" customHeight="1">
      <c r="A301" s="224">
        <v>1.2099008E7</v>
      </c>
      <c r="B301" s="224" t="str">
        <f t="shared" si="1"/>
        <v>12099</v>
      </c>
      <c r="C301" s="224" t="s">
        <v>3915</v>
      </c>
      <c r="D301" s="59"/>
      <c r="E301" s="59"/>
      <c r="F301" s="126"/>
      <c r="G301" s="126"/>
      <c r="H301" s="125"/>
      <c r="I301" s="125"/>
      <c r="J301" s="99"/>
      <c r="K301" s="99"/>
      <c r="L301" s="99"/>
      <c r="M301" s="99">
        <f t="shared" si="2"/>
        <v>1</v>
      </c>
      <c r="N301" s="99">
        <f t="shared" si="3"/>
        <v>1</v>
      </c>
      <c r="O301" s="84"/>
      <c r="P301" s="84"/>
      <c r="Q301" s="84"/>
      <c r="R301" s="84"/>
      <c r="S301" s="84"/>
      <c r="T301" s="84"/>
      <c r="U301" s="84"/>
      <c r="V301" s="84"/>
    </row>
    <row r="302" ht="15.75" customHeight="1">
      <c r="A302" s="224">
        <v>1.209901E7</v>
      </c>
      <c r="B302" s="224" t="str">
        <f t="shared" si="1"/>
        <v>12099</v>
      </c>
      <c r="C302" s="224" t="s">
        <v>3916</v>
      </c>
      <c r="D302" s="59"/>
      <c r="E302" s="59"/>
      <c r="F302" s="126"/>
      <c r="G302" s="126"/>
      <c r="H302" s="125"/>
      <c r="I302" s="125"/>
      <c r="J302" s="99"/>
      <c r="K302" s="99"/>
      <c r="L302" s="99"/>
      <c r="M302" s="99">
        <f t="shared" si="2"/>
        <v>1</v>
      </c>
      <c r="N302" s="99">
        <f t="shared" si="3"/>
        <v>1</v>
      </c>
      <c r="O302" s="84"/>
      <c r="P302" s="84"/>
      <c r="Q302" s="84"/>
      <c r="R302" s="84"/>
      <c r="S302" s="84"/>
      <c r="T302" s="84"/>
      <c r="U302" s="84"/>
      <c r="V302" s="84"/>
    </row>
    <row r="303" ht="15.75" customHeight="1">
      <c r="A303" s="224">
        <v>1.209902E7</v>
      </c>
      <c r="B303" s="224" t="str">
        <f t="shared" si="1"/>
        <v>12099</v>
      </c>
      <c r="C303" s="224" t="s">
        <v>3917</v>
      </c>
      <c r="D303" s="59"/>
      <c r="E303" s="59"/>
      <c r="F303" s="126"/>
      <c r="G303" s="126"/>
      <c r="H303" s="125"/>
      <c r="I303" s="125"/>
      <c r="J303" s="99"/>
      <c r="K303" s="99"/>
      <c r="L303" s="99"/>
      <c r="M303" s="99">
        <f t="shared" si="2"/>
        <v>1</v>
      </c>
      <c r="N303" s="99">
        <f t="shared" si="3"/>
        <v>1</v>
      </c>
      <c r="O303" s="84"/>
      <c r="P303" s="84"/>
      <c r="Q303" s="84"/>
      <c r="R303" s="84"/>
      <c r="S303" s="84"/>
      <c r="T303" s="84"/>
      <c r="U303" s="84"/>
      <c r="V303" s="84"/>
    </row>
    <row r="304" ht="15.75" customHeight="1">
      <c r="A304" s="224">
        <v>1.2099022E7</v>
      </c>
      <c r="B304" s="224" t="str">
        <f t="shared" si="1"/>
        <v>12099</v>
      </c>
      <c r="C304" s="224" t="s">
        <v>3918</v>
      </c>
      <c r="D304" s="59"/>
      <c r="E304" s="59"/>
      <c r="F304" s="126"/>
      <c r="G304" s="126"/>
      <c r="H304" s="125"/>
      <c r="I304" s="125"/>
      <c r="J304" s="99"/>
      <c r="K304" s="99"/>
      <c r="L304" s="99"/>
      <c r="M304" s="99">
        <f t="shared" si="2"/>
        <v>1</v>
      </c>
      <c r="N304" s="99">
        <f t="shared" si="3"/>
        <v>1</v>
      </c>
      <c r="O304" s="84"/>
      <c r="P304" s="84"/>
      <c r="Q304" s="84"/>
      <c r="R304" s="84"/>
      <c r="S304" s="84"/>
      <c r="T304" s="84"/>
      <c r="U304" s="84"/>
      <c r="V304" s="84"/>
    </row>
    <row r="305" ht="15.75" customHeight="1">
      <c r="A305" s="224">
        <v>1.2099024E7</v>
      </c>
      <c r="B305" s="224" t="str">
        <f t="shared" si="1"/>
        <v>12099</v>
      </c>
      <c r="C305" s="224" t="s">
        <v>3919</v>
      </c>
      <c r="D305" s="59"/>
      <c r="E305" s="59"/>
      <c r="F305" s="126"/>
      <c r="G305" s="126"/>
      <c r="H305" s="125"/>
      <c r="I305" s="125"/>
      <c r="J305" s="99"/>
      <c r="K305" s="99"/>
      <c r="L305" s="99"/>
      <c r="M305" s="99">
        <f t="shared" si="2"/>
        <v>1</v>
      </c>
      <c r="N305" s="99">
        <f t="shared" si="3"/>
        <v>1</v>
      </c>
      <c r="O305" s="84"/>
      <c r="P305" s="84"/>
      <c r="Q305" s="84"/>
      <c r="R305" s="84"/>
      <c r="S305" s="84"/>
      <c r="T305" s="84"/>
      <c r="U305" s="84"/>
      <c r="V305" s="84"/>
    </row>
    <row r="306" ht="15.75" customHeight="1">
      <c r="A306" s="224">
        <v>1.2099026E7</v>
      </c>
      <c r="B306" s="224" t="str">
        <f t="shared" si="1"/>
        <v>12099</v>
      </c>
      <c r="C306" s="224" t="s">
        <v>3920</v>
      </c>
      <c r="D306" s="59"/>
      <c r="E306" s="59"/>
      <c r="F306" s="126"/>
      <c r="G306" s="126"/>
      <c r="H306" s="125"/>
      <c r="I306" s="125"/>
      <c r="J306" s="99"/>
      <c r="K306" s="99"/>
      <c r="L306" s="99"/>
      <c r="M306" s="99">
        <f t="shared" si="2"/>
        <v>1</v>
      </c>
      <c r="N306" s="99">
        <f t="shared" si="3"/>
        <v>1</v>
      </c>
      <c r="O306" s="84"/>
      <c r="P306" s="84"/>
      <c r="Q306" s="84"/>
      <c r="R306" s="84"/>
      <c r="S306" s="84"/>
      <c r="T306" s="84"/>
      <c r="U306" s="84"/>
      <c r="V306" s="84"/>
    </row>
    <row r="307" ht="15.75" customHeight="1">
      <c r="A307" s="224">
        <v>1.2099028E7</v>
      </c>
      <c r="B307" s="224" t="str">
        <f t="shared" si="1"/>
        <v>12099</v>
      </c>
      <c r="C307" s="224" t="s">
        <v>3921</v>
      </c>
      <c r="D307" s="59"/>
      <c r="E307" s="59"/>
      <c r="F307" s="126"/>
      <c r="G307" s="126"/>
      <c r="H307" s="125"/>
      <c r="I307" s="125"/>
      <c r="J307" s="99"/>
      <c r="K307" s="99"/>
      <c r="L307" s="99"/>
      <c r="M307" s="99">
        <f t="shared" si="2"/>
        <v>1</v>
      </c>
      <c r="N307" s="99">
        <f t="shared" si="3"/>
        <v>1</v>
      </c>
      <c r="O307" s="84"/>
      <c r="P307" s="84"/>
      <c r="Q307" s="84"/>
      <c r="R307" s="84"/>
      <c r="S307" s="84"/>
      <c r="T307" s="84"/>
      <c r="U307" s="84"/>
      <c r="V307" s="84"/>
    </row>
    <row r="308" ht="15.75" customHeight="1">
      <c r="A308" s="224">
        <v>1.209903E7</v>
      </c>
      <c r="B308" s="224" t="str">
        <f t="shared" si="1"/>
        <v>12099</v>
      </c>
      <c r="C308" s="224" t="s">
        <v>3922</v>
      </c>
      <c r="D308" s="59"/>
      <c r="E308" s="59"/>
      <c r="F308" s="126"/>
      <c r="G308" s="126"/>
      <c r="H308" s="125"/>
      <c r="I308" s="125"/>
      <c r="J308" s="99"/>
      <c r="K308" s="99"/>
      <c r="L308" s="99"/>
      <c r="M308" s="99">
        <f t="shared" si="2"/>
        <v>1</v>
      </c>
      <c r="N308" s="99">
        <f t="shared" si="3"/>
        <v>1</v>
      </c>
      <c r="O308" s="84"/>
      <c r="P308" s="84"/>
      <c r="Q308" s="84"/>
      <c r="R308" s="84"/>
      <c r="S308" s="84"/>
      <c r="T308" s="84"/>
      <c r="U308" s="84"/>
      <c r="V308" s="84"/>
    </row>
    <row r="309" ht="15.75" customHeight="1">
      <c r="A309" s="224">
        <v>1.209904E7</v>
      </c>
      <c r="B309" s="224" t="str">
        <f t="shared" si="1"/>
        <v>12099</v>
      </c>
      <c r="C309" s="224" t="s">
        <v>3923</v>
      </c>
      <c r="D309" s="59"/>
      <c r="E309" s="59"/>
      <c r="F309" s="126"/>
      <c r="G309" s="126"/>
      <c r="H309" s="125"/>
      <c r="I309" s="125"/>
      <c r="J309" s="99"/>
      <c r="K309" s="99"/>
      <c r="L309" s="99"/>
      <c r="M309" s="99">
        <f t="shared" si="2"/>
        <v>1</v>
      </c>
      <c r="N309" s="99">
        <f t="shared" si="3"/>
        <v>1</v>
      </c>
      <c r="O309" s="84"/>
      <c r="P309" s="84"/>
      <c r="Q309" s="84"/>
      <c r="R309" s="84"/>
      <c r="S309" s="84"/>
      <c r="T309" s="84"/>
      <c r="U309" s="84"/>
      <c r="V309" s="84"/>
    </row>
    <row r="310" ht="15.75" customHeight="1">
      <c r="A310" s="224">
        <v>1.2099042E7</v>
      </c>
      <c r="B310" s="224" t="str">
        <f t="shared" si="1"/>
        <v>12099</v>
      </c>
      <c r="C310" s="224" t="s">
        <v>3924</v>
      </c>
      <c r="D310" s="59"/>
      <c r="E310" s="59"/>
      <c r="F310" s="126"/>
      <c r="G310" s="126"/>
      <c r="H310" s="125"/>
      <c r="I310" s="125"/>
      <c r="J310" s="99"/>
      <c r="K310" s="99"/>
      <c r="L310" s="99"/>
      <c r="M310" s="99">
        <f t="shared" si="2"/>
        <v>1</v>
      </c>
      <c r="N310" s="99">
        <f t="shared" si="3"/>
        <v>1</v>
      </c>
      <c r="O310" s="84"/>
      <c r="P310" s="84"/>
      <c r="Q310" s="84"/>
      <c r="R310" s="84"/>
      <c r="S310" s="84"/>
      <c r="T310" s="84"/>
      <c r="U310" s="84"/>
      <c r="V310" s="84"/>
    </row>
    <row r="311" ht="15.75" customHeight="1">
      <c r="A311" s="224">
        <v>1.2099044E7</v>
      </c>
      <c r="B311" s="224" t="str">
        <f t="shared" si="1"/>
        <v>12099</v>
      </c>
      <c r="C311" s="224" t="s">
        <v>3925</v>
      </c>
      <c r="D311" s="59"/>
      <c r="E311" s="59"/>
      <c r="F311" s="126"/>
      <c r="G311" s="126"/>
      <c r="H311" s="125"/>
      <c r="I311" s="125"/>
      <c r="J311" s="99"/>
      <c r="K311" s="99"/>
      <c r="L311" s="99"/>
      <c r="M311" s="99">
        <f t="shared" si="2"/>
        <v>1</v>
      </c>
      <c r="N311" s="99">
        <f t="shared" si="3"/>
        <v>1</v>
      </c>
      <c r="O311" s="84"/>
      <c r="P311" s="84"/>
      <c r="Q311" s="84"/>
      <c r="R311" s="84"/>
      <c r="S311" s="84"/>
      <c r="T311" s="84"/>
      <c r="U311" s="84"/>
      <c r="V311" s="84"/>
    </row>
    <row r="312" ht="15.75" customHeight="1">
      <c r="A312" s="224">
        <v>1.2099046E7</v>
      </c>
      <c r="B312" s="224" t="str">
        <f t="shared" si="1"/>
        <v>12099</v>
      </c>
      <c r="C312" s="224" t="s">
        <v>3926</v>
      </c>
      <c r="D312" s="59"/>
      <c r="E312" s="59"/>
      <c r="F312" s="126"/>
      <c r="G312" s="126"/>
      <c r="H312" s="125"/>
      <c r="I312" s="125"/>
      <c r="J312" s="99"/>
      <c r="K312" s="99"/>
      <c r="L312" s="99"/>
      <c r="M312" s="99">
        <f t="shared" si="2"/>
        <v>1</v>
      </c>
      <c r="N312" s="99">
        <f t="shared" si="3"/>
        <v>1</v>
      </c>
      <c r="O312" s="84"/>
      <c r="P312" s="84"/>
      <c r="Q312" s="84"/>
      <c r="R312" s="84"/>
      <c r="S312" s="84"/>
      <c r="T312" s="84"/>
      <c r="U312" s="84"/>
      <c r="V312" s="84"/>
    </row>
    <row r="313" ht="15.75" customHeight="1">
      <c r="A313" s="224">
        <v>1.2099048E7</v>
      </c>
      <c r="B313" s="224" t="str">
        <f t="shared" si="1"/>
        <v>12099</v>
      </c>
      <c r="C313" s="224" t="s">
        <v>3927</v>
      </c>
      <c r="D313" s="59"/>
      <c r="E313" s="59"/>
      <c r="F313" s="126"/>
      <c r="G313" s="126"/>
      <c r="H313" s="125"/>
      <c r="I313" s="125"/>
      <c r="J313" s="99"/>
      <c r="K313" s="99"/>
      <c r="L313" s="99"/>
      <c r="M313" s="99">
        <f t="shared" si="2"/>
        <v>1</v>
      </c>
      <c r="N313" s="99">
        <f t="shared" si="3"/>
        <v>1</v>
      </c>
      <c r="O313" s="84"/>
      <c r="P313" s="84"/>
      <c r="Q313" s="84"/>
      <c r="R313" s="84"/>
      <c r="S313" s="84"/>
      <c r="T313" s="84"/>
      <c r="U313" s="84"/>
      <c r="V313" s="84"/>
    </row>
    <row r="314" ht="15.75" customHeight="1">
      <c r="A314" s="224">
        <v>1.209905E7</v>
      </c>
      <c r="B314" s="224" t="str">
        <f t="shared" si="1"/>
        <v>12099</v>
      </c>
      <c r="C314" s="224" t="s">
        <v>3928</v>
      </c>
      <c r="D314" s="59"/>
      <c r="E314" s="59"/>
      <c r="F314" s="126"/>
      <c r="G314" s="126"/>
      <c r="H314" s="125"/>
      <c r="I314" s="125"/>
      <c r="J314" s="99"/>
      <c r="K314" s="99"/>
      <c r="L314" s="99"/>
      <c r="M314" s="99">
        <f t="shared" si="2"/>
        <v>1</v>
      </c>
      <c r="N314" s="99">
        <f t="shared" si="3"/>
        <v>1</v>
      </c>
      <c r="O314" s="84"/>
      <c r="P314" s="84"/>
      <c r="Q314" s="84"/>
      <c r="R314" s="84"/>
      <c r="S314" s="84"/>
      <c r="T314" s="84"/>
      <c r="U314" s="84"/>
      <c r="V314" s="84"/>
    </row>
    <row r="315" ht="15.75" customHeight="1">
      <c r="A315" s="227">
        <v>1.20991E7</v>
      </c>
      <c r="B315" s="227" t="str">
        <f t="shared" si="1"/>
        <v>12099</v>
      </c>
      <c r="C315" s="227" t="s">
        <v>3929</v>
      </c>
      <c r="D315" s="59"/>
      <c r="E315" s="59"/>
      <c r="F315" s="126"/>
      <c r="G315" s="126"/>
      <c r="H315" s="125"/>
      <c r="I315" s="125"/>
      <c r="J315" s="99"/>
      <c r="K315" s="99"/>
      <c r="L315" s="99"/>
      <c r="M315" s="99">
        <f t="shared" si="2"/>
        <v>1</v>
      </c>
      <c r="N315" s="99">
        <f t="shared" si="3"/>
        <v>1</v>
      </c>
      <c r="O315" s="84"/>
      <c r="P315" s="84"/>
      <c r="Q315" s="84"/>
      <c r="R315" s="84"/>
      <c r="S315" s="84"/>
      <c r="T315" s="84"/>
      <c r="U315" s="84"/>
      <c r="V315" s="84"/>
    </row>
    <row r="316" ht="15.75" customHeight="1">
      <c r="A316" s="227">
        <v>1.2099102E7</v>
      </c>
      <c r="B316" s="227" t="str">
        <f t="shared" si="1"/>
        <v>12099</v>
      </c>
      <c r="C316" s="227" t="s">
        <v>3930</v>
      </c>
      <c r="D316" s="59"/>
      <c r="E316" s="59"/>
      <c r="F316" s="126"/>
      <c r="G316" s="126"/>
      <c r="H316" s="125"/>
      <c r="I316" s="125"/>
      <c r="J316" s="99"/>
      <c r="K316" s="99"/>
      <c r="L316" s="99"/>
      <c r="M316" s="99">
        <f t="shared" si="2"/>
        <v>1</v>
      </c>
      <c r="N316" s="99">
        <f t="shared" si="3"/>
        <v>1</v>
      </c>
      <c r="O316" s="84"/>
      <c r="P316" s="84"/>
      <c r="Q316" s="84"/>
      <c r="R316" s="84"/>
      <c r="S316" s="84"/>
      <c r="T316" s="84"/>
      <c r="U316" s="84"/>
      <c r="V316" s="84"/>
    </row>
    <row r="317" ht="15.75" customHeight="1">
      <c r="A317" s="227">
        <v>1.2099104E7</v>
      </c>
      <c r="B317" s="227" t="str">
        <f t="shared" si="1"/>
        <v>12099</v>
      </c>
      <c r="C317" s="227" t="s">
        <v>3931</v>
      </c>
      <c r="D317" s="59"/>
      <c r="E317" s="59"/>
      <c r="F317" s="126"/>
      <c r="G317" s="126"/>
      <c r="H317" s="125"/>
      <c r="I317" s="125"/>
      <c r="J317" s="99"/>
      <c r="K317" s="99"/>
      <c r="L317" s="99"/>
      <c r="M317" s="99">
        <f t="shared" si="2"/>
        <v>1</v>
      </c>
      <c r="N317" s="99">
        <f t="shared" si="3"/>
        <v>1</v>
      </c>
      <c r="O317" s="84"/>
      <c r="P317" s="84"/>
      <c r="Q317" s="84"/>
      <c r="R317" s="84"/>
      <c r="S317" s="84"/>
      <c r="T317" s="84"/>
      <c r="U317" s="84"/>
      <c r="V317" s="84"/>
    </row>
    <row r="318" ht="15.75" customHeight="1">
      <c r="A318" s="227">
        <v>1.2099106E7</v>
      </c>
      <c r="B318" s="227" t="str">
        <f t="shared" si="1"/>
        <v>12099</v>
      </c>
      <c r="C318" s="227" t="s">
        <v>3932</v>
      </c>
      <c r="D318" s="59"/>
      <c r="E318" s="59"/>
      <c r="F318" s="126"/>
      <c r="G318" s="126"/>
      <c r="H318" s="125"/>
      <c r="I318" s="125"/>
      <c r="J318" s="99"/>
      <c r="K318" s="99"/>
      <c r="L318" s="99"/>
      <c r="M318" s="99">
        <f t="shared" si="2"/>
        <v>1</v>
      </c>
      <c r="N318" s="99">
        <f t="shared" si="3"/>
        <v>1</v>
      </c>
      <c r="O318" s="84"/>
      <c r="P318" s="84"/>
      <c r="Q318" s="84"/>
      <c r="R318" s="84"/>
      <c r="S318" s="84"/>
      <c r="T318" s="84"/>
      <c r="U318" s="84"/>
      <c r="V318" s="84"/>
    </row>
    <row r="319" ht="15.75" customHeight="1">
      <c r="A319" s="227">
        <v>1.2099108E7</v>
      </c>
      <c r="B319" s="227" t="str">
        <f t="shared" si="1"/>
        <v>12099</v>
      </c>
      <c r="C319" s="227" t="s">
        <v>3933</v>
      </c>
      <c r="D319" s="59"/>
      <c r="E319" s="59"/>
      <c r="F319" s="126"/>
      <c r="G319" s="126"/>
      <c r="H319" s="125"/>
      <c r="I319" s="125"/>
      <c r="J319" s="99"/>
      <c r="K319" s="99"/>
      <c r="L319" s="99"/>
      <c r="M319" s="99">
        <f t="shared" si="2"/>
        <v>1</v>
      </c>
      <c r="N319" s="99">
        <f t="shared" si="3"/>
        <v>1</v>
      </c>
      <c r="O319" s="84"/>
      <c r="P319" s="84"/>
      <c r="Q319" s="84"/>
      <c r="R319" s="84"/>
      <c r="S319" s="84"/>
      <c r="T319" s="84"/>
      <c r="U319" s="84"/>
      <c r="V319" s="84"/>
    </row>
    <row r="320" ht="15.75" customHeight="1">
      <c r="A320" s="227">
        <v>1.209911E7</v>
      </c>
      <c r="B320" s="227" t="str">
        <f t="shared" si="1"/>
        <v>12099</v>
      </c>
      <c r="C320" s="227" t="s">
        <v>3934</v>
      </c>
      <c r="D320" s="59"/>
      <c r="E320" s="59"/>
      <c r="F320" s="126"/>
      <c r="G320" s="126"/>
      <c r="H320" s="125"/>
      <c r="I320" s="125"/>
      <c r="J320" s="99"/>
      <c r="K320" s="99"/>
      <c r="L320" s="99"/>
      <c r="M320" s="99">
        <f t="shared" si="2"/>
        <v>1</v>
      </c>
      <c r="N320" s="99">
        <f t="shared" si="3"/>
        <v>1</v>
      </c>
      <c r="O320" s="84"/>
      <c r="P320" s="84"/>
      <c r="Q320" s="84"/>
      <c r="R320" s="84"/>
      <c r="S320" s="84"/>
      <c r="T320" s="84"/>
      <c r="U320" s="84"/>
      <c r="V320" s="84"/>
    </row>
    <row r="321" ht="15.75" customHeight="1">
      <c r="A321" s="227">
        <v>1.2099112E7</v>
      </c>
      <c r="B321" s="227" t="str">
        <f t="shared" si="1"/>
        <v>12099</v>
      </c>
      <c r="C321" s="227" t="s">
        <v>3935</v>
      </c>
      <c r="D321" s="59"/>
      <c r="E321" s="59"/>
      <c r="F321" s="126"/>
      <c r="G321" s="126"/>
      <c r="H321" s="125"/>
      <c r="I321" s="125"/>
      <c r="J321" s="99"/>
      <c r="K321" s="99"/>
      <c r="L321" s="99"/>
      <c r="M321" s="99">
        <f t="shared" si="2"/>
        <v>1</v>
      </c>
      <c r="N321" s="99">
        <f t="shared" si="3"/>
        <v>1</v>
      </c>
      <c r="O321" s="84"/>
      <c r="P321" s="84"/>
      <c r="Q321" s="84"/>
      <c r="R321" s="84"/>
      <c r="S321" s="84"/>
      <c r="T321" s="84"/>
      <c r="U321" s="84"/>
      <c r="V321" s="84"/>
    </row>
    <row r="322" ht="15.75" customHeight="1">
      <c r="A322" s="227">
        <v>1.2099114E7</v>
      </c>
      <c r="B322" s="227" t="str">
        <f t="shared" si="1"/>
        <v>12099</v>
      </c>
      <c r="C322" s="227" t="s">
        <v>3936</v>
      </c>
      <c r="D322" s="59"/>
      <c r="E322" s="59"/>
      <c r="F322" s="126"/>
      <c r="G322" s="126"/>
      <c r="H322" s="125"/>
      <c r="I322" s="125"/>
      <c r="J322" s="99"/>
      <c r="K322" s="99"/>
      <c r="L322" s="99"/>
      <c r="M322" s="99">
        <f t="shared" si="2"/>
        <v>1</v>
      </c>
      <c r="N322" s="99">
        <f t="shared" si="3"/>
        <v>1</v>
      </c>
      <c r="O322" s="84"/>
      <c r="P322" s="84"/>
      <c r="Q322" s="84"/>
      <c r="R322" s="84"/>
      <c r="S322" s="84"/>
      <c r="T322" s="84"/>
      <c r="U322" s="84"/>
      <c r="V322" s="84"/>
    </row>
    <row r="323" ht="15.75" customHeight="1">
      <c r="A323" s="227">
        <v>1.2099116E7</v>
      </c>
      <c r="B323" s="227" t="str">
        <f t="shared" si="1"/>
        <v>12099</v>
      </c>
      <c r="C323" s="227" t="s">
        <v>3937</v>
      </c>
      <c r="D323" s="59"/>
      <c r="E323" s="59"/>
      <c r="F323" s="126"/>
      <c r="G323" s="126"/>
      <c r="H323" s="125"/>
      <c r="I323" s="125"/>
      <c r="J323" s="99"/>
      <c r="K323" s="99"/>
      <c r="L323" s="99"/>
      <c r="M323" s="99">
        <f t="shared" si="2"/>
        <v>1</v>
      </c>
      <c r="N323" s="99">
        <f t="shared" si="3"/>
        <v>1</v>
      </c>
      <c r="O323" s="84"/>
      <c r="P323" s="84"/>
      <c r="Q323" s="84"/>
      <c r="R323" s="84"/>
      <c r="S323" s="84"/>
      <c r="T323" s="84"/>
      <c r="U323" s="84"/>
      <c r="V323" s="84"/>
    </row>
    <row r="324" ht="15.75" customHeight="1">
      <c r="A324" s="227">
        <v>1.2099118E7</v>
      </c>
      <c r="B324" s="227" t="str">
        <f t="shared" si="1"/>
        <v>12099</v>
      </c>
      <c r="C324" s="227" t="s">
        <v>3938</v>
      </c>
      <c r="D324" s="59"/>
      <c r="E324" s="59"/>
      <c r="F324" s="126"/>
      <c r="G324" s="126"/>
      <c r="H324" s="125"/>
      <c r="I324" s="125"/>
      <c r="J324" s="99"/>
      <c r="K324" s="99"/>
      <c r="L324" s="99"/>
      <c r="M324" s="99">
        <f t="shared" si="2"/>
        <v>1</v>
      </c>
      <c r="N324" s="99">
        <f t="shared" si="3"/>
        <v>1</v>
      </c>
      <c r="O324" s="84"/>
      <c r="P324" s="84"/>
      <c r="Q324" s="84"/>
      <c r="R324" s="84"/>
      <c r="S324" s="84"/>
      <c r="T324" s="84"/>
      <c r="U324" s="84"/>
      <c r="V324" s="84"/>
    </row>
    <row r="325" ht="15.75" customHeight="1">
      <c r="A325" s="227">
        <v>1.20992E7</v>
      </c>
      <c r="B325" s="227" t="str">
        <f t="shared" si="1"/>
        <v>12099</v>
      </c>
      <c r="C325" s="227" t="s">
        <v>3939</v>
      </c>
      <c r="D325" s="59"/>
      <c r="E325" s="59"/>
      <c r="F325" s="126"/>
      <c r="G325" s="126"/>
      <c r="H325" s="125"/>
      <c r="I325" s="125"/>
      <c r="J325" s="99"/>
      <c r="K325" s="99"/>
      <c r="L325" s="99"/>
      <c r="M325" s="99">
        <f t="shared" si="2"/>
        <v>1</v>
      </c>
      <c r="N325" s="99">
        <f t="shared" si="3"/>
        <v>1</v>
      </c>
      <c r="O325" s="84"/>
      <c r="P325" s="84"/>
      <c r="Q325" s="84"/>
      <c r="R325" s="84"/>
      <c r="S325" s="84"/>
      <c r="T325" s="84"/>
      <c r="U325" s="84"/>
      <c r="V325" s="84"/>
    </row>
    <row r="326" ht="15.75" customHeight="1">
      <c r="A326" s="227">
        <v>1.2099202E7</v>
      </c>
      <c r="B326" s="227" t="str">
        <f t="shared" si="1"/>
        <v>12099</v>
      </c>
      <c r="C326" s="227" t="s">
        <v>3940</v>
      </c>
      <c r="D326" s="59"/>
      <c r="E326" s="59"/>
      <c r="F326" s="126"/>
      <c r="G326" s="126"/>
      <c r="H326" s="125"/>
      <c r="I326" s="125"/>
      <c r="J326" s="99"/>
      <c r="K326" s="99"/>
      <c r="L326" s="99"/>
      <c r="M326" s="99">
        <f t="shared" si="2"/>
        <v>1</v>
      </c>
      <c r="N326" s="99">
        <f t="shared" si="3"/>
        <v>1</v>
      </c>
      <c r="O326" s="84"/>
      <c r="P326" s="84"/>
      <c r="Q326" s="84"/>
      <c r="R326" s="84"/>
      <c r="S326" s="84"/>
      <c r="T326" s="84"/>
      <c r="U326" s="84"/>
      <c r="V326" s="84"/>
    </row>
    <row r="327" ht="15.75" customHeight="1">
      <c r="A327" s="227">
        <v>1.2099204E7</v>
      </c>
      <c r="B327" s="227" t="str">
        <f t="shared" si="1"/>
        <v>12099</v>
      </c>
      <c r="C327" s="227" t="s">
        <v>3941</v>
      </c>
      <c r="D327" s="59"/>
      <c r="E327" s="59"/>
      <c r="F327" s="126"/>
      <c r="G327" s="126"/>
      <c r="H327" s="125"/>
      <c r="I327" s="125"/>
      <c r="J327" s="99"/>
      <c r="K327" s="99"/>
      <c r="L327" s="99"/>
      <c r="M327" s="99">
        <f t="shared" si="2"/>
        <v>1</v>
      </c>
      <c r="N327" s="99">
        <f t="shared" si="3"/>
        <v>1</v>
      </c>
      <c r="O327" s="84"/>
      <c r="P327" s="84"/>
      <c r="Q327" s="84"/>
      <c r="R327" s="84"/>
      <c r="S327" s="84"/>
      <c r="T327" s="84"/>
      <c r="U327" s="84"/>
      <c r="V327" s="84"/>
    </row>
    <row r="328" ht="15.75" customHeight="1">
      <c r="A328" s="227">
        <v>1.2099206E7</v>
      </c>
      <c r="B328" s="227" t="str">
        <f t="shared" si="1"/>
        <v>12099</v>
      </c>
      <c r="C328" s="227" t="s">
        <v>3942</v>
      </c>
      <c r="D328" s="59"/>
      <c r="E328" s="59"/>
      <c r="F328" s="126"/>
      <c r="G328" s="126"/>
      <c r="H328" s="125"/>
      <c r="I328" s="125"/>
      <c r="J328" s="99"/>
      <c r="K328" s="99"/>
      <c r="L328" s="99"/>
      <c r="M328" s="99">
        <f t="shared" si="2"/>
        <v>1</v>
      </c>
      <c r="N328" s="99">
        <f t="shared" si="3"/>
        <v>1</v>
      </c>
      <c r="O328" s="84"/>
      <c r="P328" s="84"/>
      <c r="Q328" s="84"/>
      <c r="R328" s="84"/>
      <c r="S328" s="84"/>
      <c r="T328" s="84"/>
      <c r="U328" s="84"/>
      <c r="V328" s="84"/>
    </row>
    <row r="329" ht="15.75" customHeight="1">
      <c r="A329" s="227">
        <v>1.2099208E7</v>
      </c>
      <c r="B329" s="227" t="str">
        <f t="shared" si="1"/>
        <v>12099</v>
      </c>
      <c r="C329" s="227" t="s">
        <v>3943</v>
      </c>
      <c r="D329" s="59"/>
      <c r="E329" s="59"/>
      <c r="F329" s="126"/>
      <c r="G329" s="126"/>
      <c r="H329" s="125"/>
      <c r="I329" s="125"/>
      <c r="J329" s="99"/>
      <c r="K329" s="99"/>
      <c r="L329" s="99"/>
      <c r="M329" s="99">
        <f t="shared" si="2"/>
        <v>1</v>
      </c>
      <c r="N329" s="99">
        <f t="shared" si="3"/>
        <v>1</v>
      </c>
      <c r="O329" s="84"/>
      <c r="P329" s="84"/>
      <c r="Q329" s="84"/>
      <c r="R329" s="84"/>
      <c r="S329" s="84"/>
      <c r="T329" s="84"/>
      <c r="U329" s="84"/>
      <c r="V329" s="84"/>
    </row>
    <row r="330" ht="15.75" customHeight="1">
      <c r="A330" s="227">
        <v>1.209921E7</v>
      </c>
      <c r="B330" s="227" t="str">
        <f t="shared" si="1"/>
        <v>12099</v>
      </c>
      <c r="C330" s="227" t="s">
        <v>3944</v>
      </c>
      <c r="D330" s="59"/>
      <c r="E330" s="59"/>
      <c r="F330" s="126"/>
      <c r="G330" s="126"/>
      <c r="H330" s="125"/>
      <c r="I330" s="125"/>
      <c r="J330" s="99"/>
      <c r="K330" s="99"/>
      <c r="L330" s="99"/>
      <c r="M330" s="99">
        <f t="shared" si="2"/>
        <v>1</v>
      </c>
      <c r="N330" s="99">
        <f t="shared" si="3"/>
        <v>1</v>
      </c>
      <c r="O330" s="84"/>
      <c r="P330" s="84"/>
      <c r="Q330" s="84"/>
      <c r="R330" s="84"/>
      <c r="S330" s="84"/>
      <c r="T330" s="84"/>
      <c r="U330" s="84"/>
      <c r="V330" s="84"/>
    </row>
    <row r="331" ht="15.75" customHeight="1">
      <c r="A331" s="227">
        <v>1.2099212E7</v>
      </c>
      <c r="B331" s="227" t="str">
        <f t="shared" si="1"/>
        <v>12099</v>
      </c>
      <c r="C331" s="227" t="s">
        <v>3945</v>
      </c>
      <c r="D331" s="59"/>
      <c r="E331" s="59"/>
      <c r="F331" s="126"/>
      <c r="G331" s="126"/>
      <c r="H331" s="125"/>
      <c r="I331" s="125"/>
      <c r="J331" s="99"/>
      <c r="K331" s="99"/>
      <c r="L331" s="99"/>
      <c r="M331" s="99">
        <f t="shared" si="2"/>
        <v>1</v>
      </c>
      <c r="N331" s="99">
        <f t="shared" si="3"/>
        <v>1</v>
      </c>
      <c r="O331" s="84"/>
      <c r="P331" s="84"/>
      <c r="Q331" s="84"/>
      <c r="R331" s="84"/>
      <c r="S331" s="84"/>
      <c r="T331" s="84"/>
      <c r="U331" s="84"/>
      <c r="V331" s="84"/>
    </row>
    <row r="332" ht="15.75" customHeight="1">
      <c r="A332" s="227">
        <v>1.2099214E7</v>
      </c>
      <c r="B332" s="227" t="str">
        <f t="shared" si="1"/>
        <v>12099</v>
      </c>
      <c r="C332" s="227" t="s">
        <v>3946</v>
      </c>
      <c r="D332" s="59"/>
      <c r="E332" s="59"/>
      <c r="F332" s="126"/>
      <c r="G332" s="126"/>
      <c r="H332" s="125"/>
      <c r="I332" s="125"/>
      <c r="J332" s="99"/>
      <c r="K332" s="99"/>
      <c r="L332" s="99"/>
      <c r="M332" s="99">
        <f t="shared" si="2"/>
        <v>1</v>
      </c>
      <c r="N332" s="99">
        <f t="shared" si="3"/>
        <v>1</v>
      </c>
      <c r="O332" s="84"/>
      <c r="P332" s="84"/>
      <c r="Q332" s="84"/>
      <c r="R332" s="84"/>
      <c r="S332" s="84"/>
      <c r="T332" s="84"/>
      <c r="U332" s="84"/>
      <c r="V332" s="84"/>
    </row>
    <row r="333" ht="15.75" customHeight="1">
      <c r="A333" s="227">
        <v>1.2099216E7</v>
      </c>
      <c r="B333" s="227" t="str">
        <f t="shared" si="1"/>
        <v>12099</v>
      </c>
      <c r="C333" s="227" t="s">
        <v>3947</v>
      </c>
      <c r="D333" s="59"/>
      <c r="E333" s="59"/>
      <c r="F333" s="126"/>
      <c r="G333" s="126"/>
      <c r="H333" s="125"/>
      <c r="I333" s="125"/>
      <c r="J333" s="99"/>
      <c r="K333" s="99"/>
      <c r="L333" s="99"/>
      <c r="M333" s="99">
        <f t="shared" si="2"/>
        <v>1</v>
      </c>
      <c r="N333" s="99">
        <f t="shared" si="3"/>
        <v>1</v>
      </c>
      <c r="O333" s="84"/>
      <c r="P333" s="84"/>
      <c r="Q333" s="84"/>
      <c r="R333" s="84"/>
      <c r="S333" s="84"/>
      <c r="T333" s="84"/>
      <c r="U333" s="84"/>
      <c r="V333" s="84"/>
    </row>
    <row r="334" ht="15.75" customHeight="1">
      <c r="A334" s="227">
        <v>1.2099218E7</v>
      </c>
      <c r="B334" s="227" t="str">
        <f t="shared" si="1"/>
        <v>12099</v>
      </c>
      <c r="C334" s="227" t="s">
        <v>3948</v>
      </c>
      <c r="D334" s="59"/>
      <c r="E334" s="59"/>
      <c r="F334" s="126"/>
      <c r="G334" s="126"/>
      <c r="H334" s="125"/>
      <c r="I334" s="125"/>
      <c r="J334" s="99"/>
      <c r="K334" s="99"/>
      <c r="L334" s="99"/>
      <c r="M334" s="99">
        <f t="shared" si="2"/>
        <v>1</v>
      </c>
      <c r="N334" s="99">
        <f t="shared" si="3"/>
        <v>1</v>
      </c>
      <c r="O334" s="84"/>
      <c r="P334" s="84"/>
      <c r="Q334" s="84"/>
      <c r="R334" s="84"/>
      <c r="S334" s="84"/>
      <c r="T334" s="84"/>
      <c r="U334" s="84"/>
      <c r="V334" s="84"/>
    </row>
    <row r="335" ht="15.75" customHeight="1">
      <c r="A335" s="227">
        <v>1.20993E7</v>
      </c>
      <c r="B335" s="227" t="str">
        <f t="shared" si="1"/>
        <v>12099</v>
      </c>
      <c r="C335" s="227" t="s">
        <v>3949</v>
      </c>
      <c r="D335" s="59"/>
      <c r="E335" s="59"/>
      <c r="F335" s="126"/>
      <c r="G335" s="126"/>
      <c r="H335" s="125"/>
      <c r="I335" s="125"/>
      <c r="J335" s="99"/>
      <c r="K335" s="99"/>
      <c r="L335" s="99"/>
      <c r="M335" s="99">
        <f t="shared" si="2"/>
        <v>1</v>
      </c>
      <c r="N335" s="99">
        <f t="shared" si="3"/>
        <v>1</v>
      </c>
      <c r="O335" s="84"/>
      <c r="P335" s="84"/>
      <c r="Q335" s="84"/>
      <c r="R335" s="84"/>
      <c r="S335" s="84"/>
      <c r="T335" s="84"/>
      <c r="U335" s="84"/>
      <c r="V335" s="84"/>
    </row>
    <row r="336" ht="15.75" customHeight="1">
      <c r="A336" s="227">
        <v>1.2099302E7</v>
      </c>
      <c r="B336" s="227" t="str">
        <f t="shared" si="1"/>
        <v>12099</v>
      </c>
      <c r="C336" s="227" t="s">
        <v>3950</v>
      </c>
      <c r="D336" s="59"/>
      <c r="E336" s="59"/>
      <c r="F336" s="126"/>
      <c r="G336" s="126"/>
      <c r="H336" s="125"/>
      <c r="I336" s="125"/>
      <c r="J336" s="99"/>
      <c r="K336" s="99"/>
      <c r="L336" s="99"/>
      <c r="M336" s="99">
        <f t="shared" si="2"/>
        <v>1</v>
      </c>
      <c r="N336" s="99">
        <f t="shared" si="3"/>
        <v>1</v>
      </c>
      <c r="O336" s="84"/>
      <c r="P336" s="84"/>
      <c r="Q336" s="84"/>
      <c r="R336" s="84"/>
      <c r="S336" s="84"/>
      <c r="T336" s="84"/>
      <c r="U336" s="84"/>
      <c r="V336" s="84"/>
    </row>
    <row r="337" ht="15.75" customHeight="1">
      <c r="A337" s="227">
        <v>1.2099304E7</v>
      </c>
      <c r="B337" s="227" t="str">
        <f t="shared" si="1"/>
        <v>12099</v>
      </c>
      <c r="C337" s="227" t="s">
        <v>3951</v>
      </c>
      <c r="D337" s="59"/>
      <c r="E337" s="59"/>
      <c r="F337" s="126"/>
      <c r="G337" s="126"/>
      <c r="H337" s="125"/>
      <c r="I337" s="125"/>
      <c r="J337" s="99"/>
      <c r="K337" s="99"/>
      <c r="L337" s="99"/>
      <c r="M337" s="99">
        <f t="shared" si="2"/>
        <v>1</v>
      </c>
      <c r="N337" s="99">
        <f t="shared" si="3"/>
        <v>1</v>
      </c>
      <c r="O337" s="84"/>
      <c r="P337" s="84"/>
      <c r="Q337" s="84"/>
      <c r="R337" s="84"/>
      <c r="S337" s="84"/>
      <c r="T337" s="84"/>
      <c r="U337" s="84"/>
      <c r="V337" s="84"/>
    </row>
    <row r="338" ht="15.75" customHeight="1">
      <c r="A338" s="227">
        <v>1.2099306E7</v>
      </c>
      <c r="B338" s="227" t="str">
        <f t="shared" si="1"/>
        <v>12099</v>
      </c>
      <c r="C338" s="227" t="s">
        <v>3952</v>
      </c>
      <c r="D338" s="59"/>
      <c r="E338" s="59"/>
      <c r="F338" s="126"/>
      <c r="G338" s="126"/>
      <c r="H338" s="125"/>
      <c r="I338" s="125"/>
      <c r="J338" s="99"/>
      <c r="K338" s="99"/>
      <c r="L338" s="99"/>
      <c r="M338" s="99">
        <f t="shared" si="2"/>
        <v>1</v>
      </c>
      <c r="N338" s="99">
        <f t="shared" si="3"/>
        <v>1</v>
      </c>
      <c r="O338" s="84"/>
      <c r="P338" s="84"/>
      <c r="Q338" s="84"/>
      <c r="R338" s="84"/>
      <c r="S338" s="84"/>
      <c r="T338" s="84"/>
      <c r="U338" s="84"/>
      <c r="V338" s="84"/>
    </row>
    <row r="339" ht="15.75" customHeight="1">
      <c r="A339" s="227">
        <v>1.2099308E7</v>
      </c>
      <c r="B339" s="227" t="str">
        <f t="shared" si="1"/>
        <v>12099</v>
      </c>
      <c r="C339" s="227" t="s">
        <v>3953</v>
      </c>
      <c r="D339" s="59"/>
      <c r="E339" s="59"/>
      <c r="F339" s="126"/>
      <c r="G339" s="126"/>
      <c r="H339" s="125"/>
      <c r="I339" s="125"/>
      <c r="J339" s="99"/>
      <c r="K339" s="99"/>
      <c r="L339" s="99"/>
      <c r="M339" s="99">
        <f t="shared" si="2"/>
        <v>1</v>
      </c>
      <c r="N339" s="99">
        <f t="shared" si="3"/>
        <v>1</v>
      </c>
      <c r="O339" s="84"/>
      <c r="P339" s="84"/>
      <c r="Q339" s="84"/>
      <c r="R339" s="84"/>
      <c r="S339" s="84"/>
      <c r="T339" s="84"/>
      <c r="U339" s="84"/>
      <c r="V339" s="84"/>
    </row>
    <row r="340" ht="15.75" customHeight="1">
      <c r="A340" s="227">
        <v>1.209931E7</v>
      </c>
      <c r="B340" s="227" t="str">
        <f t="shared" si="1"/>
        <v>12099</v>
      </c>
      <c r="C340" s="227" t="s">
        <v>3954</v>
      </c>
      <c r="D340" s="59"/>
      <c r="E340" s="59"/>
      <c r="F340" s="126"/>
      <c r="G340" s="126"/>
      <c r="H340" s="125"/>
      <c r="I340" s="125"/>
      <c r="J340" s="99"/>
      <c r="K340" s="99"/>
      <c r="L340" s="99"/>
      <c r="M340" s="99">
        <f t="shared" si="2"/>
        <v>1</v>
      </c>
      <c r="N340" s="99">
        <f t="shared" si="3"/>
        <v>1</v>
      </c>
      <c r="O340" s="84"/>
      <c r="P340" s="84"/>
      <c r="Q340" s="84"/>
      <c r="R340" s="84"/>
      <c r="S340" s="84"/>
      <c r="T340" s="84"/>
      <c r="U340" s="84"/>
      <c r="V340" s="84"/>
    </row>
    <row r="341" ht="15.75" customHeight="1">
      <c r="A341" s="227">
        <v>1.2099312E7</v>
      </c>
      <c r="B341" s="227" t="str">
        <f t="shared" si="1"/>
        <v>12099</v>
      </c>
      <c r="C341" s="227" t="s">
        <v>3955</v>
      </c>
      <c r="D341" s="59"/>
      <c r="E341" s="59"/>
      <c r="F341" s="126"/>
      <c r="G341" s="126"/>
      <c r="H341" s="125"/>
      <c r="I341" s="125"/>
      <c r="J341" s="99"/>
      <c r="K341" s="99"/>
      <c r="L341" s="99"/>
      <c r="M341" s="99">
        <f t="shared" si="2"/>
        <v>1</v>
      </c>
      <c r="N341" s="99">
        <f t="shared" si="3"/>
        <v>1</v>
      </c>
      <c r="O341" s="84"/>
      <c r="P341" s="84"/>
      <c r="Q341" s="84"/>
      <c r="R341" s="84"/>
      <c r="S341" s="84"/>
      <c r="T341" s="84"/>
      <c r="U341" s="84"/>
      <c r="V341" s="84"/>
    </row>
    <row r="342" ht="15.75" customHeight="1">
      <c r="A342" s="227">
        <v>1.2099314E7</v>
      </c>
      <c r="B342" s="227" t="str">
        <f t="shared" si="1"/>
        <v>12099</v>
      </c>
      <c r="C342" s="227" t="s">
        <v>3956</v>
      </c>
      <c r="D342" s="59"/>
      <c r="E342" s="59"/>
      <c r="F342" s="126"/>
      <c r="G342" s="126"/>
      <c r="H342" s="125"/>
      <c r="I342" s="125"/>
      <c r="J342" s="99"/>
      <c r="K342" s="99"/>
      <c r="L342" s="99"/>
      <c r="M342" s="99">
        <f t="shared" si="2"/>
        <v>1</v>
      </c>
      <c r="N342" s="99">
        <f t="shared" si="3"/>
        <v>1</v>
      </c>
      <c r="O342" s="84"/>
      <c r="P342" s="84"/>
      <c r="Q342" s="84"/>
      <c r="R342" s="84"/>
      <c r="S342" s="84"/>
      <c r="T342" s="84"/>
      <c r="U342" s="84"/>
      <c r="V342" s="84"/>
    </row>
    <row r="343" ht="15.75" customHeight="1">
      <c r="A343" s="227">
        <v>1.2099316E7</v>
      </c>
      <c r="B343" s="227" t="str">
        <f t="shared" si="1"/>
        <v>12099</v>
      </c>
      <c r="C343" s="227" t="s">
        <v>3957</v>
      </c>
      <c r="D343" s="59"/>
      <c r="E343" s="59"/>
      <c r="F343" s="126"/>
      <c r="G343" s="126"/>
      <c r="H343" s="125"/>
      <c r="I343" s="125"/>
      <c r="J343" s="99"/>
      <c r="K343" s="99"/>
      <c r="L343" s="99"/>
      <c r="M343" s="99">
        <f t="shared" si="2"/>
        <v>1</v>
      </c>
      <c r="N343" s="99">
        <f t="shared" si="3"/>
        <v>1</v>
      </c>
      <c r="O343" s="84"/>
      <c r="P343" s="84"/>
      <c r="Q343" s="84"/>
      <c r="R343" s="84"/>
      <c r="S343" s="84"/>
      <c r="T343" s="84"/>
      <c r="U343" s="84"/>
      <c r="V343" s="84"/>
    </row>
    <row r="344" ht="15.75" customHeight="1">
      <c r="A344" s="227">
        <v>1.2099318E7</v>
      </c>
      <c r="B344" s="227" t="str">
        <f t="shared" si="1"/>
        <v>12099</v>
      </c>
      <c r="C344" s="227" t="s">
        <v>3958</v>
      </c>
      <c r="D344" s="73"/>
      <c r="E344" s="73"/>
      <c r="F344" s="126"/>
      <c r="G344" s="126"/>
      <c r="H344" s="125"/>
      <c r="I344" s="125"/>
      <c r="J344" s="99"/>
      <c r="K344" s="99"/>
      <c r="L344" s="99"/>
      <c r="M344" s="99">
        <f t="shared" si="2"/>
        <v>1</v>
      </c>
      <c r="N344" s="99">
        <f t="shared" si="3"/>
        <v>1</v>
      </c>
      <c r="O344" s="84"/>
      <c r="P344" s="84"/>
      <c r="Q344" s="84"/>
      <c r="R344" s="84"/>
      <c r="S344" s="84"/>
      <c r="T344" s="84"/>
      <c r="U344" s="84"/>
      <c r="V344" s="84"/>
    </row>
    <row r="345" ht="15.75" customHeight="1">
      <c r="A345" s="227">
        <v>1.2100001E7</v>
      </c>
      <c r="B345" s="227" t="str">
        <f t="shared" si="1"/>
        <v>12100</v>
      </c>
      <c r="C345" s="227" t="s">
        <v>3959</v>
      </c>
      <c r="D345" s="225" t="s">
        <v>3960</v>
      </c>
      <c r="E345" s="226">
        <v>8.0</v>
      </c>
      <c r="F345" s="126"/>
      <c r="G345" s="126"/>
      <c r="H345" s="125"/>
      <c r="I345" s="125"/>
      <c r="J345" s="99"/>
      <c r="K345" s="99"/>
      <c r="L345" s="99"/>
      <c r="M345" s="99">
        <f t="shared" si="2"/>
        <v>1</v>
      </c>
      <c r="N345" s="99">
        <f t="shared" si="3"/>
        <v>1</v>
      </c>
      <c r="O345" s="84"/>
      <c r="P345" s="84"/>
      <c r="Q345" s="84"/>
      <c r="R345" s="84"/>
      <c r="S345" s="84"/>
      <c r="T345" s="84"/>
      <c r="U345" s="84"/>
      <c r="V345" s="84"/>
    </row>
    <row r="346" ht="15.75" customHeight="1">
      <c r="A346" s="227">
        <v>1.2100002E7</v>
      </c>
      <c r="B346" s="227" t="str">
        <f t="shared" si="1"/>
        <v>12100</v>
      </c>
      <c r="C346" s="227" t="s">
        <v>3961</v>
      </c>
      <c r="D346" s="59"/>
      <c r="E346" s="59"/>
      <c r="F346" s="126"/>
      <c r="G346" s="126"/>
      <c r="H346" s="125"/>
      <c r="I346" s="125"/>
      <c r="J346" s="99"/>
      <c r="K346" s="99"/>
      <c r="L346" s="99"/>
      <c r="M346" s="99">
        <f t="shared" si="2"/>
        <v>1</v>
      </c>
      <c r="N346" s="99">
        <f t="shared" si="3"/>
        <v>1</v>
      </c>
      <c r="O346" s="84"/>
      <c r="P346" s="84"/>
      <c r="Q346" s="84"/>
      <c r="R346" s="84"/>
      <c r="S346" s="84"/>
      <c r="T346" s="84"/>
      <c r="U346" s="84"/>
      <c r="V346" s="84"/>
    </row>
    <row r="347" ht="15.75" customHeight="1">
      <c r="A347" s="227">
        <v>1.2100003E7</v>
      </c>
      <c r="B347" s="227" t="str">
        <f t="shared" si="1"/>
        <v>12100</v>
      </c>
      <c r="C347" s="227" t="s">
        <v>3962</v>
      </c>
      <c r="D347" s="59"/>
      <c r="E347" s="59"/>
      <c r="F347" s="126"/>
      <c r="G347" s="126"/>
      <c r="H347" s="125"/>
      <c r="I347" s="125"/>
      <c r="J347" s="99"/>
      <c r="K347" s="99"/>
      <c r="L347" s="99"/>
      <c r="M347" s="99">
        <f t="shared" si="2"/>
        <v>1</v>
      </c>
      <c r="N347" s="99">
        <f t="shared" si="3"/>
        <v>1</v>
      </c>
      <c r="O347" s="84"/>
      <c r="P347" s="84"/>
      <c r="Q347" s="84"/>
      <c r="R347" s="84"/>
      <c r="S347" s="84"/>
      <c r="T347" s="84"/>
      <c r="U347" s="84"/>
      <c r="V347" s="84"/>
    </row>
    <row r="348" ht="15.75" customHeight="1">
      <c r="A348" s="227">
        <v>1.2100004E7</v>
      </c>
      <c r="B348" s="227" t="str">
        <f t="shared" si="1"/>
        <v>12100</v>
      </c>
      <c r="C348" s="227" t="s">
        <v>3963</v>
      </c>
      <c r="D348" s="59"/>
      <c r="E348" s="59"/>
      <c r="F348" s="126"/>
      <c r="G348" s="126"/>
      <c r="H348" s="125"/>
      <c r="I348" s="125"/>
      <c r="J348" s="99"/>
      <c r="K348" s="99"/>
      <c r="L348" s="99"/>
      <c r="M348" s="99">
        <f t="shared" si="2"/>
        <v>1</v>
      </c>
      <c r="N348" s="99">
        <f t="shared" si="3"/>
        <v>1</v>
      </c>
      <c r="O348" s="84"/>
      <c r="P348" s="84"/>
      <c r="Q348" s="84"/>
      <c r="R348" s="84"/>
      <c r="S348" s="84"/>
      <c r="T348" s="84"/>
      <c r="U348" s="84"/>
      <c r="V348" s="84"/>
    </row>
    <row r="349" ht="15.75" customHeight="1">
      <c r="A349" s="227">
        <v>1.2100005E7</v>
      </c>
      <c r="B349" s="227" t="str">
        <f t="shared" si="1"/>
        <v>12100</v>
      </c>
      <c r="C349" s="227" t="s">
        <v>3964</v>
      </c>
      <c r="D349" s="59"/>
      <c r="E349" s="59"/>
      <c r="F349" s="126"/>
      <c r="G349" s="126"/>
      <c r="H349" s="125"/>
      <c r="I349" s="125"/>
      <c r="J349" s="99"/>
      <c r="K349" s="99"/>
      <c r="L349" s="99"/>
      <c r="M349" s="99">
        <f t="shared" si="2"/>
        <v>1</v>
      </c>
      <c r="N349" s="99">
        <f t="shared" si="3"/>
        <v>1</v>
      </c>
      <c r="O349" s="84"/>
      <c r="P349" s="84"/>
      <c r="Q349" s="84"/>
      <c r="R349" s="84"/>
      <c r="S349" s="84"/>
      <c r="T349" s="84"/>
      <c r="U349" s="84"/>
      <c r="V349" s="84"/>
    </row>
    <row r="350" ht="15.75" customHeight="1">
      <c r="A350" s="227">
        <v>1.2100006E7</v>
      </c>
      <c r="B350" s="227" t="str">
        <f t="shared" si="1"/>
        <v>12100</v>
      </c>
      <c r="C350" s="227" t="s">
        <v>3965</v>
      </c>
      <c r="D350" s="59"/>
      <c r="E350" s="59"/>
      <c r="F350" s="126"/>
      <c r="G350" s="126"/>
      <c r="H350" s="125"/>
      <c r="I350" s="125"/>
      <c r="J350" s="99"/>
      <c r="K350" s="99"/>
      <c r="L350" s="99"/>
      <c r="M350" s="99">
        <f t="shared" si="2"/>
        <v>1</v>
      </c>
      <c r="N350" s="99">
        <f t="shared" si="3"/>
        <v>1</v>
      </c>
      <c r="O350" s="84"/>
      <c r="P350" s="84"/>
      <c r="Q350" s="84"/>
      <c r="R350" s="84"/>
      <c r="S350" s="84"/>
      <c r="T350" s="84"/>
      <c r="U350" s="84"/>
      <c r="V350" s="84"/>
    </row>
    <row r="351" ht="15.75" customHeight="1">
      <c r="A351" s="227">
        <v>1.2100021E7</v>
      </c>
      <c r="B351" s="227" t="str">
        <f t="shared" si="1"/>
        <v>12100</v>
      </c>
      <c r="C351" s="227" t="s">
        <v>3966</v>
      </c>
      <c r="D351" s="59"/>
      <c r="E351" s="59"/>
      <c r="F351" s="126"/>
      <c r="G351" s="126"/>
      <c r="H351" s="125"/>
      <c r="I351" s="125"/>
      <c r="J351" s="99"/>
      <c r="K351" s="99"/>
      <c r="L351" s="99"/>
      <c r="M351" s="99">
        <f t="shared" si="2"/>
        <v>1</v>
      </c>
      <c r="N351" s="99">
        <f t="shared" si="3"/>
        <v>1</v>
      </c>
      <c r="O351" s="84"/>
      <c r="P351" s="84"/>
      <c r="Q351" s="84"/>
      <c r="R351" s="84"/>
      <c r="S351" s="84"/>
      <c r="T351" s="84"/>
      <c r="U351" s="84"/>
      <c r="V351" s="84"/>
    </row>
    <row r="352" ht="15.75" customHeight="1">
      <c r="A352" s="227">
        <v>1.2100022E7</v>
      </c>
      <c r="B352" s="227" t="str">
        <f t="shared" si="1"/>
        <v>12100</v>
      </c>
      <c r="C352" s="227" t="s">
        <v>3967</v>
      </c>
      <c r="D352" s="59"/>
      <c r="E352" s="59"/>
      <c r="F352" s="126"/>
      <c r="G352" s="126"/>
      <c r="H352" s="125"/>
      <c r="I352" s="125"/>
      <c r="J352" s="99"/>
      <c r="K352" s="99"/>
      <c r="L352" s="99"/>
      <c r="M352" s="99">
        <f t="shared" si="2"/>
        <v>1</v>
      </c>
      <c r="N352" s="99">
        <f t="shared" si="3"/>
        <v>1</v>
      </c>
      <c r="O352" s="84"/>
      <c r="P352" s="84"/>
      <c r="Q352" s="84"/>
      <c r="R352" s="84"/>
      <c r="S352" s="84"/>
      <c r="T352" s="84"/>
      <c r="U352" s="84"/>
      <c r="V352" s="84"/>
    </row>
    <row r="353" ht="15.75" customHeight="1">
      <c r="A353" s="227">
        <v>1.2100023E7</v>
      </c>
      <c r="B353" s="227" t="str">
        <f t="shared" si="1"/>
        <v>12100</v>
      </c>
      <c r="C353" s="227" t="s">
        <v>3968</v>
      </c>
      <c r="D353" s="59"/>
      <c r="E353" s="59"/>
      <c r="F353" s="126"/>
      <c r="G353" s="126"/>
      <c r="H353" s="125"/>
      <c r="I353" s="125"/>
      <c r="J353" s="99"/>
      <c r="K353" s="99"/>
      <c r="L353" s="99"/>
      <c r="M353" s="99">
        <f t="shared" si="2"/>
        <v>1</v>
      </c>
      <c r="N353" s="99">
        <f t="shared" si="3"/>
        <v>1</v>
      </c>
      <c r="O353" s="84"/>
      <c r="P353" s="84"/>
      <c r="Q353" s="84"/>
      <c r="R353" s="84"/>
      <c r="S353" s="84"/>
      <c r="T353" s="84"/>
      <c r="U353" s="84"/>
      <c r="V353" s="84"/>
    </row>
    <row r="354" ht="15.75" customHeight="1">
      <c r="A354" s="227">
        <v>1.2100024E7</v>
      </c>
      <c r="B354" s="227" t="str">
        <f t="shared" si="1"/>
        <v>12100</v>
      </c>
      <c r="C354" s="227" t="s">
        <v>3969</v>
      </c>
      <c r="D354" s="59"/>
      <c r="E354" s="59"/>
      <c r="F354" s="126"/>
      <c r="G354" s="126"/>
      <c r="H354" s="125"/>
      <c r="I354" s="125"/>
      <c r="J354" s="99"/>
      <c r="K354" s="99"/>
      <c r="L354" s="99"/>
      <c r="M354" s="99">
        <f t="shared" si="2"/>
        <v>1</v>
      </c>
      <c r="N354" s="99">
        <f t="shared" si="3"/>
        <v>1</v>
      </c>
      <c r="O354" s="84"/>
      <c r="P354" s="84"/>
      <c r="Q354" s="84"/>
      <c r="R354" s="84"/>
      <c r="S354" s="84"/>
      <c r="T354" s="84"/>
      <c r="U354" s="84"/>
      <c r="V354" s="84"/>
    </row>
    <row r="355" ht="15.75" customHeight="1">
      <c r="A355" s="227">
        <v>1.2100025E7</v>
      </c>
      <c r="B355" s="227" t="str">
        <f t="shared" si="1"/>
        <v>12100</v>
      </c>
      <c r="C355" s="227" t="s">
        <v>3970</v>
      </c>
      <c r="D355" s="59"/>
      <c r="E355" s="59"/>
      <c r="F355" s="126"/>
      <c r="G355" s="126"/>
      <c r="H355" s="125"/>
      <c r="I355" s="125"/>
      <c r="J355" s="99"/>
      <c r="K355" s="99"/>
      <c r="L355" s="99"/>
      <c r="M355" s="99">
        <f t="shared" si="2"/>
        <v>1</v>
      </c>
      <c r="N355" s="99">
        <f t="shared" si="3"/>
        <v>1</v>
      </c>
      <c r="O355" s="84"/>
      <c r="P355" s="84"/>
      <c r="Q355" s="84"/>
      <c r="R355" s="84"/>
      <c r="S355" s="84"/>
      <c r="T355" s="84"/>
      <c r="U355" s="84"/>
      <c r="V355" s="84"/>
    </row>
    <row r="356" ht="15.75" customHeight="1">
      <c r="A356" s="227">
        <v>1.2100026E7</v>
      </c>
      <c r="B356" s="227" t="str">
        <f t="shared" si="1"/>
        <v>12100</v>
      </c>
      <c r="C356" s="227" t="s">
        <v>3971</v>
      </c>
      <c r="D356" s="59"/>
      <c r="E356" s="59"/>
      <c r="F356" s="126"/>
      <c r="G356" s="126"/>
      <c r="H356" s="125"/>
      <c r="I356" s="125"/>
      <c r="J356" s="99"/>
      <c r="K356" s="99"/>
      <c r="L356" s="99"/>
      <c r="M356" s="99">
        <f t="shared" si="2"/>
        <v>1</v>
      </c>
      <c r="N356" s="99">
        <f t="shared" si="3"/>
        <v>1</v>
      </c>
      <c r="O356" s="84"/>
      <c r="P356" s="84"/>
      <c r="Q356" s="84"/>
      <c r="R356" s="84"/>
      <c r="S356" s="84"/>
      <c r="T356" s="84"/>
      <c r="U356" s="84"/>
      <c r="V356" s="84"/>
    </row>
    <row r="357" ht="15.75" customHeight="1">
      <c r="A357" s="227">
        <v>1.2100041E7</v>
      </c>
      <c r="B357" s="227" t="str">
        <f t="shared" si="1"/>
        <v>12100</v>
      </c>
      <c r="C357" s="227" t="s">
        <v>3972</v>
      </c>
      <c r="D357" s="59"/>
      <c r="E357" s="59"/>
      <c r="F357" s="126"/>
      <c r="G357" s="126"/>
      <c r="H357" s="125"/>
      <c r="I357" s="125"/>
      <c r="J357" s="99"/>
      <c r="K357" s="99"/>
      <c r="L357" s="99"/>
      <c r="M357" s="99">
        <f t="shared" si="2"/>
        <v>1</v>
      </c>
      <c r="N357" s="99">
        <f t="shared" si="3"/>
        <v>1</v>
      </c>
      <c r="O357" s="84"/>
      <c r="P357" s="84"/>
      <c r="Q357" s="84"/>
      <c r="R357" s="84"/>
      <c r="S357" s="84"/>
      <c r="T357" s="84"/>
      <c r="U357" s="84"/>
      <c r="V357" s="84"/>
    </row>
    <row r="358" ht="15.75" customHeight="1">
      <c r="A358" s="227">
        <v>1.2100042E7</v>
      </c>
      <c r="B358" s="227" t="str">
        <f t="shared" si="1"/>
        <v>12100</v>
      </c>
      <c r="C358" s="227" t="s">
        <v>3973</v>
      </c>
      <c r="D358" s="59"/>
      <c r="E358" s="59"/>
      <c r="F358" s="126"/>
      <c r="G358" s="126"/>
      <c r="H358" s="125"/>
      <c r="I358" s="125"/>
      <c r="J358" s="99"/>
      <c r="K358" s="99"/>
      <c r="L358" s="99"/>
      <c r="M358" s="99">
        <f t="shared" si="2"/>
        <v>1</v>
      </c>
      <c r="N358" s="99">
        <f t="shared" si="3"/>
        <v>1</v>
      </c>
      <c r="O358" s="84"/>
      <c r="P358" s="84"/>
      <c r="Q358" s="84"/>
      <c r="R358" s="84"/>
      <c r="S358" s="84"/>
      <c r="T358" s="84"/>
      <c r="U358" s="84"/>
      <c r="V358" s="84"/>
    </row>
    <row r="359" ht="15.75" customHeight="1">
      <c r="A359" s="227">
        <v>1.2100043E7</v>
      </c>
      <c r="B359" s="227" t="str">
        <f t="shared" si="1"/>
        <v>12100</v>
      </c>
      <c r="C359" s="227" t="s">
        <v>3974</v>
      </c>
      <c r="D359" s="59"/>
      <c r="E359" s="59"/>
      <c r="F359" s="126"/>
      <c r="G359" s="126"/>
      <c r="H359" s="125"/>
      <c r="I359" s="125"/>
      <c r="J359" s="99"/>
      <c r="K359" s="99"/>
      <c r="L359" s="99"/>
      <c r="M359" s="99">
        <f t="shared" si="2"/>
        <v>1</v>
      </c>
      <c r="N359" s="99">
        <f t="shared" si="3"/>
        <v>1</v>
      </c>
      <c r="O359" s="84"/>
      <c r="P359" s="84"/>
      <c r="Q359" s="84"/>
      <c r="R359" s="84"/>
      <c r="S359" s="84"/>
      <c r="T359" s="84"/>
      <c r="U359" s="84"/>
      <c r="V359" s="84"/>
    </row>
    <row r="360" ht="15.75" customHeight="1">
      <c r="A360" s="227">
        <v>1.2100044E7</v>
      </c>
      <c r="B360" s="227" t="str">
        <f t="shared" si="1"/>
        <v>12100</v>
      </c>
      <c r="C360" s="227" t="s">
        <v>3975</v>
      </c>
      <c r="D360" s="59"/>
      <c r="E360" s="59"/>
      <c r="F360" s="126"/>
      <c r="G360" s="126"/>
      <c r="H360" s="125"/>
      <c r="I360" s="125"/>
      <c r="J360" s="99"/>
      <c r="K360" s="99"/>
      <c r="L360" s="99"/>
      <c r="M360" s="99">
        <f t="shared" si="2"/>
        <v>1</v>
      </c>
      <c r="N360" s="99">
        <f t="shared" si="3"/>
        <v>1</v>
      </c>
      <c r="O360" s="84"/>
      <c r="P360" s="84"/>
      <c r="Q360" s="84"/>
      <c r="R360" s="84"/>
      <c r="S360" s="84"/>
      <c r="T360" s="84"/>
      <c r="U360" s="84"/>
      <c r="V360" s="84"/>
    </row>
    <row r="361" ht="15.75" customHeight="1">
      <c r="A361" s="227">
        <v>1.2100045E7</v>
      </c>
      <c r="B361" s="227" t="str">
        <f t="shared" si="1"/>
        <v>12100</v>
      </c>
      <c r="C361" s="227" t="s">
        <v>3976</v>
      </c>
      <c r="D361" s="59"/>
      <c r="E361" s="59"/>
      <c r="F361" s="126"/>
      <c r="G361" s="126"/>
      <c r="H361" s="125"/>
      <c r="I361" s="125"/>
      <c r="J361" s="99"/>
      <c r="K361" s="99"/>
      <c r="L361" s="99"/>
      <c r="M361" s="99">
        <f t="shared" si="2"/>
        <v>1</v>
      </c>
      <c r="N361" s="99">
        <f t="shared" si="3"/>
        <v>1</v>
      </c>
      <c r="O361" s="84"/>
      <c r="P361" s="84"/>
      <c r="Q361" s="84"/>
      <c r="R361" s="84"/>
      <c r="S361" s="84"/>
      <c r="T361" s="84"/>
      <c r="U361" s="84"/>
      <c r="V361" s="84"/>
    </row>
    <row r="362" ht="15.75" customHeight="1">
      <c r="A362" s="227">
        <v>1.2100046E7</v>
      </c>
      <c r="B362" s="227" t="str">
        <f t="shared" si="1"/>
        <v>12100</v>
      </c>
      <c r="C362" s="227" t="s">
        <v>3977</v>
      </c>
      <c r="D362" s="59"/>
      <c r="E362" s="59"/>
      <c r="F362" s="126"/>
      <c r="G362" s="126"/>
      <c r="H362" s="125"/>
      <c r="I362" s="125"/>
      <c r="J362" s="99"/>
      <c r="K362" s="99"/>
      <c r="L362" s="99"/>
      <c r="M362" s="99">
        <f t="shared" si="2"/>
        <v>1</v>
      </c>
      <c r="N362" s="99">
        <f t="shared" si="3"/>
        <v>1</v>
      </c>
      <c r="O362" s="84"/>
      <c r="P362" s="84"/>
      <c r="Q362" s="84"/>
      <c r="R362" s="84"/>
      <c r="S362" s="84"/>
      <c r="T362" s="84"/>
      <c r="U362" s="84"/>
      <c r="V362" s="84"/>
    </row>
    <row r="363" ht="15.75" customHeight="1">
      <c r="A363" s="227">
        <v>1.2100062E7</v>
      </c>
      <c r="B363" s="227" t="str">
        <f t="shared" si="1"/>
        <v>12100</v>
      </c>
      <c r="C363" s="227" t="s">
        <v>3978</v>
      </c>
      <c r="D363" s="59"/>
      <c r="E363" s="59"/>
      <c r="F363" s="126"/>
      <c r="G363" s="126"/>
      <c r="H363" s="125"/>
      <c r="I363" s="125"/>
      <c r="J363" s="99"/>
      <c r="K363" s="99"/>
      <c r="L363" s="99"/>
      <c r="M363" s="99">
        <f t="shared" si="2"/>
        <v>1</v>
      </c>
      <c r="N363" s="99">
        <f t="shared" si="3"/>
        <v>1</v>
      </c>
      <c r="O363" s="84"/>
      <c r="P363" s="84"/>
      <c r="Q363" s="84"/>
      <c r="R363" s="84"/>
      <c r="S363" s="84"/>
      <c r="T363" s="84"/>
      <c r="U363" s="84"/>
      <c r="V363" s="84"/>
    </row>
    <row r="364" ht="15.75" customHeight="1">
      <c r="A364" s="227">
        <v>1.2100064E7</v>
      </c>
      <c r="B364" s="227" t="str">
        <f t="shared" si="1"/>
        <v>12100</v>
      </c>
      <c r="C364" s="227" t="s">
        <v>3979</v>
      </c>
      <c r="D364" s="59"/>
      <c r="E364" s="59"/>
      <c r="F364" s="126"/>
      <c r="G364" s="126"/>
      <c r="H364" s="125"/>
      <c r="I364" s="125"/>
      <c r="J364" s="99"/>
      <c r="K364" s="99"/>
      <c r="L364" s="99"/>
      <c r="M364" s="99">
        <f t="shared" si="2"/>
        <v>1</v>
      </c>
      <c r="N364" s="99">
        <f t="shared" si="3"/>
        <v>1</v>
      </c>
      <c r="O364" s="84"/>
      <c r="P364" s="84"/>
      <c r="Q364" s="84"/>
      <c r="R364" s="84"/>
      <c r="S364" s="84"/>
      <c r="T364" s="84"/>
      <c r="U364" s="84"/>
      <c r="V364" s="84"/>
    </row>
    <row r="365" ht="15.75" customHeight="1">
      <c r="A365" s="227">
        <v>1.2100065E7</v>
      </c>
      <c r="B365" s="227" t="str">
        <f t="shared" si="1"/>
        <v>12100</v>
      </c>
      <c r="C365" s="227" t="s">
        <v>3980</v>
      </c>
      <c r="D365" s="59"/>
      <c r="E365" s="59"/>
      <c r="F365" s="126"/>
      <c r="G365" s="126"/>
      <c r="H365" s="125"/>
      <c r="I365" s="125"/>
      <c r="J365" s="99"/>
      <c r="K365" s="99"/>
      <c r="L365" s="99"/>
      <c r="M365" s="99">
        <f t="shared" si="2"/>
        <v>1</v>
      </c>
      <c r="N365" s="99">
        <f t="shared" si="3"/>
        <v>1</v>
      </c>
      <c r="O365" s="84"/>
      <c r="P365" s="84"/>
      <c r="Q365" s="84"/>
      <c r="R365" s="84"/>
      <c r="S365" s="84"/>
      <c r="T365" s="84"/>
      <c r="U365" s="84"/>
      <c r="V365" s="84"/>
    </row>
    <row r="366" ht="15.75" customHeight="1">
      <c r="A366" s="227">
        <v>1.2100066E7</v>
      </c>
      <c r="B366" s="227" t="str">
        <f t="shared" si="1"/>
        <v>12100</v>
      </c>
      <c r="C366" s="227" t="s">
        <v>3981</v>
      </c>
      <c r="D366" s="59"/>
      <c r="E366" s="59"/>
      <c r="F366" s="126"/>
      <c r="G366" s="126"/>
      <c r="H366" s="125"/>
      <c r="I366" s="125"/>
      <c r="J366" s="99"/>
      <c r="K366" s="99"/>
      <c r="L366" s="99"/>
      <c r="M366" s="99">
        <f t="shared" si="2"/>
        <v>1</v>
      </c>
      <c r="N366" s="99">
        <f t="shared" si="3"/>
        <v>1</v>
      </c>
      <c r="O366" s="84"/>
      <c r="P366" s="84"/>
      <c r="Q366" s="84"/>
      <c r="R366" s="84"/>
      <c r="S366" s="84"/>
      <c r="T366" s="84"/>
      <c r="U366" s="84"/>
      <c r="V366" s="84"/>
    </row>
    <row r="367" ht="15.75" customHeight="1">
      <c r="A367" s="227">
        <v>1.2100067E7</v>
      </c>
      <c r="B367" s="227" t="str">
        <f t="shared" si="1"/>
        <v>12100</v>
      </c>
      <c r="C367" s="227" t="s">
        <v>3982</v>
      </c>
      <c r="D367" s="59"/>
      <c r="E367" s="59"/>
      <c r="F367" s="126"/>
      <c r="G367" s="126"/>
      <c r="H367" s="125"/>
      <c r="I367" s="125"/>
      <c r="J367" s="99"/>
      <c r="K367" s="99"/>
      <c r="L367" s="99"/>
      <c r="M367" s="99">
        <f t="shared" si="2"/>
        <v>1</v>
      </c>
      <c r="N367" s="99">
        <f t="shared" si="3"/>
        <v>1</v>
      </c>
      <c r="O367" s="84"/>
      <c r="P367" s="84"/>
      <c r="Q367" s="84"/>
      <c r="R367" s="84"/>
      <c r="S367" s="84"/>
      <c r="T367" s="84"/>
      <c r="U367" s="84"/>
      <c r="V367" s="84"/>
    </row>
    <row r="368" ht="15.75" customHeight="1">
      <c r="A368" s="227">
        <v>1.2100068E7</v>
      </c>
      <c r="B368" s="227" t="str">
        <f t="shared" si="1"/>
        <v>12100</v>
      </c>
      <c r="C368" s="227" t="s">
        <v>3983</v>
      </c>
      <c r="D368" s="59"/>
      <c r="E368" s="59"/>
      <c r="F368" s="126"/>
      <c r="G368" s="126"/>
      <c r="H368" s="125"/>
      <c r="I368" s="125"/>
      <c r="J368" s="99"/>
      <c r="K368" s="99"/>
      <c r="L368" s="99"/>
      <c r="M368" s="99">
        <f t="shared" si="2"/>
        <v>1</v>
      </c>
      <c r="N368" s="99">
        <f t="shared" si="3"/>
        <v>1</v>
      </c>
      <c r="O368" s="84"/>
      <c r="P368" s="84"/>
      <c r="Q368" s="84"/>
      <c r="R368" s="84"/>
      <c r="S368" s="84"/>
      <c r="T368" s="84"/>
      <c r="U368" s="84"/>
      <c r="V368" s="84"/>
    </row>
    <row r="369" ht="15.75" customHeight="1">
      <c r="A369" s="227">
        <v>1.2100101E7</v>
      </c>
      <c r="B369" s="227" t="str">
        <f t="shared" si="1"/>
        <v>12100</v>
      </c>
      <c r="C369" s="227" t="s">
        <v>3984</v>
      </c>
      <c r="D369" s="59"/>
      <c r="E369" s="59"/>
      <c r="F369" s="126"/>
      <c r="G369" s="126"/>
      <c r="H369" s="125"/>
      <c r="I369" s="125"/>
      <c r="J369" s="99"/>
      <c r="K369" s="99"/>
      <c r="L369" s="99"/>
      <c r="M369" s="99">
        <f t="shared" si="2"/>
        <v>1</v>
      </c>
      <c r="N369" s="99">
        <f t="shared" si="3"/>
        <v>1</v>
      </c>
      <c r="O369" s="84"/>
      <c r="P369" s="84"/>
      <c r="Q369" s="84"/>
      <c r="R369" s="84"/>
      <c r="S369" s="84"/>
      <c r="T369" s="84"/>
      <c r="U369" s="84"/>
      <c r="V369" s="84"/>
    </row>
    <row r="370" ht="15.75" customHeight="1">
      <c r="A370" s="227">
        <v>1.2100102E7</v>
      </c>
      <c r="B370" s="227" t="str">
        <f t="shared" si="1"/>
        <v>12100</v>
      </c>
      <c r="C370" s="227" t="s">
        <v>3985</v>
      </c>
      <c r="D370" s="59"/>
      <c r="E370" s="59"/>
      <c r="F370" s="126"/>
      <c r="G370" s="126"/>
      <c r="H370" s="125"/>
      <c r="I370" s="125"/>
      <c r="J370" s="99"/>
      <c r="K370" s="99"/>
      <c r="L370" s="99"/>
      <c r="M370" s="99">
        <f t="shared" si="2"/>
        <v>1</v>
      </c>
      <c r="N370" s="99">
        <f t="shared" si="3"/>
        <v>1</v>
      </c>
      <c r="O370" s="84"/>
      <c r="P370" s="84"/>
      <c r="Q370" s="84"/>
      <c r="R370" s="84"/>
      <c r="S370" s="84"/>
      <c r="T370" s="84"/>
      <c r="U370" s="84"/>
      <c r="V370" s="84"/>
    </row>
    <row r="371" ht="15.75" customHeight="1">
      <c r="A371" s="227">
        <v>1.2100103E7</v>
      </c>
      <c r="B371" s="227" t="str">
        <f t="shared" si="1"/>
        <v>12100</v>
      </c>
      <c r="C371" s="227" t="s">
        <v>3986</v>
      </c>
      <c r="D371" s="59"/>
      <c r="E371" s="59"/>
      <c r="F371" s="126"/>
      <c r="G371" s="126"/>
      <c r="H371" s="125"/>
      <c r="I371" s="125"/>
      <c r="J371" s="99"/>
      <c r="K371" s="99"/>
      <c r="L371" s="99"/>
      <c r="M371" s="99">
        <f t="shared" si="2"/>
        <v>1</v>
      </c>
      <c r="N371" s="99">
        <f t="shared" si="3"/>
        <v>1</v>
      </c>
      <c r="O371" s="84"/>
      <c r="P371" s="84"/>
      <c r="Q371" s="84"/>
      <c r="R371" s="84"/>
      <c r="S371" s="84"/>
      <c r="T371" s="84"/>
      <c r="U371" s="84"/>
      <c r="V371" s="84"/>
    </row>
    <row r="372" ht="15.75" customHeight="1">
      <c r="A372" s="227">
        <v>1.2100104E7</v>
      </c>
      <c r="B372" s="227" t="str">
        <f t="shared" si="1"/>
        <v>12100</v>
      </c>
      <c r="C372" s="227" t="s">
        <v>3987</v>
      </c>
      <c r="D372" s="59"/>
      <c r="E372" s="59"/>
      <c r="F372" s="126"/>
      <c r="G372" s="126"/>
      <c r="H372" s="125"/>
      <c r="I372" s="125"/>
      <c r="J372" s="99"/>
      <c r="K372" s="99"/>
      <c r="L372" s="99"/>
      <c r="M372" s="99">
        <f t="shared" si="2"/>
        <v>1</v>
      </c>
      <c r="N372" s="99">
        <f t="shared" si="3"/>
        <v>1</v>
      </c>
      <c r="O372" s="84"/>
      <c r="P372" s="84"/>
      <c r="Q372" s="84"/>
      <c r="R372" s="84"/>
      <c r="S372" s="84"/>
      <c r="T372" s="84"/>
      <c r="U372" s="84"/>
      <c r="V372" s="84"/>
    </row>
    <row r="373" ht="15.75" customHeight="1">
      <c r="A373" s="227">
        <v>1.2100105E7</v>
      </c>
      <c r="B373" s="227" t="str">
        <f t="shared" si="1"/>
        <v>12100</v>
      </c>
      <c r="C373" s="227" t="s">
        <v>3988</v>
      </c>
      <c r="D373" s="59"/>
      <c r="E373" s="59"/>
      <c r="F373" s="126"/>
      <c r="G373" s="126"/>
      <c r="H373" s="125"/>
      <c r="I373" s="125"/>
      <c r="J373" s="99"/>
      <c r="K373" s="99"/>
      <c r="L373" s="99"/>
      <c r="M373" s="99">
        <f t="shared" si="2"/>
        <v>1</v>
      </c>
      <c r="N373" s="99">
        <f t="shared" si="3"/>
        <v>1</v>
      </c>
      <c r="O373" s="84"/>
      <c r="P373" s="84"/>
      <c r="Q373" s="84"/>
      <c r="R373" s="84"/>
      <c r="S373" s="84"/>
      <c r="T373" s="84"/>
      <c r="U373" s="84"/>
      <c r="V373" s="84"/>
    </row>
    <row r="374" ht="15.75" customHeight="1">
      <c r="A374" s="227">
        <v>1.2100106E7</v>
      </c>
      <c r="B374" s="227" t="str">
        <f t="shared" si="1"/>
        <v>12100</v>
      </c>
      <c r="C374" s="227" t="s">
        <v>3989</v>
      </c>
      <c r="D374" s="59"/>
      <c r="E374" s="59"/>
      <c r="F374" s="126"/>
      <c r="G374" s="126"/>
      <c r="H374" s="125"/>
      <c r="I374" s="125"/>
      <c r="J374" s="99"/>
      <c r="K374" s="99"/>
      <c r="L374" s="99"/>
      <c r="M374" s="99">
        <f t="shared" si="2"/>
        <v>1</v>
      </c>
      <c r="N374" s="99">
        <f t="shared" si="3"/>
        <v>1</v>
      </c>
      <c r="O374" s="84"/>
      <c r="P374" s="84"/>
      <c r="Q374" s="84"/>
      <c r="R374" s="84"/>
      <c r="S374" s="84"/>
      <c r="T374" s="84"/>
      <c r="U374" s="84"/>
      <c r="V374" s="84"/>
    </row>
    <row r="375" ht="15.75" customHeight="1">
      <c r="A375" s="227">
        <v>1.2100121E7</v>
      </c>
      <c r="B375" s="227" t="str">
        <f t="shared" si="1"/>
        <v>12100</v>
      </c>
      <c r="C375" s="227" t="s">
        <v>3990</v>
      </c>
      <c r="D375" s="59"/>
      <c r="E375" s="59"/>
      <c r="F375" s="126"/>
      <c r="G375" s="126"/>
      <c r="H375" s="125"/>
      <c r="I375" s="125"/>
      <c r="J375" s="99"/>
      <c r="K375" s="99"/>
      <c r="L375" s="99"/>
      <c r="M375" s="99">
        <f t="shared" si="2"/>
        <v>1</v>
      </c>
      <c r="N375" s="99">
        <f t="shared" si="3"/>
        <v>1</v>
      </c>
      <c r="O375" s="84"/>
      <c r="P375" s="84"/>
      <c r="Q375" s="84"/>
      <c r="R375" s="84"/>
      <c r="S375" s="84"/>
      <c r="T375" s="84"/>
      <c r="U375" s="84"/>
      <c r="V375" s="84"/>
    </row>
    <row r="376" ht="15.75" customHeight="1">
      <c r="A376" s="227">
        <v>1.2100122E7</v>
      </c>
      <c r="B376" s="227" t="str">
        <f t="shared" si="1"/>
        <v>12100</v>
      </c>
      <c r="C376" s="227" t="s">
        <v>3991</v>
      </c>
      <c r="D376" s="59"/>
      <c r="E376" s="59"/>
      <c r="F376" s="126"/>
      <c r="G376" s="126"/>
      <c r="H376" s="125"/>
      <c r="I376" s="125"/>
      <c r="J376" s="99"/>
      <c r="K376" s="99"/>
      <c r="L376" s="99"/>
      <c r="M376" s="99">
        <f t="shared" si="2"/>
        <v>1</v>
      </c>
      <c r="N376" s="99">
        <f t="shared" si="3"/>
        <v>1</v>
      </c>
      <c r="O376" s="84"/>
      <c r="P376" s="84"/>
      <c r="Q376" s="84"/>
      <c r="R376" s="84"/>
      <c r="S376" s="84"/>
      <c r="T376" s="84"/>
      <c r="U376" s="84"/>
      <c r="V376" s="84"/>
    </row>
    <row r="377" ht="15.75" customHeight="1">
      <c r="A377" s="227">
        <v>1.2100123E7</v>
      </c>
      <c r="B377" s="227" t="str">
        <f t="shared" si="1"/>
        <v>12100</v>
      </c>
      <c r="C377" s="227" t="s">
        <v>3992</v>
      </c>
      <c r="D377" s="59"/>
      <c r="E377" s="59"/>
      <c r="F377" s="126"/>
      <c r="G377" s="126"/>
      <c r="H377" s="125"/>
      <c r="I377" s="125"/>
      <c r="J377" s="99"/>
      <c r="K377" s="99"/>
      <c r="L377" s="99"/>
      <c r="M377" s="99">
        <f t="shared" si="2"/>
        <v>1</v>
      </c>
      <c r="N377" s="99">
        <f t="shared" si="3"/>
        <v>1</v>
      </c>
      <c r="O377" s="84"/>
      <c r="P377" s="84"/>
      <c r="Q377" s="84"/>
      <c r="R377" s="84"/>
      <c r="S377" s="84"/>
      <c r="T377" s="84"/>
      <c r="U377" s="84"/>
      <c r="V377" s="84"/>
    </row>
    <row r="378" ht="15.75" customHeight="1">
      <c r="A378" s="227">
        <v>1.2100124E7</v>
      </c>
      <c r="B378" s="227" t="str">
        <f t="shared" si="1"/>
        <v>12100</v>
      </c>
      <c r="C378" s="227" t="s">
        <v>3993</v>
      </c>
      <c r="D378" s="59"/>
      <c r="E378" s="59"/>
      <c r="F378" s="126"/>
      <c r="G378" s="126"/>
      <c r="H378" s="125"/>
      <c r="I378" s="125"/>
      <c r="J378" s="99"/>
      <c r="K378" s="99"/>
      <c r="L378" s="99"/>
      <c r="M378" s="99">
        <f t="shared" si="2"/>
        <v>1</v>
      </c>
      <c r="N378" s="99">
        <f t="shared" si="3"/>
        <v>1</v>
      </c>
      <c r="O378" s="84"/>
      <c r="P378" s="84"/>
      <c r="Q378" s="84"/>
      <c r="R378" s="84"/>
      <c r="S378" s="84"/>
      <c r="T378" s="84"/>
      <c r="U378" s="84"/>
      <c r="V378" s="84"/>
    </row>
    <row r="379" ht="15.75" customHeight="1">
      <c r="A379" s="227">
        <v>1.2100125E7</v>
      </c>
      <c r="B379" s="227" t="str">
        <f t="shared" si="1"/>
        <v>12100</v>
      </c>
      <c r="C379" s="227" t="s">
        <v>3994</v>
      </c>
      <c r="D379" s="59"/>
      <c r="E379" s="59"/>
      <c r="F379" s="126"/>
      <c r="G379" s="126"/>
      <c r="H379" s="125"/>
      <c r="I379" s="125"/>
      <c r="J379" s="99"/>
      <c r="K379" s="99"/>
      <c r="L379" s="99"/>
      <c r="M379" s="99">
        <f t="shared" si="2"/>
        <v>1</v>
      </c>
      <c r="N379" s="99">
        <f t="shared" si="3"/>
        <v>1</v>
      </c>
      <c r="O379" s="84"/>
      <c r="P379" s="84"/>
      <c r="Q379" s="84"/>
      <c r="R379" s="84"/>
      <c r="S379" s="84"/>
      <c r="T379" s="84"/>
      <c r="U379" s="84"/>
      <c r="V379" s="84"/>
    </row>
    <row r="380" ht="15.75" customHeight="1">
      <c r="A380" s="227">
        <v>1.2100126E7</v>
      </c>
      <c r="B380" s="227" t="str">
        <f t="shared" si="1"/>
        <v>12100</v>
      </c>
      <c r="C380" s="227" t="s">
        <v>3995</v>
      </c>
      <c r="D380" s="59"/>
      <c r="E380" s="59"/>
      <c r="F380" s="126"/>
      <c r="G380" s="126"/>
      <c r="H380" s="125"/>
      <c r="I380" s="125"/>
      <c r="J380" s="99"/>
      <c r="K380" s="99"/>
      <c r="L380" s="99"/>
      <c r="M380" s="99">
        <f t="shared" si="2"/>
        <v>1</v>
      </c>
      <c r="N380" s="99">
        <f t="shared" si="3"/>
        <v>1</v>
      </c>
      <c r="O380" s="84"/>
      <c r="P380" s="84"/>
      <c r="Q380" s="84"/>
      <c r="R380" s="84"/>
      <c r="S380" s="84"/>
      <c r="T380" s="84"/>
      <c r="U380" s="84"/>
      <c r="V380" s="84"/>
    </row>
    <row r="381" ht="15.75" customHeight="1">
      <c r="A381" s="227">
        <v>1.2100141E7</v>
      </c>
      <c r="B381" s="227" t="str">
        <f t="shared" si="1"/>
        <v>12100</v>
      </c>
      <c r="C381" s="227" t="s">
        <v>3996</v>
      </c>
      <c r="D381" s="59"/>
      <c r="E381" s="59"/>
      <c r="F381" s="126"/>
      <c r="G381" s="126"/>
      <c r="H381" s="125"/>
      <c r="I381" s="125"/>
      <c r="J381" s="99"/>
      <c r="K381" s="99"/>
      <c r="L381" s="99"/>
      <c r="M381" s="99">
        <f t="shared" si="2"/>
        <v>1</v>
      </c>
      <c r="N381" s="99">
        <f t="shared" si="3"/>
        <v>1</v>
      </c>
      <c r="O381" s="84"/>
      <c r="P381" s="84"/>
      <c r="Q381" s="84"/>
      <c r="R381" s="84"/>
      <c r="S381" s="84"/>
      <c r="T381" s="84"/>
      <c r="U381" s="84"/>
      <c r="V381" s="84"/>
    </row>
    <row r="382" ht="15.75" customHeight="1">
      <c r="A382" s="227">
        <v>1.2100142E7</v>
      </c>
      <c r="B382" s="227" t="str">
        <f t="shared" si="1"/>
        <v>12100</v>
      </c>
      <c r="C382" s="227" t="s">
        <v>3997</v>
      </c>
      <c r="D382" s="59"/>
      <c r="E382" s="59"/>
      <c r="F382" s="126"/>
      <c r="G382" s="126"/>
      <c r="H382" s="125"/>
      <c r="I382" s="125"/>
      <c r="J382" s="99"/>
      <c r="K382" s="99"/>
      <c r="L382" s="99"/>
      <c r="M382" s="99">
        <f t="shared" si="2"/>
        <v>1</v>
      </c>
      <c r="N382" s="99">
        <f t="shared" si="3"/>
        <v>1</v>
      </c>
      <c r="O382" s="84"/>
      <c r="P382" s="84"/>
      <c r="Q382" s="84"/>
      <c r="R382" s="84"/>
      <c r="S382" s="84"/>
      <c r="T382" s="84"/>
      <c r="U382" s="84"/>
      <c r="V382" s="84"/>
    </row>
    <row r="383" ht="15.75" customHeight="1">
      <c r="A383" s="227">
        <v>1.2100143E7</v>
      </c>
      <c r="B383" s="227" t="str">
        <f t="shared" si="1"/>
        <v>12100</v>
      </c>
      <c r="C383" s="227" t="s">
        <v>3998</v>
      </c>
      <c r="D383" s="59"/>
      <c r="E383" s="59"/>
      <c r="F383" s="126"/>
      <c r="G383" s="126"/>
      <c r="H383" s="125"/>
      <c r="I383" s="125"/>
      <c r="J383" s="99"/>
      <c r="K383" s="99"/>
      <c r="L383" s="99"/>
      <c r="M383" s="99">
        <f t="shared" si="2"/>
        <v>1</v>
      </c>
      <c r="N383" s="99">
        <f t="shared" si="3"/>
        <v>1</v>
      </c>
      <c r="O383" s="84"/>
      <c r="P383" s="84"/>
      <c r="Q383" s="84"/>
      <c r="R383" s="84"/>
      <c r="S383" s="84"/>
      <c r="T383" s="84"/>
      <c r="U383" s="84"/>
      <c r="V383" s="84"/>
    </row>
    <row r="384" ht="15.75" customHeight="1">
      <c r="A384" s="227">
        <v>1.2100144E7</v>
      </c>
      <c r="B384" s="227" t="str">
        <f t="shared" si="1"/>
        <v>12100</v>
      </c>
      <c r="C384" s="227" t="s">
        <v>3999</v>
      </c>
      <c r="D384" s="59"/>
      <c r="E384" s="59"/>
      <c r="F384" s="126"/>
      <c r="G384" s="126"/>
      <c r="H384" s="125"/>
      <c r="I384" s="125"/>
      <c r="J384" s="99"/>
      <c r="K384" s="99"/>
      <c r="L384" s="99"/>
      <c r="M384" s="99">
        <f t="shared" si="2"/>
        <v>1</v>
      </c>
      <c r="N384" s="99">
        <f t="shared" si="3"/>
        <v>1</v>
      </c>
      <c r="O384" s="84"/>
      <c r="P384" s="84"/>
      <c r="Q384" s="84"/>
      <c r="R384" s="84"/>
      <c r="S384" s="84"/>
      <c r="T384" s="84"/>
      <c r="U384" s="84"/>
      <c r="V384" s="84"/>
    </row>
    <row r="385" ht="15.75" customHeight="1">
      <c r="A385" s="227">
        <v>1.2100145E7</v>
      </c>
      <c r="B385" s="227" t="str">
        <f t="shared" si="1"/>
        <v>12100</v>
      </c>
      <c r="C385" s="227" t="s">
        <v>4000</v>
      </c>
      <c r="D385" s="59"/>
      <c r="E385" s="59"/>
      <c r="F385" s="126"/>
      <c r="G385" s="126"/>
      <c r="H385" s="125"/>
      <c r="I385" s="125"/>
      <c r="J385" s="99"/>
      <c r="K385" s="99"/>
      <c r="L385" s="99"/>
      <c r="M385" s="99">
        <f t="shared" si="2"/>
        <v>1</v>
      </c>
      <c r="N385" s="99">
        <f t="shared" si="3"/>
        <v>1</v>
      </c>
      <c r="O385" s="84"/>
      <c r="P385" s="84"/>
      <c r="Q385" s="84"/>
      <c r="R385" s="84"/>
      <c r="S385" s="84"/>
      <c r="T385" s="84"/>
      <c r="U385" s="84"/>
      <c r="V385" s="84"/>
    </row>
    <row r="386" ht="15.75" customHeight="1">
      <c r="A386" s="227">
        <v>1.2100146E7</v>
      </c>
      <c r="B386" s="227" t="str">
        <f t="shared" si="1"/>
        <v>12100</v>
      </c>
      <c r="C386" s="227" t="s">
        <v>4001</v>
      </c>
      <c r="D386" s="59"/>
      <c r="E386" s="59"/>
      <c r="F386" s="126"/>
      <c r="G386" s="126"/>
      <c r="H386" s="125"/>
      <c r="I386" s="125"/>
      <c r="J386" s="99"/>
      <c r="K386" s="99"/>
      <c r="L386" s="99"/>
      <c r="M386" s="99">
        <f t="shared" si="2"/>
        <v>1</v>
      </c>
      <c r="N386" s="99">
        <f t="shared" si="3"/>
        <v>1</v>
      </c>
      <c r="O386" s="84"/>
      <c r="P386" s="84"/>
      <c r="Q386" s="84"/>
      <c r="R386" s="84"/>
      <c r="S386" s="84"/>
      <c r="T386" s="84"/>
      <c r="U386" s="84"/>
      <c r="V386" s="84"/>
    </row>
    <row r="387" ht="15.75" customHeight="1">
      <c r="A387" s="227">
        <v>1.2100162E7</v>
      </c>
      <c r="B387" s="227" t="str">
        <f t="shared" si="1"/>
        <v>12100</v>
      </c>
      <c r="C387" s="227" t="s">
        <v>4002</v>
      </c>
      <c r="D387" s="59"/>
      <c r="E387" s="59"/>
      <c r="F387" s="126"/>
      <c r="G387" s="126"/>
      <c r="H387" s="125"/>
      <c r="I387" s="125"/>
      <c r="J387" s="99"/>
      <c r="K387" s="99"/>
      <c r="L387" s="99"/>
      <c r="M387" s="99">
        <f t="shared" si="2"/>
        <v>1</v>
      </c>
      <c r="N387" s="99">
        <f t="shared" si="3"/>
        <v>1</v>
      </c>
      <c r="O387" s="84"/>
      <c r="P387" s="84"/>
      <c r="Q387" s="84"/>
      <c r="R387" s="84"/>
      <c r="S387" s="84"/>
      <c r="T387" s="84"/>
      <c r="U387" s="84"/>
      <c r="V387" s="84"/>
    </row>
    <row r="388" ht="15.75" customHeight="1">
      <c r="A388" s="227">
        <v>1.2100164E7</v>
      </c>
      <c r="B388" s="227" t="str">
        <f t="shared" si="1"/>
        <v>12100</v>
      </c>
      <c r="C388" s="227" t="s">
        <v>4003</v>
      </c>
      <c r="D388" s="59"/>
      <c r="E388" s="59"/>
      <c r="F388" s="126"/>
      <c r="G388" s="126"/>
      <c r="H388" s="125"/>
      <c r="I388" s="125"/>
      <c r="J388" s="99"/>
      <c r="K388" s="99"/>
      <c r="L388" s="99"/>
      <c r="M388" s="99">
        <f t="shared" si="2"/>
        <v>1</v>
      </c>
      <c r="N388" s="99">
        <f t="shared" si="3"/>
        <v>1</v>
      </c>
      <c r="O388" s="84"/>
      <c r="P388" s="84"/>
      <c r="Q388" s="84"/>
      <c r="R388" s="84"/>
      <c r="S388" s="84"/>
      <c r="T388" s="84"/>
      <c r="U388" s="84"/>
      <c r="V388" s="84"/>
    </row>
    <row r="389" ht="15.75" customHeight="1">
      <c r="A389" s="227">
        <v>1.2100165E7</v>
      </c>
      <c r="B389" s="227" t="str">
        <f t="shared" si="1"/>
        <v>12100</v>
      </c>
      <c r="C389" s="227" t="s">
        <v>4004</v>
      </c>
      <c r="D389" s="59"/>
      <c r="E389" s="59"/>
      <c r="F389" s="126"/>
      <c r="G389" s="126"/>
      <c r="H389" s="125"/>
      <c r="I389" s="125"/>
      <c r="J389" s="99"/>
      <c r="K389" s="99"/>
      <c r="L389" s="99"/>
      <c r="M389" s="99">
        <f t="shared" si="2"/>
        <v>1</v>
      </c>
      <c r="N389" s="99">
        <f t="shared" si="3"/>
        <v>1</v>
      </c>
      <c r="O389" s="84"/>
      <c r="P389" s="84"/>
      <c r="Q389" s="84"/>
      <c r="R389" s="84"/>
      <c r="S389" s="84"/>
      <c r="T389" s="84"/>
      <c r="U389" s="84"/>
      <c r="V389" s="84"/>
    </row>
    <row r="390" ht="15.75" customHeight="1">
      <c r="A390" s="227">
        <v>1.2100166E7</v>
      </c>
      <c r="B390" s="227" t="str">
        <f t="shared" si="1"/>
        <v>12100</v>
      </c>
      <c r="C390" s="227" t="s">
        <v>4005</v>
      </c>
      <c r="D390" s="59"/>
      <c r="E390" s="59"/>
      <c r="F390" s="126"/>
      <c r="G390" s="126"/>
      <c r="H390" s="125"/>
      <c r="I390" s="125"/>
      <c r="J390" s="99"/>
      <c r="K390" s="99"/>
      <c r="L390" s="99"/>
      <c r="M390" s="99">
        <f t="shared" si="2"/>
        <v>1</v>
      </c>
      <c r="N390" s="99">
        <f t="shared" si="3"/>
        <v>1</v>
      </c>
      <c r="O390" s="84"/>
      <c r="P390" s="84"/>
      <c r="Q390" s="84"/>
      <c r="R390" s="84"/>
      <c r="S390" s="84"/>
      <c r="T390" s="84"/>
      <c r="U390" s="84"/>
      <c r="V390" s="84"/>
    </row>
    <row r="391" ht="15.75" customHeight="1">
      <c r="A391" s="227">
        <v>1.2100167E7</v>
      </c>
      <c r="B391" s="227" t="str">
        <f t="shared" si="1"/>
        <v>12100</v>
      </c>
      <c r="C391" s="227" t="s">
        <v>4006</v>
      </c>
      <c r="D391" s="59"/>
      <c r="E391" s="59"/>
      <c r="F391" s="126"/>
      <c r="G391" s="126"/>
      <c r="H391" s="125"/>
      <c r="I391" s="125"/>
      <c r="J391" s="99"/>
      <c r="K391" s="99"/>
      <c r="L391" s="99"/>
      <c r="M391" s="99">
        <f t="shared" si="2"/>
        <v>1</v>
      </c>
      <c r="N391" s="99">
        <f t="shared" si="3"/>
        <v>1</v>
      </c>
      <c r="O391" s="84"/>
      <c r="P391" s="84"/>
      <c r="Q391" s="84"/>
      <c r="R391" s="84"/>
      <c r="S391" s="84"/>
      <c r="T391" s="84"/>
      <c r="U391" s="84"/>
      <c r="V391" s="84"/>
    </row>
    <row r="392" ht="15.75" customHeight="1">
      <c r="A392" s="227">
        <v>1.2100168E7</v>
      </c>
      <c r="B392" s="227" t="str">
        <f t="shared" si="1"/>
        <v>12100</v>
      </c>
      <c r="C392" s="227" t="s">
        <v>4007</v>
      </c>
      <c r="D392" s="59"/>
      <c r="E392" s="59"/>
      <c r="F392" s="126"/>
      <c r="G392" s="126"/>
      <c r="H392" s="125"/>
      <c r="I392" s="125"/>
      <c r="J392" s="99"/>
      <c r="K392" s="99"/>
      <c r="L392" s="99"/>
      <c r="M392" s="99">
        <f t="shared" si="2"/>
        <v>1</v>
      </c>
      <c r="N392" s="99">
        <f t="shared" si="3"/>
        <v>1</v>
      </c>
      <c r="O392" s="84"/>
      <c r="P392" s="84"/>
      <c r="Q392" s="84"/>
      <c r="R392" s="84"/>
      <c r="S392" s="84"/>
      <c r="T392" s="84"/>
      <c r="U392" s="84"/>
      <c r="V392" s="84"/>
    </row>
    <row r="393" ht="15.75" customHeight="1">
      <c r="A393" s="227">
        <v>1.2100201E7</v>
      </c>
      <c r="B393" s="227" t="str">
        <f t="shared" si="1"/>
        <v>12100</v>
      </c>
      <c r="C393" s="227" t="s">
        <v>4008</v>
      </c>
      <c r="D393" s="59"/>
      <c r="E393" s="59"/>
      <c r="F393" s="126"/>
      <c r="G393" s="126"/>
      <c r="H393" s="125"/>
      <c r="I393" s="125"/>
      <c r="J393" s="99"/>
      <c r="K393" s="99"/>
      <c r="L393" s="99"/>
      <c r="M393" s="99">
        <f t="shared" si="2"/>
        <v>1</v>
      </c>
      <c r="N393" s="99">
        <f t="shared" si="3"/>
        <v>1</v>
      </c>
      <c r="O393" s="84"/>
      <c r="P393" s="84"/>
      <c r="Q393" s="84"/>
      <c r="R393" s="84"/>
      <c r="S393" s="84"/>
      <c r="T393" s="84"/>
      <c r="U393" s="84"/>
      <c r="V393" s="84"/>
    </row>
    <row r="394" ht="15.75" customHeight="1">
      <c r="A394" s="227">
        <v>1.2100202E7</v>
      </c>
      <c r="B394" s="227" t="str">
        <f t="shared" si="1"/>
        <v>12100</v>
      </c>
      <c r="C394" s="227" t="s">
        <v>4009</v>
      </c>
      <c r="D394" s="59"/>
      <c r="E394" s="59"/>
      <c r="F394" s="126"/>
      <c r="G394" s="126"/>
      <c r="H394" s="125"/>
      <c r="I394" s="125"/>
      <c r="J394" s="99"/>
      <c r="K394" s="99"/>
      <c r="L394" s="99"/>
      <c r="M394" s="99">
        <f t="shared" si="2"/>
        <v>1</v>
      </c>
      <c r="N394" s="99">
        <f t="shared" si="3"/>
        <v>1</v>
      </c>
      <c r="O394" s="84"/>
      <c r="P394" s="84"/>
      <c r="Q394" s="84"/>
      <c r="R394" s="84"/>
      <c r="S394" s="84"/>
      <c r="T394" s="84"/>
      <c r="U394" s="84"/>
      <c r="V394" s="84"/>
    </row>
    <row r="395" ht="15.75" customHeight="1">
      <c r="A395" s="227">
        <v>1.2100203E7</v>
      </c>
      <c r="B395" s="227" t="str">
        <f t="shared" si="1"/>
        <v>12100</v>
      </c>
      <c r="C395" s="227" t="s">
        <v>4010</v>
      </c>
      <c r="D395" s="59"/>
      <c r="E395" s="59"/>
      <c r="F395" s="126"/>
      <c r="G395" s="126"/>
      <c r="H395" s="125"/>
      <c r="I395" s="125"/>
      <c r="J395" s="99"/>
      <c r="K395" s="99"/>
      <c r="L395" s="99"/>
      <c r="M395" s="99">
        <f t="shared" si="2"/>
        <v>1</v>
      </c>
      <c r="N395" s="99">
        <f t="shared" si="3"/>
        <v>1</v>
      </c>
      <c r="O395" s="84"/>
      <c r="P395" s="84"/>
      <c r="Q395" s="84"/>
      <c r="R395" s="84"/>
      <c r="S395" s="84"/>
      <c r="T395" s="84"/>
      <c r="U395" s="84"/>
      <c r="V395" s="84"/>
    </row>
    <row r="396" ht="15.75" customHeight="1">
      <c r="A396" s="227">
        <v>1.2100204E7</v>
      </c>
      <c r="B396" s="227" t="str">
        <f t="shared" si="1"/>
        <v>12100</v>
      </c>
      <c r="C396" s="227" t="s">
        <v>4011</v>
      </c>
      <c r="D396" s="59"/>
      <c r="E396" s="59"/>
      <c r="F396" s="126"/>
      <c r="G396" s="126"/>
      <c r="H396" s="125"/>
      <c r="I396" s="125"/>
      <c r="J396" s="99"/>
      <c r="K396" s="99"/>
      <c r="L396" s="99"/>
      <c r="M396" s="99">
        <f t="shared" si="2"/>
        <v>1</v>
      </c>
      <c r="N396" s="99">
        <f t="shared" si="3"/>
        <v>1</v>
      </c>
      <c r="O396" s="84"/>
      <c r="P396" s="84"/>
      <c r="Q396" s="84"/>
      <c r="R396" s="84"/>
      <c r="S396" s="84"/>
      <c r="T396" s="84"/>
      <c r="U396" s="84"/>
      <c r="V396" s="84"/>
    </row>
    <row r="397" ht="15.75" customHeight="1">
      <c r="A397" s="227">
        <v>1.2100205E7</v>
      </c>
      <c r="B397" s="227" t="str">
        <f t="shared" si="1"/>
        <v>12100</v>
      </c>
      <c r="C397" s="227" t="s">
        <v>4012</v>
      </c>
      <c r="D397" s="59"/>
      <c r="E397" s="59"/>
      <c r="F397" s="126"/>
      <c r="G397" s="126"/>
      <c r="H397" s="125"/>
      <c r="I397" s="125"/>
      <c r="J397" s="99"/>
      <c r="K397" s="99"/>
      <c r="L397" s="99"/>
      <c r="M397" s="99">
        <f t="shared" si="2"/>
        <v>1</v>
      </c>
      <c r="N397" s="99">
        <f t="shared" si="3"/>
        <v>1</v>
      </c>
      <c r="O397" s="84"/>
      <c r="P397" s="84"/>
      <c r="Q397" s="84"/>
      <c r="R397" s="84"/>
      <c r="S397" s="84"/>
      <c r="T397" s="84"/>
      <c r="U397" s="84"/>
      <c r="V397" s="84"/>
    </row>
    <row r="398" ht="15.75" customHeight="1">
      <c r="A398" s="227">
        <v>1.2100206E7</v>
      </c>
      <c r="B398" s="227" t="str">
        <f t="shared" si="1"/>
        <v>12100</v>
      </c>
      <c r="C398" s="227" t="s">
        <v>4013</v>
      </c>
      <c r="D398" s="59"/>
      <c r="E398" s="59"/>
      <c r="F398" s="126"/>
      <c r="G398" s="126"/>
      <c r="H398" s="125"/>
      <c r="I398" s="125"/>
      <c r="J398" s="99"/>
      <c r="K398" s="99"/>
      <c r="L398" s="99"/>
      <c r="M398" s="99">
        <f t="shared" si="2"/>
        <v>1</v>
      </c>
      <c r="N398" s="99">
        <f t="shared" si="3"/>
        <v>1</v>
      </c>
      <c r="O398" s="84"/>
      <c r="P398" s="84"/>
      <c r="Q398" s="84"/>
      <c r="R398" s="84"/>
      <c r="S398" s="84"/>
      <c r="T398" s="84"/>
      <c r="U398" s="84"/>
      <c r="V398" s="84"/>
    </row>
    <row r="399" ht="15.75" customHeight="1">
      <c r="A399" s="227">
        <v>1.2100221E7</v>
      </c>
      <c r="B399" s="227" t="str">
        <f t="shared" si="1"/>
        <v>12100</v>
      </c>
      <c r="C399" s="227" t="s">
        <v>4014</v>
      </c>
      <c r="D399" s="59"/>
      <c r="E399" s="59"/>
      <c r="F399" s="126"/>
      <c r="G399" s="126"/>
      <c r="H399" s="125"/>
      <c r="I399" s="125"/>
      <c r="J399" s="99"/>
      <c r="K399" s="99"/>
      <c r="L399" s="99"/>
      <c r="M399" s="99">
        <f t="shared" si="2"/>
        <v>1</v>
      </c>
      <c r="N399" s="99">
        <f t="shared" si="3"/>
        <v>1</v>
      </c>
      <c r="O399" s="84"/>
      <c r="P399" s="84"/>
      <c r="Q399" s="84"/>
      <c r="R399" s="84"/>
      <c r="S399" s="84"/>
      <c r="T399" s="84"/>
      <c r="U399" s="84"/>
      <c r="V399" s="84"/>
    </row>
    <row r="400" ht="15.75" customHeight="1">
      <c r="A400" s="227">
        <v>1.2100222E7</v>
      </c>
      <c r="B400" s="227" t="str">
        <f t="shared" si="1"/>
        <v>12100</v>
      </c>
      <c r="C400" s="227" t="s">
        <v>4015</v>
      </c>
      <c r="D400" s="59"/>
      <c r="E400" s="59"/>
      <c r="F400" s="126"/>
      <c r="G400" s="126"/>
      <c r="H400" s="125"/>
      <c r="I400" s="125"/>
      <c r="J400" s="99"/>
      <c r="K400" s="99"/>
      <c r="L400" s="99"/>
      <c r="M400" s="99">
        <f t="shared" si="2"/>
        <v>1</v>
      </c>
      <c r="N400" s="99">
        <f t="shared" si="3"/>
        <v>1</v>
      </c>
      <c r="O400" s="84"/>
      <c r="P400" s="84"/>
      <c r="Q400" s="84"/>
      <c r="R400" s="84"/>
      <c r="S400" s="84"/>
      <c r="T400" s="84"/>
      <c r="U400" s="84"/>
      <c r="V400" s="84"/>
    </row>
    <row r="401" ht="15.75" customHeight="1">
      <c r="A401" s="227">
        <v>1.2100223E7</v>
      </c>
      <c r="B401" s="227" t="str">
        <f t="shared" si="1"/>
        <v>12100</v>
      </c>
      <c r="C401" s="227" t="s">
        <v>4016</v>
      </c>
      <c r="D401" s="59"/>
      <c r="E401" s="59"/>
      <c r="F401" s="126"/>
      <c r="G401" s="126"/>
      <c r="H401" s="125"/>
      <c r="I401" s="125"/>
      <c r="J401" s="99"/>
      <c r="K401" s="99"/>
      <c r="L401" s="99"/>
      <c r="M401" s="99">
        <f t="shared" si="2"/>
        <v>1</v>
      </c>
      <c r="N401" s="99">
        <f t="shared" si="3"/>
        <v>1</v>
      </c>
      <c r="O401" s="84"/>
      <c r="P401" s="84"/>
      <c r="Q401" s="84"/>
      <c r="R401" s="84"/>
      <c r="S401" s="84"/>
      <c r="T401" s="84"/>
      <c r="U401" s="84"/>
      <c r="V401" s="84"/>
    </row>
    <row r="402" ht="15.75" customHeight="1">
      <c r="A402" s="227">
        <v>1.2100224E7</v>
      </c>
      <c r="B402" s="227" t="str">
        <f t="shared" si="1"/>
        <v>12100</v>
      </c>
      <c r="C402" s="227" t="s">
        <v>4017</v>
      </c>
      <c r="D402" s="59"/>
      <c r="E402" s="59"/>
      <c r="F402" s="126"/>
      <c r="G402" s="126"/>
      <c r="H402" s="125"/>
      <c r="I402" s="125"/>
      <c r="J402" s="99"/>
      <c r="K402" s="99"/>
      <c r="L402" s="99"/>
      <c r="M402" s="99">
        <f t="shared" si="2"/>
        <v>1</v>
      </c>
      <c r="N402" s="99">
        <f t="shared" si="3"/>
        <v>1</v>
      </c>
      <c r="O402" s="84"/>
      <c r="P402" s="84"/>
      <c r="Q402" s="84"/>
      <c r="R402" s="84"/>
      <c r="S402" s="84"/>
      <c r="T402" s="84"/>
      <c r="U402" s="84"/>
      <c r="V402" s="84"/>
    </row>
    <row r="403" ht="15.75" customHeight="1">
      <c r="A403" s="227">
        <v>1.2100225E7</v>
      </c>
      <c r="B403" s="227" t="str">
        <f t="shared" si="1"/>
        <v>12100</v>
      </c>
      <c r="C403" s="227" t="s">
        <v>4018</v>
      </c>
      <c r="D403" s="59"/>
      <c r="E403" s="59"/>
      <c r="F403" s="126"/>
      <c r="G403" s="126"/>
      <c r="H403" s="125"/>
      <c r="I403" s="125"/>
      <c r="J403" s="99"/>
      <c r="K403" s="99"/>
      <c r="L403" s="99"/>
      <c r="M403" s="99">
        <f t="shared" si="2"/>
        <v>1</v>
      </c>
      <c r="N403" s="99">
        <f t="shared" si="3"/>
        <v>1</v>
      </c>
      <c r="O403" s="84"/>
      <c r="P403" s="84"/>
      <c r="Q403" s="84"/>
      <c r="R403" s="84"/>
      <c r="S403" s="84"/>
      <c r="T403" s="84"/>
      <c r="U403" s="84"/>
      <c r="V403" s="84"/>
    </row>
    <row r="404" ht="15.75" customHeight="1">
      <c r="A404" s="227">
        <v>1.2100226E7</v>
      </c>
      <c r="B404" s="227" t="str">
        <f t="shared" si="1"/>
        <v>12100</v>
      </c>
      <c r="C404" s="227" t="s">
        <v>4019</v>
      </c>
      <c r="D404" s="59"/>
      <c r="E404" s="59"/>
      <c r="F404" s="126"/>
      <c r="G404" s="126"/>
      <c r="H404" s="125"/>
      <c r="I404" s="125"/>
      <c r="J404" s="99"/>
      <c r="K404" s="99"/>
      <c r="L404" s="99"/>
      <c r="M404" s="99">
        <f t="shared" si="2"/>
        <v>1</v>
      </c>
      <c r="N404" s="99">
        <f t="shared" si="3"/>
        <v>1</v>
      </c>
      <c r="O404" s="84"/>
      <c r="P404" s="84"/>
      <c r="Q404" s="84"/>
      <c r="R404" s="84"/>
      <c r="S404" s="84"/>
      <c r="T404" s="84"/>
      <c r="U404" s="84"/>
      <c r="V404" s="84"/>
    </row>
    <row r="405" ht="15.75" customHeight="1">
      <c r="A405" s="227">
        <v>1.2100241E7</v>
      </c>
      <c r="B405" s="227" t="str">
        <f t="shared" si="1"/>
        <v>12100</v>
      </c>
      <c r="C405" s="227" t="s">
        <v>4020</v>
      </c>
      <c r="D405" s="59"/>
      <c r="E405" s="59"/>
      <c r="F405" s="126"/>
      <c r="G405" s="126"/>
      <c r="H405" s="125"/>
      <c r="I405" s="125"/>
      <c r="J405" s="99"/>
      <c r="K405" s="99"/>
      <c r="L405" s="99"/>
      <c r="M405" s="99">
        <f t="shared" si="2"/>
        <v>1</v>
      </c>
      <c r="N405" s="99">
        <f t="shared" si="3"/>
        <v>1</v>
      </c>
      <c r="O405" s="84"/>
      <c r="P405" s="84"/>
      <c r="Q405" s="84"/>
      <c r="R405" s="84"/>
      <c r="S405" s="84"/>
      <c r="T405" s="84"/>
      <c r="U405" s="84"/>
      <c r="V405" s="84"/>
    </row>
    <row r="406" ht="15.75" customHeight="1">
      <c r="A406" s="227">
        <v>1.2100242E7</v>
      </c>
      <c r="B406" s="227" t="str">
        <f t="shared" si="1"/>
        <v>12100</v>
      </c>
      <c r="C406" s="227" t="s">
        <v>4021</v>
      </c>
      <c r="D406" s="59"/>
      <c r="E406" s="59"/>
      <c r="F406" s="126"/>
      <c r="G406" s="126"/>
      <c r="H406" s="125"/>
      <c r="I406" s="125"/>
      <c r="J406" s="99"/>
      <c r="K406" s="99"/>
      <c r="L406" s="99"/>
      <c r="M406" s="99">
        <f t="shared" si="2"/>
        <v>1</v>
      </c>
      <c r="N406" s="99">
        <f t="shared" si="3"/>
        <v>1</v>
      </c>
      <c r="O406" s="84"/>
      <c r="P406" s="84"/>
      <c r="Q406" s="84"/>
      <c r="R406" s="84"/>
      <c r="S406" s="84"/>
      <c r="T406" s="84"/>
      <c r="U406" s="84"/>
      <c r="V406" s="84"/>
    </row>
    <row r="407" ht="15.75" customHeight="1">
      <c r="A407" s="227">
        <v>1.2100243E7</v>
      </c>
      <c r="B407" s="227" t="str">
        <f t="shared" si="1"/>
        <v>12100</v>
      </c>
      <c r="C407" s="227" t="s">
        <v>4022</v>
      </c>
      <c r="D407" s="59"/>
      <c r="E407" s="59"/>
      <c r="F407" s="126"/>
      <c r="G407" s="126"/>
      <c r="H407" s="125"/>
      <c r="I407" s="125"/>
      <c r="J407" s="99"/>
      <c r="K407" s="99"/>
      <c r="L407" s="99"/>
      <c r="M407" s="99">
        <f t="shared" si="2"/>
        <v>1</v>
      </c>
      <c r="N407" s="99">
        <f t="shared" si="3"/>
        <v>1</v>
      </c>
      <c r="O407" s="84"/>
      <c r="P407" s="84"/>
      <c r="Q407" s="84"/>
      <c r="R407" s="84"/>
      <c r="S407" s="84"/>
      <c r="T407" s="84"/>
      <c r="U407" s="84"/>
      <c r="V407" s="84"/>
    </row>
    <row r="408" ht="15.75" customHeight="1">
      <c r="A408" s="227">
        <v>1.2100244E7</v>
      </c>
      <c r="B408" s="227" t="str">
        <f t="shared" si="1"/>
        <v>12100</v>
      </c>
      <c r="C408" s="227" t="s">
        <v>4023</v>
      </c>
      <c r="D408" s="59"/>
      <c r="E408" s="59"/>
      <c r="F408" s="126"/>
      <c r="G408" s="126"/>
      <c r="H408" s="125"/>
      <c r="I408" s="125"/>
      <c r="J408" s="99"/>
      <c r="K408" s="99"/>
      <c r="L408" s="99"/>
      <c r="M408" s="99">
        <f t="shared" si="2"/>
        <v>1</v>
      </c>
      <c r="N408" s="99">
        <f t="shared" si="3"/>
        <v>1</v>
      </c>
      <c r="O408" s="84"/>
      <c r="P408" s="84"/>
      <c r="Q408" s="84"/>
      <c r="R408" s="84"/>
      <c r="S408" s="84"/>
      <c r="T408" s="84"/>
      <c r="U408" s="84"/>
      <c r="V408" s="84"/>
    </row>
    <row r="409" ht="15.75" customHeight="1">
      <c r="A409" s="227">
        <v>1.2100245E7</v>
      </c>
      <c r="B409" s="227" t="str">
        <f t="shared" si="1"/>
        <v>12100</v>
      </c>
      <c r="C409" s="227" t="s">
        <v>4024</v>
      </c>
      <c r="D409" s="59"/>
      <c r="E409" s="59"/>
      <c r="F409" s="126"/>
      <c r="G409" s="126"/>
      <c r="H409" s="125"/>
      <c r="I409" s="125"/>
      <c r="J409" s="99"/>
      <c r="K409" s="99"/>
      <c r="L409" s="99"/>
      <c r="M409" s="99">
        <f t="shared" si="2"/>
        <v>1</v>
      </c>
      <c r="N409" s="99">
        <f t="shared" si="3"/>
        <v>1</v>
      </c>
      <c r="O409" s="84"/>
      <c r="P409" s="84"/>
      <c r="Q409" s="84"/>
      <c r="R409" s="84"/>
      <c r="S409" s="84"/>
      <c r="T409" s="84"/>
      <c r="U409" s="84"/>
      <c r="V409" s="84"/>
    </row>
    <row r="410" ht="15.75" customHeight="1">
      <c r="A410" s="227">
        <v>1.2100246E7</v>
      </c>
      <c r="B410" s="227" t="str">
        <f t="shared" si="1"/>
        <v>12100</v>
      </c>
      <c r="C410" s="227" t="s">
        <v>4025</v>
      </c>
      <c r="D410" s="59"/>
      <c r="E410" s="59"/>
      <c r="F410" s="126"/>
      <c r="G410" s="126"/>
      <c r="H410" s="125"/>
      <c r="I410" s="125"/>
      <c r="J410" s="99"/>
      <c r="K410" s="99"/>
      <c r="L410" s="99"/>
      <c r="M410" s="99">
        <f t="shared" si="2"/>
        <v>1</v>
      </c>
      <c r="N410" s="99">
        <f t="shared" si="3"/>
        <v>1</v>
      </c>
      <c r="O410" s="84"/>
      <c r="P410" s="84"/>
      <c r="Q410" s="84"/>
      <c r="R410" s="84"/>
      <c r="S410" s="84"/>
      <c r="T410" s="84"/>
      <c r="U410" s="84"/>
      <c r="V410" s="84"/>
    </row>
    <row r="411" ht="15.75" customHeight="1">
      <c r="A411" s="227">
        <v>1.2100262E7</v>
      </c>
      <c r="B411" s="227" t="str">
        <f t="shared" si="1"/>
        <v>12100</v>
      </c>
      <c r="C411" s="227" t="s">
        <v>4026</v>
      </c>
      <c r="D411" s="59"/>
      <c r="E411" s="59"/>
      <c r="F411" s="126"/>
      <c r="G411" s="126"/>
      <c r="H411" s="125"/>
      <c r="I411" s="125"/>
      <c r="J411" s="99"/>
      <c r="K411" s="99"/>
      <c r="L411" s="99"/>
      <c r="M411" s="99">
        <f t="shared" si="2"/>
        <v>1</v>
      </c>
      <c r="N411" s="99">
        <f t="shared" si="3"/>
        <v>1</v>
      </c>
      <c r="O411" s="84"/>
      <c r="P411" s="84"/>
      <c r="Q411" s="84"/>
      <c r="R411" s="84"/>
      <c r="S411" s="84"/>
      <c r="T411" s="84"/>
      <c r="U411" s="84"/>
      <c r="V411" s="84"/>
    </row>
    <row r="412" ht="15.75" customHeight="1">
      <c r="A412" s="227">
        <v>1.2100264E7</v>
      </c>
      <c r="B412" s="227" t="str">
        <f t="shared" si="1"/>
        <v>12100</v>
      </c>
      <c r="C412" s="227" t="s">
        <v>4027</v>
      </c>
      <c r="D412" s="59"/>
      <c r="E412" s="59"/>
      <c r="F412" s="126"/>
      <c r="G412" s="126"/>
      <c r="H412" s="125"/>
      <c r="I412" s="125"/>
      <c r="J412" s="99"/>
      <c r="K412" s="99"/>
      <c r="L412" s="99"/>
      <c r="M412" s="99">
        <f t="shared" si="2"/>
        <v>1</v>
      </c>
      <c r="N412" s="99">
        <f t="shared" si="3"/>
        <v>1</v>
      </c>
      <c r="O412" s="84"/>
      <c r="P412" s="84"/>
      <c r="Q412" s="84"/>
      <c r="R412" s="84"/>
      <c r="S412" s="84"/>
      <c r="T412" s="84"/>
      <c r="U412" s="84"/>
      <c r="V412" s="84"/>
    </row>
    <row r="413" ht="15.75" customHeight="1">
      <c r="A413" s="227">
        <v>1.2100265E7</v>
      </c>
      <c r="B413" s="227" t="str">
        <f t="shared" si="1"/>
        <v>12100</v>
      </c>
      <c r="C413" s="227" t="s">
        <v>4028</v>
      </c>
      <c r="D413" s="59"/>
      <c r="E413" s="59"/>
      <c r="F413" s="126"/>
      <c r="G413" s="126"/>
      <c r="H413" s="125"/>
      <c r="I413" s="125"/>
      <c r="J413" s="99"/>
      <c r="K413" s="99"/>
      <c r="L413" s="99"/>
      <c r="M413" s="99">
        <f t="shared" si="2"/>
        <v>1</v>
      </c>
      <c r="N413" s="99">
        <f t="shared" si="3"/>
        <v>1</v>
      </c>
      <c r="O413" s="84"/>
      <c r="P413" s="84"/>
      <c r="Q413" s="84"/>
      <c r="R413" s="84"/>
      <c r="S413" s="84"/>
      <c r="T413" s="84"/>
      <c r="U413" s="84"/>
      <c r="V413" s="84"/>
    </row>
    <row r="414" ht="15.75" customHeight="1">
      <c r="A414" s="227">
        <v>1.2100266E7</v>
      </c>
      <c r="B414" s="227" t="str">
        <f t="shared" si="1"/>
        <v>12100</v>
      </c>
      <c r="C414" s="227" t="s">
        <v>4029</v>
      </c>
      <c r="D414" s="59"/>
      <c r="E414" s="59"/>
      <c r="F414" s="126"/>
      <c r="G414" s="126"/>
      <c r="H414" s="125"/>
      <c r="I414" s="125"/>
      <c r="J414" s="99"/>
      <c r="K414" s="99"/>
      <c r="L414" s="99"/>
      <c r="M414" s="99">
        <f t="shared" si="2"/>
        <v>1</v>
      </c>
      <c r="N414" s="99">
        <f t="shared" si="3"/>
        <v>1</v>
      </c>
      <c r="O414" s="84"/>
      <c r="P414" s="84"/>
      <c r="Q414" s="84"/>
      <c r="R414" s="84"/>
      <c r="S414" s="84"/>
      <c r="T414" s="84"/>
      <c r="U414" s="84"/>
      <c r="V414" s="84"/>
    </row>
    <row r="415" ht="15.75" customHeight="1">
      <c r="A415" s="227">
        <v>1.2100267E7</v>
      </c>
      <c r="B415" s="227" t="str">
        <f t="shared" si="1"/>
        <v>12100</v>
      </c>
      <c r="C415" s="227" t="s">
        <v>4030</v>
      </c>
      <c r="D415" s="59"/>
      <c r="E415" s="59"/>
      <c r="F415" s="126"/>
      <c r="G415" s="126"/>
      <c r="H415" s="125"/>
      <c r="I415" s="125"/>
      <c r="J415" s="99"/>
      <c r="K415" s="99"/>
      <c r="L415" s="99"/>
      <c r="M415" s="99">
        <f t="shared" si="2"/>
        <v>1</v>
      </c>
      <c r="N415" s="99">
        <f t="shared" si="3"/>
        <v>1</v>
      </c>
      <c r="O415" s="84"/>
      <c r="P415" s="84"/>
      <c r="Q415" s="84"/>
      <c r="R415" s="84"/>
      <c r="S415" s="84"/>
      <c r="T415" s="84"/>
      <c r="U415" s="84"/>
      <c r="V415" s="84"/>
    </row>
    <row r="416" ht="15.75" customHeight="1">
      <c r="A416" s="227">
        <v>1.2100268E7</v>
      </c>
      <c r="B416" s="227" t="str">
        <f t="shared" si="1"/>
        <v>12100</v>
      </c>
      <c r="C416" s="227" t="s">
        <v>4031</v>
      </c>
      <c r="D416" s="73"/>
      <c r="E416" s="73"/>
      <c r="F416" s="126"/>
      <c r="G416" s="126"/>
      <c r="H416" s="125"/>
      <c r="I416" s="125"/>
      <c r="J416" s="99"/>
      <c r="K416" s="99"/>
      <c r="L416" s="99"/>
      <c r="M416" s="99">
        <f t="shared" si="2"/>
        <v>1</v>
      </c>
      <c r="N416" s="99">
        <f t="shared" si="3"/>
        <v>1</v>
      </c>
      <c r="O416" s="84"/>
      <c r="P416" s="84"/>
      <c r="Q416" s="84"/>
      <c r="R416" s="84"/>
      <c r="S416" s="84"/>
      <c r="T416" s="84"/>
      <c r="U416" s="84"/>
      <c r="V416" s="84"/>
    </row>
    <row r="417" ht="15.75" customHeight="1">
      <c r="A417" s="224">
        <v>3.0010001E7</v>
      </c>
      <c r="B417" s="224" t="str">
        <f t="shared" si="1"/>
        <v>30010</v>
      </c>
      <c r="C417" s="224" t="s">
        <v>4032</v>
      </c>
      <c r="D417" s="225" t="s">
        <v>4033</v>
      </c>
      <c r="E417" s="226">
        <v>8.0</v>
      </c>
      <c r="F417" s="126"/>
      <c r="G417" s="126"/>
      <c r="H417" s="125"/>
      <c r="I417" s="125"/>
      <c r="J417" s="99"/>
      <c r="K417" s="99"/>
      <c r="L417" s="99"/>
      <c r="M417" s="99">
        <f t="shared" si="2"/>
        <v>1</v>
      </c>
      <c r="N417" s="99">
        <f t="shared" si="3"/>
        <v>1</v>
      </c>
      <c r="O417" s="84"/>
      <c r="P417" s="84"/>
      <c r="Q417" s="84"/>
      <c r="R417" s="84"/>
      <c r="S417" s="84"/>
      <c r="T417" s="84"/>
      <c r="U417" s="84"/>
      <c r="V417" s="84"/>
    </row>
    <row r="418" ht="15.75" customHeight="1">
      <c r="A418" s="224">
        <v>3.0010002E7</v>
      </c>
      <c r="B418" s="224" t="str">
        <f t="shared" si="1"/>
        <v>30010</v>
      </c>
      <c r="C418" s="224" t="s">
        <v>4034</v>
      </c>
      <c r="D418" s="59"/>
      <c r="E418" s="59"/>
      <c r="F418" s="126"/>
      <c r="G418" s="126"/>
      <c r="H418" s="125"/>
      <c r="I418" s="125"/>
      <c r="J418" s="99"/>
      <c r="K418" s="99"/>
      <c r="L418" s="99"/>
      <c r="M418" s="99">
        <f t="shared" si="2"/>
        <v>1</v>
      </c>
      <c r="N418" s="99">
        <f t="shared" si="3"/>
        <v>1</v>
      </c>
      <c r="O418" s="84"/>
      <c r="P418" s="84"/>
      <c r="Q418" s="84"/>
      <c r="R418" s="84"/>
      <c r="S418" s="84"/>
      <c r="T418" s="84"/>
      <c r="U418" s="84"/>
      <c r="V418" s="84"/>
    </row>
    <row r="419" ht="15.75" customHeight="1">
      <c r="A419" s="224">
        <v>3.0010003E7</v>
      </c>
      <c r="B419" s="224" t="str">
        <f t="shared" si="1"/>
        <v>30010</v>
      </c>
      <c r="C419" s="224" t="s">
        <v>4035</v>
      </c>
      <c r="D419" s="59"/>
      <c r="E419" s="59"/>
      <c r="F419" s="126"/>
      <c r="G419" s="126"/>
      <c r="H419" s="125"/>
      <c r="I419" s="125"/>
      <c r="J419" s="99"/>
      <c r="K419" s="99"/>
      <c r="L419" s="99"/>
      <c r="M419" s="99">
        <f t="shared" si="2"/>
        <v>1</v>
      </c>
      <c r="N419" s="99">
        <f t="shared" si="3"/>
        <v>1</v>
      </c>
      <c r="O419" s="84"/>
      <c r="P419" s="84"/>
      <c r="Q419" s="84"/>
      <c r="R419" s="84"/>
      <c r="S419" s="84"/>
      <c r="T419" s="84"/>
      <c r="U419" s="84"/>
      <c r="V419" s="84"/>
    </row>
    <row r="420" ht="15.75" customHeight="1">
      <c r="A420" s="224">
        <v>3.0010004E7</v>
      </c>
      <c r="B420" s="224" t="str">
        <f t="shared" si="1"/>
        <v>30010</v>
      </c>
      <c r="C420" s="224" t="s">
        <v>4036</v>
      </c>
      <c r="D420" s="59"/>
      <c r="E420" s="59"/>
      <c r="F420" s="126"/>
      <c r="G420" s="126"/>
      <c r="H420" s="125"/>
      <c r="I420" s="125"/>
      <c r="J420" s="99"/>
      <c r="K420" s="99"/>
      <c r="L420" s="99"/>
      <c r="M420" s="99">
        <f t="shared" si="2"/>
        <v>1</v>
      </c>
      <c r="N420" s="99">
        <f t="shared" si="3"/>
        <v>1</v>
      </c>
      <c r="O420" s="84"/>
      <c r="P420" s="84"/>
      <c r="Q420" s="84"/>
      <c r="R420" s="84"/>
      <c r="S420" s="84"/>
      <c r="T420" s="84"/>
      <c r="U420" s="84"/>
      <c r="V420" s="84"/>
    </row>
    <row r="421" ht="15.75" customHeight="1">
      <c r="A421" s="224">
        <v>3.0010005E7</v>
      </c>
      <c r="B421" s="224" t="str">
        <f t="shared" si="1"/>
        <v>30010</v>
      </c>
      <c r="C421" s="224" t="s">
        <v>4037</v>
      </c>
      <c r="D421" s="59"/>
      <c r="E421" s="59"/>
      <c r="F421" s="126"/>
      <c r="G421" s="126"/>
      <c r="H421" s="125"/>
      <c r="I421" s="125"/>
      <c r="J421" s="99"/>
      <c r="K421" s="99"/>
      <c r="L421" s="99"/>
      <c r="M421" s="99">
        <f t="shared" si="2"/>
        <v>1</v>
      </c>
      <c r="N421" s="99">
        <f t="shared" si="3"/>
        <v>1</v>
      </c>
      <c r="O421" s="84"/>
      <c r="P421" s="84"/>
      <c r="Q421" s="84"/>
      <c r="R421" s="84"/>
      <c r="S421" s="84"/>
      <c r="T421" s="84"/>
      <c r="U421" s="84"/>
      <c r="V421" s="84"/>
    </row>
    <row r="422" ht="15.75" customHeight="1">
      <c r="A422" s="224">
        <v>3.0010006E7</v>
      </c>
      <c r="B422" s="224" t="str">
        <f t="shared" si="1"/>
        <v>30010</v>
      </c>
      <c r="C422" s="224" t="s">
        <v>4038</v>
      </c>
      <c r="D422" s="59"/>
      <c r="E422" s="59"/>
      <c r="F422" s="126"/>
      <c r="G422" s="126"/>
      <c r="H422" s="125"/>
      <c r="I422" s="125"/>
      <c r="J422" s="99"/>
      <c r="K422" s="99"/>
      <c r="L422" s="99"/>
      <c r="M422" s="99">
        <f t="shared" si="2"/>
        <v>1</v>
      </c>
      <c r="N422" s="99">
        <f t="shared" si="3"/>
        <v>1</v>
      </c>
      <c r="O422" s="84"/>
      <c r="P422" s="84"/>
      <c r="Q422" s="84"/>
      <c r="R422" s="84"/>
      <c r="S422" s="84"/>
      <c r="T422" s="84"/>
      <c r="U422" s="84"/>
      <c r="V422" s="84"/>
    </row>
    <row r="423" ht="15.75" customHeight="1">
      <c r="A423" s="224">
        <v>3.0010007E7</v>
      </c>
      <c r="B423" s="224" t="str">
        <f t="shared" si="1"/>
        <v>30010</v>
      </c>
      <c r="C423" s="224" t="s">
        <v>4039</v>
      </c>
      <c r="D423" s="59"/>
      <c r="E423" s="59"/>
      <c r="F423" s="126"/>
      <c r="G423" s="126"/>
      <c r="H423" s="125"/>
      <c r="I423" s="125"/>
      <c r="J423" s="99"/>
      <c r="K423" s="99"/>
      <c r="L423" s="99"/>
      <c r="M423" s="99">
        <f t="shared" si="2"/>
        <v>1</v>
      </c>
      <c r="N423" s="99">
        <f t="shared" si="3"/>
        <v>1</v>
      </c>
      <c r="O423" s="84"/>
      <c r="P423" s="84"/>
      <c r="Q423" s="84"/>
      <c r="R423" s="84"/>
      <c r="S423" s="84"/>
      <c r="T423" s="84"/>
      <c r="U423" s="84"/>
      <c r="V423" s="84"/>
    </row>
    <row r="424" ht="15.75" customHeight="1">
      <c r="A424" s="224">
        <v>3.0010008E7</v>
      </c>
      <c r="B424" s="224" t="str">
        <f t="shared" si="1"/>
        <v>30010</v>
      </c>
      <c r="C424" s="224" t="s">
        <v>4040</v>
      </c>
      <c r="D424" s="59"/>
      <c r="E424" s="59"/>
      <c r="F424" s="126"/>
      <c r="G424" s="126"/>
      <c r="H424" s="125"/>
      <c r="I424" s="125"/>
      <c r="J424" s="99"/>
      <c r="K424" s="99"/>
      <c r="L424" s="99"/>
      <c r="M424" s="99">
        <f t="shared" si="2"/>
        <v>1</v>
      </c>
      <c r="N424" s="99">
        <f t="shared" si="3"/>
        <v>1</v>
      </c>
      <c r="O424" s="84"/>
      <c r="P424" s="84"/>
      <c r="Q424" s="84"/>
      <c r="R424" s="84"/>
      <c r="S424" s="84"/>
      <c r="T424" s="84"/>
      <c r="U424" s="84"/>
      <c r="V424" s="84"/>
    </row>
    <row r="425" ht="15.75" customHeight="1">
      <c r="A425" s="224">
        <v>3.0010009E7</v>
      </c>
      <c r="B425" s="224" t="str">
        <f t="shared" si="1"/>
        <v>30010</v>
      </c>
      <c r="C425" s="224" t="s">
        <v>4041</v>
      </c>
      <c r="D425" s="59"/>
      <c r="E425" s="59"/>
      <c r="F425" s="126"/>
      <c r="G425" s="126"/>
      <c r="H425" s="125"/>
      <c r="I425" s="125"/>
      <c r="J425" s="99"/>
      <c r="K425" s="99"/>
      <c r="L425" s="99"/>
      <c r="M425" s="99">
        <f t="shared" si="2"/>
        <v>1</v>
      </c>
      <c r="N425" s="99">
        <f t="shared" si="3"/>
        <v>1</v>
      </c>
      <c r="O425" s="84"/>
      <c r="P425" s="84"/>
      <c r="Q425" s="84"/>
      <c r="R425" s="84"/>
      <c r="S425" s="84"/>
      <c r="T425" s="84"/>
      <c r="U425" s="84"/>
      <c r="V425" s="84"/>
    </row>
    <row r="426" ht="15.75" customHeight="1">
      <c r="A426" s="224">
        <v>3.001001E7</v>
      </c>
      <c r="B426" s="224" t="str">
        <f t="shared" si="1"/>
        <v>30010</v>
      </c>
      <c r="C426" s="224" t="s">
        <v>4042</v>
      </c>
      <c r="D426" s="59"/>
      <c r="E426" s="59"/>
      <c r="F426" s="126"/>
      <c r="G426" s="126"/>
      <c r="H426" s="125"/>
      <c r="I426" s="125"/>
      <c r="J426" s="99"/>
      <c r="K426" s="99"/>
      <c r="L426" s="99"/>
      <c r="M426" s="99">
        <f t="shared" si="2"/>
        <v>1</v>
      </c>
      <c r="N426" s="99">
        <f t="shared" si="3"/>
        <v>1</v>
      </c>
      <c r="O426" s="84"/>
      <c r="P426" s="84"/>
      <c r="Q426" s="84"/>
      <c r="R426" s="84"/>
      <c r="S426" s="84"/>
      <c r="T426" s="84"/>
      <c r="U426" s="84"/>
      <c r="V426" s="84"/>
    </row>
    <row r="427" ht="15.75" customHeight="1">
      <c r="A427" s="224">
        <v>3.0010011E7</v>
      </c>
      <c r="B427" s="224" t="str">
        <f t="shared" si="1"/>
        <v>30010</v>
      </c>
      <c r="C427" s="224" t="s">
        <v>4043</v>
      </c>
      <c r="D427" s="59"/>
      <c r="E427" s="59"/>
      <c r="F427" s="126"/>
      <c r="G427" s="126"/>
      <c r="H427" s="125"/>
      <c r="I427" s="125"/>
      <c r="J427" s="99"/>
      <c r="K427" s="99"/>
      <c r="L427" s="99"/>
      <c r="M427" s="99">
        <f t="shared" si="2"/>
        <v>1</v>
      </c>
      <c r="N427" s="99">
        <f t="shared" si="3"/>
        <v>1</v>
      </c>
      <c r="O427" s="84"/>
      <c r="P427" s="84"/>
      <c r="Q427" s="84"/>
      <c r="R427" s="84"/>
      <c r="S427" s="84"/>
      <c r="T427" s="84"/>
      <c r="U427" s="84"/>
      <c r="V427" s="84"/>
    </row>
    <row r="428" ht="15.75" customHeight="1">
      <c r="A428" s="224">
        <v>3.0010012E7</v>
      </c>
      <c r="B428" s="224" t="str">
        <f t="shared" si="1"/>
        <v>30010</v>
      </c>
      <c r="C428" s="224" t="s">
        <v>4044</v>
      </c>
      <c r="D428" s="59"/>
      <c r="E428" s="59"/>
      <c r="F428" s="126"/>
      <c r="G428" s="126"/>
      <c r="H428" s="125"/>
      <c r="I428" s="125"/>
      <c r="J428" s="99"/>
      <c r="K428" s="99"/>
      <c r="L428" s="99"/>
      <c r="M428" s="99">
        <f t="shared" si="2"/>
        <v>1</v>
      </c>
      <c r="N428" s="99">
        <f t="shared" si="3"/>
        <v>1</v>
      </c>
      <c r="O428" s="84"/>
      <c r="P428" s="84"/>
      <c r="Q428" s="84"/>
      <c r="R428" s="84"/>
      <c r="S428" s="84"/>
      <c r="T428" s="84"/>
      <c r="U428" s="84"/>
      <c r="V428" s="84"/>
    </row>
    <row r="429" ht="15.75" customHeight="1">
      <c r="A429" s="224">
        <v>3.0010013E7</v>
      </c>
      <c r="B429" s="224" t="str">
        <f t="shared" si="1"/>
        <v>30010</v>
      </c>
      <c r="C429" s="224" t="s">
        <v>4045</v>
      </c>
      <c r="D429" s="59"/>
      <c r="E429" s="59"/>
      <c r="F429" s="126"/>
      <c r="G429" s="126"/>
      <c r="H429" s="125"/>
      <c r="I429" s="125"/>
      <c r="J429" s="99"/>
      <c r="K429" s="99"/>
      <c r="L429" s="99"/>
      <c r="M429" s="99">
        <f t="shared" si="2"/>
        <v>1</v>
      </c>
      <c r="N429" s="99">
        <f t="shared" si="3"/>
        <v>1</v>
      </c>
      <c r="O429" s="84"/>
      <c r="P429" s="84"/>
      <c r="Q429" s="84"/>
      <c r="R429" s="84"/>
      <c r="S429" s="84"/>
      <c r="T429" s="84"/>
      <c r="U429" s="84"/>
      <c r="V429" s="84"/>
    </row>
    <row r="430" ht="15.75" customHeight="1">
      <c r="A430" s="224">
        <v>3.0010014E7</v>
      </c>
      <c r="B430" s="224" t="str">
        <f t="shared" si="1"/>
        <v>30010</v>
      </c>
      <c r="C430" s="224" t="s">
        <v>4046</v>
      </c>
      <c r="D430" s="59"/>
      <c r="E430" s="59"/>
      <c r="F430" s="126"/>
      <c r="G430" s="126"/>
      <c r="H430" s="125"/>
      <c r="I430" s="125"/>
      <c r="J430" s="99"/>
      <c r="K430" s="99"/>
      <c r="L430" s="99"/>
      <c r="M430" s="99">
        <f t="shared" si="2"/>
        <v>1</v>
      </c>
      <c r="N430" s="99">
        <f t="shared" si="3"/>
        <v>1</v>
      </c>
      <c r="O430" s="84"/>
      <c r="P430" s="84"/>
      <c r="Q430" s="84"/>
      <c r="R430" s="84"/>
      <c r="S430" s="84"/>
      <c r="T430" s="84"/>
      <c r="U430" s="84"/>
      <c r="V430" s="84"/>
    </row>
    <row r="431" ht="15.75" customHeight="1">
      <c r="A431" s="224">
        <v>3.0010015E7</v>
      </c>
      <c r="B431" s="224" t="str">
        <f t="shared" si="1"/>
        <v>30010</v>
      </c>
      <c r="C431" s="224" t="s">
        <v>4047</v>
      </c>
      <c r="D431" s="59"/>
      <c r="E431" s="59"/>
      <c r="F431" s="126"/>
      <c r="G431" s="126"/>
      <c r="H431" s="125"/>
      <c r="I431" s="125"/>
      <c r="J431" s="99"/>
      <c r="K431" s="99"/>
      <c r="L431" s="99"/>
      <c r="M431" s="99">
        <f t="shared" si="2"/>
        <v>1</v>
      </c>
      <c r="N431" s="99">
        <f t="shared" si="3"/>
        <v>1</v>
      </c>
      <c r="O431" s="84"/>
      <c r="P431" s="84"/>
      <c r="Q431" s="84"/>
      <c r="R431" s="84"/>
      <c r="S431" s="84"/>
      <c r="T431" s="84"/>
      <c r="U431" s="84"/>
      <c r="V431" s="84"/>
    </row>
    <row r="432" ht="15.75" customHeight="1">
      <c r="A432" s="224">
        <v>3.0010016E7</v>
      </c>
      <c r="B432" s="224" t="str">
        <f t="shared" si="1"/>
        <v>30010</v>
      </c>
      <c r="C432" s="224" t="s">
        <v>4048</v>
      </c>
      <c r="D432" s="59"/>
      <c r="E432" s="59"/>
      <c r="F432" s="126"/>
      <c r="G432" s="126"/>
      <c r="H432" s="125"/>
      <c r="I432" s="125"/>
      <c r="J432" s="99"/>
      <c r="K432" s="99"/>
      <c r="L432" s="99"/>
      <c r="M432" s="99">
        <f t="shared" si="2"/>
        <v>1</v>
      </c>
      <c r="N432" s="99">
        <f t="shared" si="3"/>
        <v>1</v>
      </c>
      <c r="O432" s="84"/>
      <c r="P432" s="84"/>
      <c r="Q432" s="84"/>
      <c r="R432" s="84"/>
      <c r="S432" s="84"/>
      <c r="T432" s="84"/>
      <c r="U432" s="84"/>
      <c r="V432" s="84"/>
    </row>
    <row r="433" ht="15.75" customHeight="1">
      <c r="A433" s="224">
        <v>3.0010017E7</v>
      </c>
      <c r="B433" s="224" t="str">
        <f t="shared" si="1"/>
        <v>30010</v>
      </c>
      <c r="C433" s="224" t="s">
        <v>4049</v>
      </c>
      <c r="D433" s="59"/>
      <c r="E433" s="59"/>
      <c r="F433" s="126"/>
      <c r="G433" s="126"/>
      <c r="H433" s="125"/>
      <c r="I433" s="125"/>
      <c r="J433" s="99"/>
      <c r="K433" s="99"/>
      <c r="L433" s="99"/>
      <c r="M433" s="99">
        <f t="shared" si="2"/>
        <v>1</v>
      </c>
      <c r="N433" s="99">
        <f t="shared" si="3"/>
        <v>1</v>
      </c>
      <c r="O433" s="84"/>
      <c r="P433" s="84"/>
      <c r="Q433" s="84"/>
      <c r="R433" s="84"/>
      <c r="S433" s="84"/>
      <c r="T433" s="84"/>
      <c r="U433" s="84"/>
      <c r="V433" s="84"/>
    </row>
    <row r="434" ht="15.75" customHeight="1">
      <c r="A434" s="224">
        <v>3.0010018E7</v>
      </c>
      <c r="B434" s="224" t="str">
        <f t="shared" si="1"/>
        <v>30010</v>
      </c>
      <c r="C434" s="224" t="s">
        <v>4050</v>
      </c>
      <c r="D434" s="59"/>
      <c r="E434" s="59"/>
      <c r="F434" s="126"/>
      <c r="G434" s="126"/>
      <c r="H434" s="125"/>
      <c r="I434" s="125"/>
      <c r="J434" s="99"/>
      <c r="K434" s="99"/>
      <c r="L434" s="99"/>
      <c r="M434" s="99">
        <f t="shared" si="2"/>
        <v>1</v>
      </c>
      <c r="N434" s="99">
        <f t="shared" si="3"/>
        <v>1</v>
      </c>
      <c r="O434" s="84"/>
      <c r="P434" s="84"/>
      <c r="Q434" s="84"/>
      <c r="R434" s="84"/>
      <c r="S434" s="84"/>
      <c r="T434" s="84"/>
      <c r="U434" s="84"/>
      <c r="V434" s="84"/>
    </row>
    <row r="435" ht="15.75" customHeight="1">
      <c r="A435" s="224">
        <v>3.0010019E7</v>
      </c>
      <c r="B435" s="224" t="str">
        <f t="shared" si="1"/>
        <v>30010</v>
      </c>
      <c r="C435" s="224" t="s">
        <v>4051</v>
      </c>
      <c r="D435" s="59"/>
      <c r="E435" s="59"/>
      <c r="F435" s="126"/>
      <c r="G435" s="126"/>
      <c r="H435" s="125"/>
      <c r="I435" s="125"/>
      <c r="J435" s="99"/>
      <c r="K435" s="99"/>
      <c r="L435" s="99"/>
      <c r="M435" s="99">
        <f t="shared" si="2"/>
        <v>1</v>
      </c>
      <c r="N435" s="99">
        <f t="shared" si="3"/>
        <v>1</v>
      </c>
      <c r="O435" s="84"/>
      <c r="P435" s="84"/>
      <c r="Q435" s="84"/>
      <c r="R435" s="84"/>
      <c r="S435" s="84"/>
      <c r="T435" s="84"/>
      <c r="U435" s="84"/>
      <c r="V435" s="84"/>
    </row>
    <row r="436" ht="15.75" customHeight="1">
      <c r="A436" s="224">
        <v>3.001002E7</v>
      </c>
      <c r="B436" s="224" t="str">
        <f t="shared" si="1"/>
        <v>30010</v>
      </c>
      <c r="C436" s="224" t="s">
        <v>4052</v>
      </c>
      <c r="D436" s="59"/>
      <c r="E436" s="59"/>
      <c r="F436" s="126"/>
      <c r="G436" s="126"/>
      <c r="H436" s="125"/>
      <c r="I436" s="125"/>
      <c r="J436" s="99"/>
      <c r="K436" s="99"/>
      <c r="L436" s="99"/>
      <c r="M436" s="99">
        <f t="shared" si="2"/>
        <v>1</v>
      </c>
      <c r="N436" s="99">
        <f t="shared" si="3"/>
        <v>1</v>
      </c>
      <c r="O436" s="84"/>
      <c r="P436" s="84"/>
      <c r="Q436" s="84"/>
      <c r="R436" s="84"/>
      <c r="S436" s="84"/>
      <c r="T436" s="84"/>
      <c r="U436" s="84"/>
      <c r="V436" s="84"/>
    </row>
    <row r="437" ht="15.75" customHeight="1">
      <c r="A437" s="224">
        <v>3.0010021E7</v>
      </c>
      <c r="B437" s="224" t="str">
        <f t="shared" si="1"/>
        <v>30010</v>
      </c>
      <c r="C437" s="224" t="s">
        <v>4053</v>
      </c>
      <c r="D437" s="59"/>
      <c r="E437" s="59"/>
      <c r="F437" s="126"/>
      <c r="G437" s="126"/>
      <c r="H437" s="125"/>
      <c r="I437" s="125"/>
      <c r="J437" s="99"/>
      <c r="K437" s="99"/>
      <c r="L437" s="99"/>
      <c r="M437" s="99">
        <f t="shared" si="2"/>
        <v>1</v>
      </c>
      <c r="N437" s="99">
        <f t="shared" si="3"/>
        <v>1</v>
      </c>
      <c r="O437" s="84"/>
      <c r="P437" s="84"/>
      <c r="Q437" s="84"/>
      <c r="R437" s="84"/>
      <c r="S437" s="84"/>
      <c r="T437" s="84"/>
      <c r="U437" s="84"/>
      <c r="V437" s="84"/>
    </row>
    <row r="438" ht="15.75" customHeight="1">
      <c r="A438" s="224">
        <v>3.0010022E7</v>
      </c>
      <c r="B438" s="224" t="str">
        <f t="shared" si="1"/>
        <v>30010</v>
      </c>
      <c r="C438" s="224" t="s">
        <v>4054</v>
      </c>
      <c r="D438" s="59"/>
      <c r="E438" s="59"/>
      <c r="F438" s="126"/>
      <c r="G438" s="126"/>
      <c r="H438" s="125"/>
      <c r="I438" s="125"/>
      <c r="J438" s="99"/>
      <c r="K438" s="99"/>
      <c r="L438" s="99"/>
      <c r="M438" s="99">
        <f t="shared" si="2"/>
        <v>1</v>
      </c>
      <c r="N438" s="99">
        <f t="shared" si="3"/>
        <v>1</v>
      </c>
      <c r="O438" s="84"/>
      <c r="P438" s="84"/>
      <c r="Q438" s="84"/>
      <c r="R438" s="84"/>
      <c r="S438" s="84"/>
      <c r="T438" s="84"/>
      <c r="U438" s="84"/>
      <c r="V438" s="84"/>
    </row>
    <row r="439" ht="15.75" customHeight="1">
      <c r="A439" s="224">
        <v>3.0010023E7</v>
      </c>
      <c r="B439" s="224" t="str">
        <f t="shared" si="1"/>
        <v>30010</v>
      </c>
      <c r="C439" s="224" t="s">
        <v>4055</v>
      </c>
      <c r="D439" s="59"/>
      <c r="E439" s="59"/>
      <c r="F439" s="126"/>
      <c r="G439" s="126"/>
      <c r="H439" s="125"/>
      <c r="I439" s="125"/>
      <c r="J439" s="99"/>
      <c r="K439" s="99"/>
      <c r="L439" s="99"/>
      <c r="M439" s="99">
        <f t="shared" si="2"/>
        <v>1</v>
      </c>
      <c r="N439" s="99">
        <f t="shared" si="3"/>
        <v>1</v>
      </c>
      <c r="O439" s="84"/>
      <c r="P439" s="84"/>
      <c r="Q439" s="84"/>
      <c r="R439" s="84"/>
      <c r="S439" s="84"/>
      <c r="T439" s="84"/>
      <c r="U439" s="84"/>
      <c r="V439" s="84"/>
    </row>
    <row r="440" ht="15.75" customHeight="1">
      <c r="A440" s="224">
        <v>3.0010024E7</v>
      </c>
      <c r="B440" s="224" t="str">
        <f t="shared" si="1"/>
        <v>30010</v>
      </c>
      <c r="C440" s="224" t="s">
        <v>4056</v>
      </c>
      <c r="D440" s="59"/>
      <c r="E440" s="59"/>
      <c r="F440" s="126"/>
      <c r="G440" s="126"/>
      <c r="H440" s="125"/>
      <c r="I440" s="125"/>
      <c r="J440" s="99"/>
      <c r="K440" s="99"/>
      <c r="L440" s="99"/>
      <c r="M440" s="99">
        <f t="shared" si="2"/>
        <v>1</v>
      </c>
      <c r="N440" s="99">
        <f t="shared" si="3"/>
        <v>1</v>
      </c>
      <c r="O440" s="84"/>
      <c r="P440" s="84"/>
      <c r="Q440" s="84"/>
      <c r="R440" s="84"/>
      <c r="S440" s="84"/>
      <c r="T440" s="84"/>
      <c r="U440" s="84"/>
      <c r="V440" s="84"/>
    </row>
    <row r="441" ht="15.75" customHeight="1">
      <c r="A441" s="224">
        <v>3.0010025E7</v>
      </c>
      <c r="B441" s="224" t="str">
        <f t="shared" si="1"/>
        <v>30010</v>
      </c>
      <c r="C441" s="224" t="s">
        <v>4057</v>
      </c>
      <c r="D441" s="59"/>
      <c r="E441" s="59"/>
      <c r="F441" s="126"/>
      <c r="G441" s="126"/>
      <c r="H441" s="125"/>
      <c r="I441" s="125"/>
      <c r="J441" s="99"/>
      <c r="K441" s="99"/>
      <c r="L441" s="99"/>
      <c r="M441" s="99">
        <f t="shared" si="2"/>
        <v>1</v>
      </c>
      <c r="N441" s="99">
        <f t="shared" si="3"/>
        <v>1</v>
      </c>
      <c r="O441" s="84"/>
      <c r="P441" s="84"/>
      <c r="Q441" s="84"/>
      <c r="R441" s="84"/>
      <c r="S441" s="84"/>
      <c r="T441" s="84"/>
      <c r="U441" s="84"/>
      <c r="V441" s="84"/>
    </row>
    <row r="442" ht="15.75" customHeight="1">
      <c r="A442" s="224">
        <v>3.0010026E7</v>
      </c>
      <c r="B442" s="224" t="str">
        <f t="shared" si="1"/>
        <v>30010</v>
      </c>
      <c r="C442" s="224" t="s">
        <v>4058</v>
      </c>
      <c r="D442" s="59"/>
      <c r="E442" s="59"/>
      <c r="F442" s="126"/>
      <c r="G442" s="126"/>
      <c r="H442" s="125"/>
      <c r="I442" s="125"/>
      <c r="J442" s="99"/>
      <c r="K442" s="99"/>
      <c r="L442" s="99"/>
      <c r="M442" s="99">
        <f t="shared" si="2"/>
        <v>1</v>
      </c>
      <c r="N442" s="99">
        <f t="shared" si="3"/>
        <v>1</v>
      </c>
      <c r="O442" s="84"/>
      <c r="P442" s="84"/>
      <c r="Q442" s="84"/>
      <c r="R442" s="84"/>
      <c r="S442" s="84"/>
      <c r="T442" s="84"/>
      <c r="U442" s="84"/>
      <c r="V442" s="84"/>
    </row>
    <row r="443" ht="15.75" customHeight="1">
      <c r="A443" s="224">
        <v>3.0010027E7</v>
      </c>
      <c r="B443" s="224" t="str">
        <f t="shared" si="1"/>
        <v>30010</v>
      </c>
      <c r="C443" s="224" t="s">
        <v>4059</v>
      </c>
      <c r="D443" s="59"/>
      <c r="E443" s="59"/>
      <c r="F443" s="126"/>
      <c r="G443" s="126"/>
      <c r="H443" s="125"/>
      <c r="I443" s="125"/>
      <c r="J443" s="99"/>
      <c r="K443" s="99"/>
      <c r="L443" s="99"/>
      <c r="M443" s="99">
        <f t="shared" si="2"/>
        <v>1</v>
      </c>
      <c r="N443" s="99">
        <f t="shared" si="3"/>
        <v>1</v>
      </c>
      <c r="O443" s="84"/>
      <c r="P443" s="84"/>
      <c r="Q443" s="84"/>
      <c r="R443" s="84"/>
      <c r="S443" s="84"/>
      <c r="T443" s="84"/>
      <c r="U443" s="84"/>
      <c r="V443" s="84"/>
    </row>
    <row r="444" ht="15.75" customHeight="1">
      <c r="A444" s="224">
        <v>3.0010028E7</v>
      </c>
      <c r="B444" s="224" t="str">
        <f t="shared" si="1"/>
        <v>30010</v>
      </c>
      <c r="C444" s="224" t="s">
        <v>4060</v>
      </c>
      <c r="D444" s="59"/>
      <c r="E444" s="59"/>
      <c r="F444" s="126"/>
      <c r="G444" s="126"/>
      <c r="H444" s="125"/>
      <c r="I444" s="125"/>
      <c r="J444" s="99"/>
      <c r="K444" s="99"/>
      <c r="L444" s="99"/>
      <c r="M444" s="99">
        <f t="shared" si="2"/>
        <v>1</v>
      </c>
      <c r="N444" s="99">
        <f t="shared" si="3"/>
        <v>1</v>
      </c>
      <c r="O444" s="84"/>
      <c r="P444" s="84"/>
      <c r="Q444" s="84"/>
      <c r="R444" s="84"/>
      <c r="S444" s="84"/>
      <c r="T444" s="84"/>
      <c r="U444" s="84"/>
      <c r="V444" s="84"/>
    </row>
    <row r="445" ht="15.75" customHeight="1">
      <c r="A445" s="227">
        <v>3.0010101E7</v>
      </c>
      <c r="B445" s="227" t="str">
        <f t="shared" si="1"/>
        <v>30010</v>
      </c>
      <c r="C445" s="227" t="s">
        <v>4061</v>
      </c>
      <c r="D445" s="59"/>
      <c r="E445" s="59"/>
      <c r="F445" s="126"/>
      <c r="G445" s="126"/>
      <c r="H445" s="125"/>
      <c r="I445" s="125"/>
      <c r="J445" s="99"/>
      <c r="K445" s="99"/>
      <c r="L445" s="99"/>
      <c r="M445" s="99">
        <f t="shared" si="2"/>
        <v>1</v>
      </c>
      <c r="N445" s="99">
        <f t="shared" si="3"/>
        <v>1</v>
      </c>
      <c r="O445" s="84"/>
      <c r="P445" s="84"/>
      <c r="Q445" s="84"/>
      <c r="R445" s="84"/>
      <c r="S445" s="84"/>
      <c r="T445" s="84"/>
      <c r="U445" s="84"/>
      <c r="V445" s="84"/>
    </row>
    <row r="446" ht="15.75" customHeight="1">
      <c r="A446" s="227">
        <v>3.0010102E7</v>
      </c>
      <c r="B446" s="227" t="str">
        <f t="shared" si="1"/>
        <v>30010</v>
      </c>
      <c r="C446" s="227" t="s">
        <v>4062</v>
      </c>
      <c r="D446" s="59"/>
      <c r="E446" s="59"/>
      <c r="F446" s="126"/>
      <c r="G446" s="126"/>
      <c r="H446" s="125"/>
      <c r="I446" s="125"/>
      <c r="J446" s="99"/>
      <c r="K446" s="99"/>
      <c r="L446" s="99"/>
      <c r="M446" s="99">
        <f t="shared" si="2"/>
        <v>1</v>
      </c>
      <c r="N446" s="99">
        <f t="shared" si="3"/>
        <v>1</v>
      </c>
      <c r="O446" s="84"/>
      <c r="P446" s="84"/>
      <c r="Q446" s="84"/>
      <c r="R446" s="84"/>
      <c r="S446" s="84"/>
      <c r="T446" s="84"/>
      <c r="U446" s="84"/>
      <c r="V446" s="84"/>
    </row>
    <row r="447" ht="15.75" customHeight="1">
      <c r="A447" s="227">
        <v>3.0010103E7</v>
      </c>
      <c r="B447" s="227" t="str">
        <f t="shared" si="1"/>
        <v>30010</v>
      </c>
      <c r="C447" s="227" t="s">
        <v>4063</v>
      </c>
      <c r="D447" s="59"/>
      <c r="E447" s="59"/>
      <c r="F447" s="126"/>
      <c r="G447" s="126"/>
      <c r="H447" s="125"/>
      <c r="I447" s="125"/>
      <c r="J447" s="99"/>
      <c r="K447" s="99"/>
      <c r="L447" s="99"/>
      <c r="M447" s="99">
        <f t="shared" si="2"/>
        <v>1</v>
      </c>
      <c r="N447" s="99">
        <f t="shared" si="3"/>
        <v>1</v>
      </c>
      <c r="O447" s="84"/>
      <c r="P447" s="84"/>
      <c r="Q447" s="84"/>
      <c r="R447" s="84"/>
      <c r="S447" s="84"/>
      <c r="T447" s="84"/>
      <c r="U447" s="84"/>
      <c r="V447" s="84"/>
    </row>
    <row r="448" ht="15.75" customHeight="1">
      <c r="A448" s="227">
        <v>3.0010104E7</v>
      </c>
      <c r="B448" s="227" t="str">
        <f t="shared" si="1"/>
        <v>30010</v>
      </c>
      <c r="C448" s="227" t="s">
        <v>4064</v>
      </c>
      <c r="D448" s="59"/>
      <c r="E448" s="59"/>
      <c r="F448" s="126"/>
      <c r="G448" s="126"/>
      <c r="H448" s="125"/>
      <c r="I448" s="125"/>
      <c r="J448" s="99"/>
      <c r="K448" s="99"/>
      <c r="L448" s="99"/>
      <c r="M448" s="99">
        <f t="shared" si="2"/>
        <v>1</v>
      </c>
      <c r="N448" s="99">
        <f t="shared" si="3"/>
        <v>1</v>
      </c>
      <c r="O448" s="84"/>
      <c r="P448" s="84"/>
      <c r="Q448" s="84"/>
      <c r="R448" s="84"/>
      <c r="S448" s="84"/>
      <c r="T448" s="84"/>
      <c r="U448" s="84"/>
      <c r="V448" s="84"/>
    </row>
    <row r="449" ht="15.75" customHeight="1">
      <c r="A449" s="227">
        <v>3.0010105E7</v>
      </c>
      <c r="B449" s="227" t="str">
        <f t="shared" si="1"/>
        <v>30010</v>
      </c>
      <c r="C449" s="227" t="s">
        <v>4065</v>
      </c>
      <c r="D449" s="59"/>
      <c r="E449" s="59"/>
      <c r="F449" s="126"/>
      <c r="G449" s="126"/>
      <c r="H449" s="125"/>
      <c r="I449" s="125"/>
      <c r="J449" s="99"/>
      <c r="K449" s="99"/>
      <c r="L449" s="99"/>
      <c r="M449" s="99">
        <f t="shared" si="2"/>
        <v>1</v>
      </c>
      <c r="N449" s="99">
        <f t="shared" si="3"/>
        <v>1</v>
      </c>
      <c r="O449" s="84"/>
      <c r="P449" s="84"/>
      <c r="Q449" s="84"/>
      <c r="R449" s="84"/>
      <c r="S449" s="84"/>
      <c r="T449" s="84"/>
      <c r="U449" s="84"/>
      <c r="V449" s="84"/>
    </row>
    <row r="450" ht="15.75" customHeight="1">
      <c r="A450" s="227">
        <v>3.0010106E7</v>
      </c>
      <c r="B450" s="227" t="str">
        <f t="shared" si="1"/>
        <v>30010</v>
      </c>
      <c r="C450" s="227" t="s">
        <v>4066</v>
      </c>
      <c r="D450" s="59"/>
      <c r="E450" s="59"/>
      <c r="F450" s="126"/>
      <c r="G450" s="126"/>
      <c r="H450" s="125"/>
      <c r="I450" s="125"/>
      <c r="J450" s="99"/>
      <c r="K450" s="99"/>
      <c r="L450" s="99"/>
      <c r="M450" s="99">
        <f t="shared" si="2"/>
        <v>1</v>
      </c>
      <c r="N450" s="99">
        <f t="shared" si="3"/>
        <v>1</v>
      </c>
      <c r="O450" s="84"/>
      <c r="P450" s="84"/>
      <c r="Q450" s="84"/>
      <c r="R450" s="84"/>
      <c r="S450" s="84"/>
      <c r="T450" s="84"/>
      <c r="U450" s="84"/>
      <c r="V450" s="84"/>
    </row>
    <row r="451" ht="15.75" customHeight="1">
      <c r="A451" s="227">
        <v>3.0010107E7</v>
      </c>
      <c r="B451" s="227" t="str">
        <f t="shared" si="1"/>
        <v>30010</v>
      </c>
      <c r="C451" s="227" t="s">
        <v>4067</v>
      </c>
      <c r="D451" s="59"/>
      <c r="E451" s="59"/>
      <c r="F451" s="126"/>
      <c r="G451" s="126"/>
      <c r="H451" s="125"/>
      <c r="I451" s="125"/>
      <c r="J451" s="99"/>
      <c r="K451" s="99"/>
      <c r="L451" s="99"/>
      <c r="M451" s="99">
        <f t="shared" si="2"/>
        <v>1</v>
      </c>
      <c r="N451" s="99">
        <f t="shared" si="3"/>
        <v>1</v>
      </c>
      <c r="O451" s="84"/>
      <c r="P451" s="84"/>
      <c r="Q451" s="84"/>
      <c r="R451" s="84"/>
      <c r="S451" s="84"/>
      <c r="T451" s="84"/>
      <c r="U451" s="84"/>
      <c r="V451" s="84"/>
    </row>
    <row r="452" ht="15.75" customHeight="1">
      <c r="A452" s="227">
        <v>3.0010108E7</v>
      </c>
      <c r="B452" s="227" t="str">
        <f t="shared" si="1"/>
        <v>30010</v>
      </c>
      <c r="C452" s="227" t="s">
        <v>4068</v>
      </c>
      <c r="D452" s="59"/>
      <c r="E452" s="59"/>
      <c r="F452" s="126"/>
      <c r="G452" s="126"/>
      <c r="H452" s="125"/>
      <c r="I452" s="125"/>
      <c r="J452" s="99"/>
      <c r="K452" s="99"/>
      <c r="L452" s="99"/>
      <c r="M452" s="99">
        <f t="shared" si="2"/>
        <v>1</v>
      </c>
      <c r="N452" s="99">
        <f t="shared" si="3"/>
        <v>1</v>
      </c>
      <c r="O452" s="84"/>
      <c r="P452" s="84"/>
      <c r="Q452" s="84"/>
      <c r="R452" s="84"/>
      <c r="S452" s="84"/>
      <c r="T452" s="84"/>
      <c r="U452" s="84"/>
      <c r="V452" s="84"/>
    </row>
    <row r="453" ht="15.75" customHeight="1">
      <c r="A453" s="227">
        <v>3.0010109E7</v>
      </c>
      <c r="B453" s="227" t="str">
        <f t="shared" si="1"/>
        <v>30010</v>
      </c>
      <c r="C453" s="227" t="s">
        <v>4069</v>
      </c>
      <c r="D453" s="59"/>
      <c r="E453" s="59"/>
      <c r="F453" s="126"/>
      <c r="G453" s="126"/>
      <c r="H453" s="125"/>
      <c r="I453" s="125"/>
      <c r="J453" s="99"/>
      <c r="K453" s="99"/>
      <c r="L453" s="99"/>
      <c r="M453" s="99">
        <f t="shared" si="2"/>
        <v>1</v>
      </c>
      <c r="N453" s="99">
        <f t="shared" si="3"/>
        <v>1</v>
      </c>
      <c r="O453" s="84"/>
      <c r="P453" s="84"/>
      <c r="Q453" s="84"/>
      <c r="R453" s="84"/>
      <c r="S453" s="84"/>
      <c r="T453" s="84"/>
      <c r="U453" s="84"/>
      <c r="V453" s="84"/>
    </row>
    <row r="454" ht="15.75" customHeight="1">
      <c r="A454" s="227">
        <v>3.001011E7</v>
      </c>
      <c r="B454" s="227" t="str">
        <f t="shared" si="1"/>
        <v>30010</v>
      </c>
      <c r="C454" s="227" t="s">
        <v>4070</v>
      </c>
      <c r="D454" s="59"/>
      <c r="E454" s="59"/>
      <c r="F454" s="126"/>
      <c r="G454" s="126"/>
      <c r="H454" s="125"/>
      <c r="I454" s="125"/>
      <c r="J454" s="99"/>
      <c r="K454" s="99"/>
      <c r="L454" s="99"/>
      <c r="M454" s="99">
        <f t="shared" si="2"/>
        <v>1</v>
      </c>
      <c r="N454" s="99">
        <f t="shared" si="3"/>
        <v>1</v>
      </c>
      <c r="O454" s="84"/>
      <c r="P454" s="84"/>
      <c r="Q454" s="84"/>
      <c r="R454" s="84"/>
      <c r="S454" s="84"/>
      <c r="T454" s="84"/>
      <c r="U454" s="84"/>
      <c r="V454" s="84"/>
    </row>
    <row r="455" ht="15.75" customHeight="1">
      <c r="A455" s="227">
        <v>3.0010111E7</v>
      </c>
      <c r="B455" s="227" t="str">
        <f t="shared" si="1"/>
        <v>30010</v>
      </c>
      <c r="C455" s="227" t="s">
        <v>4071</v>
      </c>
      <c r="D455" s="59"/>
      <c r="E455" s="59"/>
      <c r="F455" s="126"/>
      <c r="G455" s="126"/>
      <c r="H455" s="125"/>
      <c r="I455" s="125"/>
      <c r="J455" s="99"/>
      <c r="K455" s="99"/>
      <c r="L455" s="99"/>
      <c r="M455" s="99">
        <f t="shared" si="2"/>
        <v>1</v>
      </c>
      <c r="N455" s="99">
        <f t="shared" si="3"/>
        <v>1</v>
      </c>
      <c r="O455" s="84"/>
      <c r="P455" s="84"/>
      <c r="Q455" s="84"/>
      <c r="R455" s="84"/>
      <c r="S455" s="84"/>
      <c r="T455" s="84"/>
      <c r="U455" s="84"/>
      <c r="V455" s="84"/>
    </row>
    <row r="456" ht="15.75" customHeight="1">
      <c r="A456" s="227">
        <v>3.0010112E7</v>
      </c>
      <c r="B456" s="227" t="str">
        <f t="shared" si="1"/>
        <v>30010</v>
      </c>
      <c r="C456" s="227" t="s">
        <v>4072</v>
      </c>
      <c r="D456" s="59"/>
      <c r="E456" s="59"/>
      <c r="F456" s="126"/>
      <c r="G456" s="126"/>
      <c r="H456" s="125"/>
      <c r="I456" s="125"/>
      <c r="J456" s="99"/>
      <c r="K456" s="99"/>
      <c r="L456" s="99"/>
      <c r="M456" s="99">
        <f t="shared" si="2"/>
        <v>1</v>
      </c>
      <c r="N456" s="99">
        <f t="shared" si="3"/>
        <v>1</v>
      </c>
      <c r="O456" s="84"/>
      <c r="P456" s="84"/>
      <c r="Q456" s="84"/>
      <c r="R456" s="84"/>
      <c r="S456" s="84"/>
      <c r="T456" s="84"/>
      <c r="U456" s="84"/>
      <c r="V456" s="84"/>
    </row>
    <row r="457" ht="15.75" customHeight="1">
      <c r="A457" s="227">
        <v>3.0010113E7</v>
      </c>
      <c r="B457" s="227" t="str">
        <f t="shared" si="1"/>
        <v>30010</v>
      </c>
      <c r="C457" s="227" t="s">
        <v>4073</v>
      </c>
      <c r="D457" s="59"/>
      <c r="E457" s="59"/>
      <c r="F457" s="126"/>
      <c r="G457" s="126"/>
      <c r="H457" s="125"/>
      <c r="I457" s="125"/>
      <c r="J457" s="99"/>
      <c r="K457" s="99"/>
      <c r="L457" s="99"/>
      <c r="M457" s="99">
        <f t="shared" si="2"/>
        <v>1</v>
      </c>
      <c r="N457" s="99">
        <f t="shared" si="3"/>
        <v>1</v>
      </c>
      <c r="O457" s="84"/>
      <c r="P457" s="84"/>
      <c r="Q457" s="84"/>
      <c r="R457" s="84"/>
      <c r="S457" s="84"/>
      <c r="T457" s="84"/>
      <c r="U457" s="84"/>
      <c r="V457" s="84"/>
    </row>
    <row r="458" ht="15.75" customHeight="1">
      <c r="A458" s="227">
        <v>3.0010114E7</v>
      </c>
      <c r="B458" s="227" t="str">
        <f t="shared" si="1"/>
        <v>30010</v>
      </c>
      <c r="C458" s="227" t="s">
        <v>4074</v>
      </c>
      <c r="D458" s="59"/>
      <c r="E458" s="59"/>
      <c r="F458" s="126"/>
      <c r="G458" s="126"/>
      <c r="H458" s="125"/>
      <c r="I458" s="125"/>
      <c r="J458" s="99"/>
      <c r="K458" s="99"/>
      <c r="L458" s="99"/>
      <c r="M458" s="99">
        <f t="shared" si="2"/>
        <v>1</v>
      </c>
      <c r="N458" s="99">
        <f t="shared" si="3"/>
        <v>1</v>
      </c>
      <c r="O458" s="84"/>
      <c r="P458" s="84"/>
      <c r="Q458" s="84"/>
      <c r="R458" s="84"/>
      <c r="S458" s="84"/>
      <c r="T458" s="84"/>
      <c r="U458" s="84"/>
      <c r="V458" s="84"/>
    </row>
    <row r="459" ht="15.75" customHeight="1">
      <c r="A459" s="227">
        <v>3.0010115E7</v>
      </c>
      <c r="B459" s="227" t="str">
        <f t="shared" si="1"/>
        <v>30010</v>
      </c>
      <c r="C459" s="227" t="s">
        <v>4075</v>
      </c>
      <c r="D459" s="59"/>
      <c r="E459" s="59"/>
      <c r="F459" s="126"/>
      <c r="G459" s="126"/>
      <c r="H459" s="125"/>
      <c r="I459" s="125"/>
      <c r="J459" s="99"/>
      <c r="K459" s="99"/>
      <c r="L459" s="99"/>
      <c r="M459" s="99">
        <f t="shared" si="2"/>
        <v>1</v>
      </c>
      <c r="N459" s="99">
        <f t="shared" si="3"/>
        <v>1</v>
      </c>
      <c r="O459" s="84"/>
      <c r="P459" s="84"/>
      <c r="Q459" s="84"/>
      <c r="R459" s="84"/>
      <c r="S459" s="84"/>
      <c r="T459" s="84"/>
      <c r="U459" s="84"/>
      <c r="V459" s="84"/>
    </row>
    <row r="460" ht="15.75" customHeight="1">
      <c r="A460" s="227">
        <v>3.0010116E7</v>
      </c>
      <c r="B460" s="227" t="str">
        <f t="shared" si="1"/>
        <v>30010</v>
      </c>
      <c r="C460" s="227" t="s">
        <v>4076</v>
      </c>
      <c r="D460" s="59"/>
      <c r="E460" s="59"/>
      <c r="F460" s="126"/>
      <c r="G460" s="126"/>
      <c r="H460" s="125"/>
      <c r="I460" s="125"/>
      <c r="J460" s="99"/>
      <c r="K460" s="99"/>
      <c r="L460" s="99"/>
      <c r="M460" s="99">
        <f t="shared" si="2"/>
        <v>1</v>
      </c>
      <c r="N460" s="99">
        <f t="shared" si="3"/>
        <v>1</v>
      </c>
      <c r="O460" s="84"/>
      <c r="P460" s="84"/>
      <c r="Q460" s="84"/>
      <c r="R460" s="84"/>
      <c r="S460" s="84"/>
      <c r="T460" s="84"/>
      <c r="U460" s="84"/>
      <c r="V460" s="84"/>
    </row>
    <row r="461" ht="15.75" customHeight="1">
      <c r="A461" s="227">
        <v>3.0010117E7</v>
      </c>
      <c r="B461" s="227" t="str">
        <f t="shared" si="1"/>
        <v>30010</v>
      </c>
      <c r="C461" s="227" t="s">
        <v>4077</v>
      </c>
      <c r="D461" s="59"/>
      <c r="E461" s="59"/>
      <c r="F461" s="126"/>
      <c r="G461" s="126"/>
      <c r="H461" s="125"/>
      <c r="I461" s="125"/>
      <c r="J461" s="99"/>
      <c r="K461" s="99"/>
      <c r="L461" s="99"/>
      <c r="M461" s="99">
        <f t="shared" si="2"/>
        <v>1</v>
      </c>
      <c r="N461" s="99">
        <f t="shared" si="3"/>
        <v>1</v>
      </c>
      <c r="O461" s="84"/>
      <c r="P461" s="84"/>
      <c r="Q461" s="84"/>
      <c r="R461" s="84"/>
      <c r="S461" s="84"/>
      <c r="T461" s="84"/>
      <c r="U461" s="84"/>
      <c r="V461" s="84"/>
    </row>
    <row r="462" ht="15.75" customHeight="1">
      <c r="A462" s="227">
        <v>3.0010118E7</v>
      </c>
      <c r="B462" s="227" t="str">
        <f t="shared" si="1"/>
        <v>30010</v>
      </c>
      <c r="C462" s="227" t="s">
        <v>4078</v>
      </c>
      <c r="D462" s="59"/>
      <c r="E462" s="59"/>
      <c r="F462" s="126"/>
      <c r="G462" s="126"/>
      <c r="H462" s="125"/>
      <c r="I462" s="125"/>
      <c r="J462" s="99"/>
      <c r="K462" s="99"/>
      <c r="L462" s="99"/>
      <c r="M462" s="99">
        <f t="shared" si="2"/>
        <v>1</v>
      </c>
      <c r="N462" s="99">
        <f t="shared" si="3"/>
        <v>1</v>
      </c>
      <c r="O462" s="84"/>
      <c r="P462" s="84"/>
      <c r="Q462" s="84"/>
      <c r="R462" s="84"/>
      <c r="S462" s="84"/>
      <c r="T462" s="84"/>
      <c r="U462" s="84"/>
      <c r="V462" s="84"/>
    </row>
    <row r="463" ht="15.75" customHeight="1">
      <c r="A463" s="227">
        <v>3.0010119E7</v>
      </c>
      <c r="B463" s="227" t="str">
        <f t="shared" si="1"/>
        <v>30010</v>
      </c>
      <c r="C463" s="227" t="s">
        <v>4079</v>
      </c>
      <c r="D463" s="59"/>
      <c r="E463" s="59"/>
      <c r="F463" s="126"/>
      <c r="G463" s="126"/>
      <c r="H463" s="125"/>
      <c r="I463" s="125"/>
      <c r="J463" s="99"/>
      <c r="K463" s="99"/>
      <c r="L463" s="99"/>
      <c r="M463" s="99">
        <f t="shared" si="2"/>
        <v>1</v>
      </c>
      <c r="N463" s="99">
        <f t="shared" si="3"/>
        <v>1</v>
      </c>
      <c r="O463" s="84"/>
      <c r="P463" s="84"/>
      <c r="Q463" s="84"/>
      <c r="R463" s="84"/>
      <c r="S463" s="84"/>
      <c r="T463" s="84"/>
      <c r="U463" s="84"/>
      <c r="V463" s="84"/>
    </row>
    <row r="464" ht="15.75" customHeight="1">
      <c r="A464" s="227">
        <v>3.001012E7</v>
      </c>
      <c r="B464" s="227" t="str">
        <f t="shared" si="1"/>
        <v>30010</v>
      </c>
      <c r="C464" s="227" t="s">
        <v>4080</v>
      </c>
      <c r="D464" s="59"/>
      <c r="E464" s="59"/>
      <c r="F464" s="126"/>
      <c r="G464" s="126"/>
      <c r="H464" s="125"/>
      <c r="I464" s="125"/>
      <c r="J464" s="99"/>
      <c r="K464" s="99"/>
      <c r="L464" s="99"/>
      <c r="M464" s="99">
        <f t="shared" si="2"/>
        <v>1</v>
      </c>
      <c r="N464" s="99">
        <f t="shared" si="3"/>
        <v>1</v>
      </c>
      <c r="O464" s="84"/>
      <c r="P464" s="84"/>
      <c r="Q464" s="84"/>
      <c r="R464" s="84"/>
      <c r="S464" s="84"/>
      <c r="T464" s="84"/>
      <c r="U464" s="84"/>
      <c r="V464" s="84"/>
    </row>
    <row r="465" ht="15.75" customHeight="1">
      <c r="A465" s="227">
        <v>3.0010121E7</v>
      </c>
      <c r="B465" s="227" t="str">
        <f t="shared" si="1"/>
        <v>30010</v>
      </c>
      <c r="C465" s="227" t="s">
        <v>4081</v>
      </c>
      <c r="D465" s="59"/>
      <c r="E465" s="59"/>
      <c r="F465" s="126"/>
      <c r="G465" s="126"/>
      <c r="H465" s="125"/>
      <c r="I465" s="125"/>
      <c r="J465" s="99"/>
      <c r="K465" s="99"/>
      <c r="L465" s="99"/>
      <c r="M465" s="99">
        <f t="shared" si="2"/>
        <v>1</v>
      </c>
      <c r="N465" s="99">
        <f t="shared" si="3"/>
        <v>1</v>
      </c>
      <c r="O465" s="84"/>
      <c r="P465" s="84"/>
      <c r="Q465" s="84"/>
      <c r="R465" s="84"/>
      <c r="S465" s="84"/>
      <c r="T465" s="84"/>
      <c r="U465" s="84"/>
      <c r="V465" s="84"/>
    </row>
    <row r="466" ht="15.75" customHeight="1">
      <c r="A466" s="227">
        <v>3.0010122E7</v>
      </c>
      <c r="B466" s="227" t="str">
        <f t="shared" si="1"/>
        <v>30010</v>
      </c>
      <c r="C466" s="227" t="s">
        <v>4082</v>
      </c>
      <c r="D466" s="59"/>
      <c r="E466" s="59"/>
      <c r="F466" s="126"/>
      <c r="G466" s="126"/>
      <c r="H466" s="125"/>
      <c r="I466" s="125"/>
      <c r="J466" s="99"/>
      <c r="K466" s="99"/>
      <c r="L466" s="99"/>
      <c r="M466" s="99">
        <f t="shared" si="2"/>
        <v>1</v>
      </c>
      <c r="N466" s="99">
        <f t="shared" si="3"/>
        <v>1</v>
      </c>
      <c r="O466" s="84"/>
      <c r="P466" s="84"/>
      <c r="Q466" s="84"/>
      <c r="R466" s="84"/>
      <c r="S466" s="84"/>
      <c r="T466" s="84"/>
      <c r="U466" s="84"/>
      <c r="V466" s="84"/>
    </row>
    <row r="467" ht="15.75" customHeight="1">
      <c r="A467" s="227">
        <v>3.0010123E7</v>
      </c>
      <c r="B467" s="227" t="str">
        <f t="shared" si="1"/>
        <v>30010</v>
      </c>
      <c r="C467" s="227" t="s">
        <v>4083</v>
      </c>
      <c r="D467" s="59"/>
      <c r="E467" s="59"/>
      <c r="F467" s="126"/>
      <c r="G467" s="126"/>
      <c r="H467" s="125"/>
      <c r="I467" s="125"/>
      <c r="J467" s="99"/>
      <c r="K467" s="99"/>
      <c r="L467" s="99"/>
      <c r="M467" s="99">
        <f t="shared" si="2"/>
        <v>1</v>
      </c>
      <c r="N467" s="99">
        <f t="shared" si="3"/>
        <v>1</v>
      </c>
      <c r="O467" s="84"/>
      <c r="P467" s="84"/>
      <c r="Q467" s="84"/>
      <c r="R467" s="84"/>
      <c r="S467" s="84"/>
      <c r="T467" s="84"/>
      <c r="U467" s="84"/>
      <c r="V467" s="84"/>
    </row>
    <row r="468" ht="15.75" customHeight="1">
      <c r="A468" s="227">
        <v>3.0010124E7</v>
      </c>
      <c r="B468" s="227" t="str">
        <f t="shared" si="1"/>
        <v>30010</v>
      </c>
      <c r="C468" s="227" t="s">
        <v>4084</v>
      </c>
      <c r="D468" s="59"/>
      <c r="E468" s="59"/>
      <c r="F468" s="126"/>
      <c r="G468" s="126"/>
      <c r="H468" s="125"/>
      <c r="I468" s="125"/>
      <c r="J468" s="99"/>
      <c r="K468" s="99"/>
      <c r="L468" s="99"/>
      <c r="M468" s="99">
        <f t="shared" si="2"/>
        <v>1</v>
      </c>
      <c r="N468" s="99">
        <f t="shared" si="3"/>
        <v>1</v>
      </c>
      <c r="O468" s="84"/>
      <c r="P468" s="84"/>
      <c r="Q468" s="84"/>
      <c r="R468" s="84"/>
      <c r="S468" s="84"/>
      <c r="T468" s="84"/>
      <c r="U468" s="84"/>
      <c r="V468" s="84"/>
    </row>
    <row r="469" ht="15.75" customHeight="1">
      <c r="A469" s="227">
        <v>3.0010125E7</v>
      </c>
      <c r="B469" s="227" t="str">
        <f t="shared" si="1"/>
        <v>30010</v>
      </c>
      <c r="C469" s="227" t="s">
        <v>4085</v>
      </c>
      <c r="D469" s="59"/>
      <c r="E469" s="59"/>
      <c r="F469" s="126"/>
      <c r="G469" s="126"/>
      <c r="H469" s="125"/>
      <c r="I469" s="125"/>
      <c r="J469" s="99"/>
      <c r="K469" s="99"/>
      <c r="L469" s="99"/>
      <c r="M469" s="99">
        <f t="shared" si="2"/>
        <v>1</v>
      </c>
      <c r="N469" s="99">
        <f t="shared" si="3"/>
        <v>1</v>
      </c>
      <c r="O469" s="84"/>
      <c r="P469" s="84"/>
      <c r="Q469" s="84"/>
      <c r="R469" s="84"/>
      <c r="S469" s="84"/>
      <c r="T469" s="84"/>
      <c r="U469" s="84"/>
      <c r="V469" s="84"/>
    </row>
    <row r="470" ht="15.75" customHeight="1">
      <c r="A470" s="227">
        <v>3.0010126E7</v>
      </c>
      <c r="B470" s="227" t="str">
        <f t="shared" si="1"/>
        <v>30010</v>
      </c>
      <c r="C470" s="227" t="s">
        <v>4086</v>
      </c>
      <c r="D470" s="59"/>
      <c r="E470" s="59"/>
      <c r="F470" s="126"/>
      <c r="G470" s="126"/>
      <c r="H470" s="125"/>
      <c r="I470" s="125"/>
      <c r="J470" s="99"/>
      <c r="K470" s="99"/>
      <c r="L470" s="99"/>
      <c r="M470" s="99">
        <f t="shared" si="2"/>
        <v>1</v>
      </c>
      <c r="N470" s="99">
        <f t="shared" si="3"/>
        <v>1</v>
      </c>
      <c r="O470" s="84"/>
      <c r="P470" s="84"/>
      <c r="Q470" s="84"/>
      <c r="R470" s="84"/>
      <c r="S470" s="84"/>
      <c r="T470" s="84"/>
      <c r="U470" s="84"/>
      <c r="V470" s="84"/>
    </row>
    <row r="471" ht="15.75" customHeight="1">
      <c r="A471" s="227">
        <v>3.0010127E7</v>
      </c>
      <c r="B471" s="227" t="str">
        <f t="shared" si="1"/>
        <v>30010</v>
      </c>
      <c r="C471" s="227" t="s">
        <v>4087</v>
      </c>
      <c r="D471" s="59"/>
      <c r="E471" s="59"/>
      <c r="F471" s="126"/>
      <c r="G471" s="126"/>
      <c r="H471" s="125"/>
      <c r="I471" s="125"/>
      <c r="J471" s="99"/>
      <c r="K471" s="99"/>
      <c r="L471" s="99"/>
      <c r="M471" s="99">
        <f t="shared" si="2"/>
        <v>1</v>
      </c>
      <c r="N471" s="99">
        <f t="shared" si="3"/>
        <v>1</v>
      </c>
      <c r="O471" s="84"/>
      <c r="P471" s="84"/>
      <c r="Q471" s="84"/>
      <c r="R471" s="84"/>
      <c r="S471" s="84"/>
      <c r="T471" s="84"/>
      <c r="U471" s="84"/>
      <c r="V471" s="84"/>
    </row>
    <row r="472" ht="15.75" customHeight="1">
      <c r="A472" s="227">
        <v>3.0010128E7</v>
      </c>
      <c r="B472" s="227" t="str">
        <f t="shared" si="1"/>
        <v>30010</v>
      </c>
      <c r="C472" s="227" t="s">
        <v>4088</v>
      </c>
      <c r="D472" s="59"/>
      <c r="E472" s="59"/>
      <c r="F472" s="126"/>
      <c r="G472" s="126"/>
      <c r="H472" s="125"/>
      <c r="I472" s="125"/>
      <c r="J472" s="99"/>
      <c r="K472" s="99"/>
      <c r="L472" s="99"/>
      <c r="M472" s="99">
        <f t="shared" si="2"/>
        <v>1</v>
      </c>
      <c r="N472" s="99">
        <f t="shared" si="3"/>
        <v>1</v>
      </c>
      <c r="O472" s="84"/>
      <c r="P472" s="84"/>
      <c r="Q472" s="84"/>
      <c r="R472" s="84"/>
      <c r="S472" s="84"/>
      <c r="T472" s="84"/>
      <c r="U472" s="84"/>
      <c r="V472" s="84"/>
    </row>
    <row r="473" ht="15.75" customHeight="1">
      <c r="A473" s="227">
        <v>3.0010129E7</v>
      </c>
      <c r="B473" s="227" t="str">
        <f t="shared" si="1"/>
        <v>30010</v>
      </c>
      <c r="C473" s="227" t="s">
        <v>4089</v>
      </c>
      <c r="D473" s="59"/>
      <c r="E473" s="59"/>
      <c r="F473" s="126"/>
      <c r="G473" s="126"/>
      <c r="H473" s="125"/>
      <c r="I473" s="125"/>
      <c r="J473" s="99"/>
      <c r="K473" s="99"/>
      <c r="L473" s="99"/>
      <c r="M473" s="99">
        <f t="shared" si="2"/>
        <v>1</v>
      </c>
      <c r="N473" s="99">
        <f t="shared" si="3"/>
        <v>1</v>
      </c>
      <c r="O473" s="84"/>
      <c r="P473" s="84"/>
      <c r="Q473" s="84"/>
      <c r="R473" s="84"/>
      <c r="S473" s="84"/>
      <c r="T473" s="84"/>
      <c r="U473" s="84"/>
      <c r="V473" s="84"/>
    </row>
    <row r="474" ht="15.75" customHeight="1">
      <c r="A474" s="227">
        <v>3.001013E7</v>
      </c>
      <c r="B474" s="227" t="str">
        <f t="shared" si="1"/>
        <v>30010</v>
      </c>
      <c r="C474" s="227" t="s">
        <v>4090</v>
      </c>
      <c r="D474" s="59"/>
      <c r="E474" s="59"/>
      <c r="F474" s="126"/>
      <c r="G474" s="126"/>
      <c r="H474" s="125"/>
      <c r="I474" s="125"/>
      <c r="J474" s="99"/>
      <c r="K474" s="99"/>
      <c r="L474" s="99"/>
      <c r="M474" s="99">
        <f t="shared" si="2"/>
        <v>1</v>
      </c>
      <c r="N474" s="99">
        <f t="shared" si="3"/>
        <v>1</v>
      </c>
      <c r="O474" s="84"/>
      <c r="P474" s="84"/>
      <c r="Q474" s="84"/>
      <c r="R474" s="84"/>
      <c r="S474" s="84"/>
      <c r="T474" s="84"/>
      <c r="U474" s="84"/>
      <c r="V474" s="84"/>
    </row>
    <row r="475" ht="15.75" customHeight="1">
      <c r="A475" s="227">
        <v>3.0010131E7</v>
      </c>
      <c r="B475" s="227" t="str">
        <f t="shared" si="1"/>
        <v>30010</v>
      </c>
      <c r="C475" s="227" t="s">
        <v>4091</v>
      </c>
      <c r="D475" s="59"/>
      <c r="E475" s="59"/>
      <c r="F475" s="126"/>
      <c r="G475" s="126"/>
      <c r="H475" s="125"/>
      <c r="I475" s="125"/>
      <c r="J475" s="99"/>
      <c r="K475" s="99"/>
      <c r="L475" s="99"/>
      <c r="M475" s="99">
        <f t="shared" si="2"/>
        <v>1</v>
      </c>
      <c r="N475" s="99">
        <f t="shared" si="3"/>
        <v>1</v>
      </c>
      <c r="O475" s="84"/>
      <c r="P475" s="84"/>
      <c r="Q475" s="84"/>
      <c r="R475" s="84"/>
      <c r="S475" s="84"/>
      <c r="T475" s="84"/>
      <c r="U475" s="84"/>
      <c r="V475" s="84"/>
    </row>
    <row r="476" ht="15.75" customHeight="1">
      <c r="A476" s="227">
        <v>3.0010132E7</v>
      </c>
      <c r="B476" s="227" t="str">
        <f t="shared" si="1"/>
        <v>30010</v>
      </c>
      <c r="C476" s="227" t="s">
        <v>4092</v>
      </c>
      <c r="D476" s="59"/>
      <c r="E476" s="59"/>
      <c r="F476" s="126"/>
      <c r="G476" s="126"/>
      <c r="H476" s="125"/>
      <c r="I476" s="125"/>
      <c r="J476" s="99"/>
      <c r="K476" s="99"/>
      <c r="L476" s="99"/>
      <c r="M476" s="99">
        <f t="shared" si="2"/>
        <v>1</v>
      </c>
      <c r="N476" s="99">
        <f t="shared" si="3"/>
        <v>1</v>
      </c>
      <c r="O476" s="84"/>
      <c r="P476" s="84"/>
      <c r="Q476" s="84"/>
      <c r="R476" s="84"/>
      <c r="S476" s="84"/>
      <c r="T476" s="84"/>
      <c r="U476" s="84"/>
      <c r="V476" s="84"/>
    </row>
    <row r="477" ht="15.75" customHeight="1">
      <c r="A477" s="227">
        <v>3.0010133E7</v>
      </c>
      <c r="B477" s="227" t="str">
        <f t="shared" si="1"/>
        <v>30010</v>
      </c>
      <c r="C477" s="227" t="s">
        <v>4093</v>
      </c>
      <c r="D477" s="59"/>
      <c r="E477" s="59"/>
      <c r="F477" s="126"/>
      <c r="G477" s="126"/>
      <c r="H477" s="125"/>
      <c r="I477" s="125"/>
      <c r="J477" s="99"/>
      <c r="K477" s="99"/>
      <c r="L477" s="99"/>
      <c r="M477" s="99">
        <f t="shared" si="2"/>
        <v>1</v>
      </c>
      <c r="N477" s="99">
        <f t="shared" si="3"/>
        <v>1</v>
      </c>
      <c r="O477" s="84"/>
      <c r="P477" s="84"/>
      <c r="Q477" s="84"/>
      <c r="R477" s="84"/>
      <c r="S477" s="84"/>
      <c r="T477" s="84"/>
      <c r="U477" s="84"/>
      <c r="V477" s="84"/>
    </row>
    <row r="478" ht="15.75" customHeight="1">
      <c r="A478" s="227">
        <v>3.0010134E7</v>
      </c>
      <c r="B478" s="227" t="str">
        <f t="shared" si="1"/>
        <v>30010</v>
      </c>
      <c r="C478" s="227" t="s">
        <v>4094</v>
      </c>
      <c r="D478" s="59"/>
      <c r="E478" s="59"/>
      <c r="F478" s="126"/>
      <c r="G478" s="126"/>
      <c r="H478" s="125"/>
      <c r="I478" s="125"/>
      <c r="J478" s="99"/>
      <c r="K478" s="99"/>
      <c r="L478" s="99"/>
      <c r="M478" s="99">
        <f t="shared" si="2"/>
        <v>1</v>
      </c>
      <c r="N478" s="99">
        <f t="shared" si="3"/>
        <v>1</v>
      </c>
      <c r="O478" s="84"/>
      <c r="P478" s="84"/>
      <c r="Q478" s="84"/>
      <c r="R478" s="84"/>
      <c r="S478" s="84"/>
      <c r="T478" s="84"/>
      <c r="U478" s="84"/>
      <c r="V478" s="84"/>
    </row>
    <row r="479" ht="15.75" customHeight="1">
      <c r="A479" s="227">
        <v>3.0010135E7</v>
      </c>
      <c r="B479" s="227" t="str">
        <f t="shared" si="1"/>
        <v>30010</v>
      </c>
      <c r="C479" s="227" t="s">
        <v>4095</v>
      </c>
      <c r="D479" s="59"/>
      <c r="E479" s="59"/>
      <c r="F479" s="126"/>
      <c r="G479" s="126"/>
      <c r="H479" s="125"/>
      <c r="I479" s="125"/>
      <c r="J479" s="99"/>
      <c r="K479" s="99"/>
      <c r="L479" s="99"/>
      <c r="M479" s="99">
        <f t="shared" si="2"/>
        <v>1</v>
      </c>
      <c r="N479" s="99">
        <f t="shared" si="3"/>
        <v>1</v>
      </c>
      <c r="O479" s="84"/>
      <c r="P479" s="84"/>
      <c r="Q479" s="84"/>
      <c r="R479" s="84"/>
      <c r="S479" s="84"/>
      <c r="T479" s="84"/>
      <c r="U479" s="84"/>
      <c r="V479" s="84"/>
    </row>
    <row r="480" ht="15.75" customHeight="1">
      <c r="A480" s="227">
        <v>3.0010136E7</v>
      </c>
      <c r="B480" s="227" t="str">
        <f t="shared" si="1"/>
        <v>30010</v>
      </c>
      <c r="C480" s="227" t="s">
        <v>4096</v>
      </c>
      <c r="D480" s="59"/>
      <c r="E480" s="59"/>
      <c r="F480" s="126"/>
      <c r="G480" s="126"/>
      <c r="H480" s="125"/>
      <c r="I480" s="125"/>
      <c r="J480" s="99"/>
      <c r="K480" s="99"/>
      <c r="L480" s="99"/>
      <c r="M480" s="99">
        <f t="shared" si="2"/>
        <v>1</v>
      </c>
      <c r="N480" s="99">
        <f t="shared" si="3"/>
        <v>1</v>
      </c>
      <c r="O480" s="84"/>
      <c r="P480" s="84"/>
      <c r="Q480" s="84"/>
      <c r="R480" s="84"/>
      <c r="S480" s="84"/>
      <c r="T480" s="84"/>
      <c r="U480" s="84"/>
      <c r="V480" s="84"/>
    </row>
    <row r="481" ht="15.75" customHeight="1">
      <c r="A481" s="227">
        <v>3.0010137E7</v>
      </c>
      <c r="B481" s="227" t="str">
        <f t="shared" si="1"/>
        <v>30010</v>
      </c>
      <c r="C481" s="227" t="s">
        <v>4097</v>
      </c>
      <c r="D481" s="59"/>
      <c r="E481" s="59"/>
      <c r="F481" s="126"/>
      <c r="G481" s="126"/>
      <c r="H481" s="125"/>
      <c r="I481" s="125"/>
      <c r="J481" s="99"/>
      <c r="K481" s="99"/>
      <c r="L481" s="99"/>
      <c r="M481" s="99">
        <f t="shared" si="2"/>
        <v>1</v>
      </c>
      <c r="N481" s="99">
        <f t="shared" si="3"/>
        <v>1</v>
      </c>
      <c r="O481" s="84"/>
      <c r="P481" s="84"/>
      <c r="Q481" s="84"/>
      <c r="R481" s="84"/>
      <c r="S481" s="84"/>
      <c r="T481" s="84"/>
      <c r="U481" s="84"/>
      <c r="V481" s="84"/>
    </row>
    <row r="482" ht="15.75" customHeight="1">
      <c r="A482" s="227">
        <v>3.0010138E7</v>
      </c>
      <c r="B482" s="227" t="str">
        <f t="shared" si="1"/>
        <v>30010</v>
      </c>
      <c r="C482" s="227" t="s">
        <v>4098</v>
      </c>
      <c r="D482" s="59"/>
      <c r="E482" s="59"/>
      <c r="F482" s="126"/>
      <c r="G482" s="126"/>
      <c r="H482" s="125"/>
      <c r="I482" s="125"/>
      <c r="J482" s="99"/>
      <c r="K482" s="99"/>
      <c r="L482" s="99"/>
      <c r="M482" s="99">
        <f t="shared" si="2"/>
        <v>1</v>
      </c>
      <c r="N482" s="99">
        <f t="shared" si="3"/>
        <v>1</v>
      </c>
      <c r="O482" s="84"/>
      <c r="P482" s="84"/>
      <c r="Q482" s="84"/>
      <c r="R482" s="84"/>
      <c r="S482" s="84"/>
      <c r="T482" s="84"/>
      <c r="U482" s="84"/>
      <c r="V482" s="84"/>
    </row>
    <row r="483" ht="15.75" customHeight="1">
      <c r="A483" s="227">
        <v>3.0010139E7</v>
      </c>
      <c r="B483" s="227" t="str">
        <f t="shared" si="1"/>
        <v>30010</v>
      </c>
      <c r="C483" s="227" t="s">
        <v>4099</v>
      </c>
      <c r="D483" s="59"/>
      <c r="E483" s="59"/>
      <c r="F483" s="126"/>
      <c r="G483" s="126"/>
      <c r="H483" s="125"/>
      <c r="I483" s="125"/>
      <c r="J483" s="99"/>
      <c r="K483" s="99"/>
      <c r="L483" s="99"/>
      <c r="M483" s="99">
        <f t="shared" si="2"/>
        <v>1</v>
      </c>
      <c r="N483" s="99">
        <f t="shared" si="3"/>
        <v>1</v>
      </c>
      <c r="O483" s="84"/>
      <c r="P483" s="84"/>
      <c r="Q483" s="84"/>
      <c r="R483" s="84"/>
      <c r="S483" s="84"/>
      <c r="T483" s="84"/>
      <c r="U483" s="84"/>
      <c r="V483" s="84"/>
    </row>
    <row r="484" ht="15.75" customHeight="1">
      <c r="A484" s="227">
        <v>3.001014E7</v>
      </c>
      <c r="B484" s="227" t="str">
        <f t="shared" si="1"/>
        <v>30010</v>
      </c>
      <c r="C484" s="227" t="s">
        <v>4100</v>
      </c>
      <c r="D484" s="59"/>
      <c r="E484" s="59"/>
      <c r="F484" s="126"/>
      <c r="G484" s="126"/>
      <c r="H484" s="125"/>
      <c r="I484" s="125"/>
      <c r="J484" s="99"/>
      <c r="K484" s="99"/>
      <c r="L484" s="99"/>
      <c r="M484" s="99">
        <f t="shared" si="2"/>
        <v>1</v>
      </c>
      <c r="N484" s="99">
        <f t="shared" si="3"/>
        <v>1</v>
      </c>
      <c r="O484" s="84"/>
      <c r="P484" s="84"/>
      <c r="Q484" s="84"/>
      <c r="R484" s="84"/>
      <c r="S484" s="84"/>
      <c r="T484" s="84"/>
      <c r="U484" s="84"/>
      <c r="V484" s="84"/>
    </row>
    <row r="485" ht="15.75" customHeight="1">
      <c r="A485" s="227">
        <v>3.0010141E7</v>
      </c>
      <c r="B485" s="227" t="str">
        <f t="shared" si="1"/>
        <v>30010</v>
      </c>
      <c r="C485" s="227" t="s">
        <v>4101</v>
      </c>
      <c r="D485" s="59"/>
      <c r="E485" s="59"/>
      <c r="F485" s="126"/>
      <c r="G485" s="126"/>
      <c r="H485" s="125"/>
      <c r="I485" s="125"/>
      <c r="J485" s="99"/>
      <c r="K485" s="99"/>
      <c r="L485" s="99"/>
      <c r="M485" s="99">
        <f t="shared" si="2"/>
        <v>1</v>
      </c>
      <c r="N485" s="99">
        <f t="shared" si="3"/>
        <v>1</v>
      </c>
      <c r="O485" s="84"/>
      <c r="P485" s="84"/>
      <c r="Q485" s="84"/>
      <c r="R485" s="84"/>
      <c r="S485" s="84"/>
      <c r="T485" s="84"/>
      <c r="U485" s="84"/>
      <c r="V485" s="84"/>
    </row>
    <row r="486" ht="15.75" customHeight="1">
      <c r="A486" s="227">
        <v>3.0010142E7</v>
      </c>
      <c r="B486" s="227" t="str">
        <f t="shared" si="1"/>
        <v>30010</v>
      </c>
      <c r="C486" s="227" t="s">
        <v>4102</v>
      </c>
      <c r="D486" s="59"/>
      <c r="E486" s="59"/>
      <c r="F486" s="126"/>
      <c r="G486" s="126"/>
      <c r="H486" s="125"/>
      <c r="I486" s="125"/>
      <c r="J486" s="99"/>
      <c r="K486" s="99"/>
      <c r="L486" s="99"/>
      <c r="M486" s="99">
        <f t="shared" si="2"/>
        <v>1</v>
      </c>
      <c r="N486" s="99">
        <f t="shared" si="3"/>
        <v>1</v>
      </c>
      <c r="O486" s="84"/>
      <c r="P486" s="84"/>
      <c r="Q486" s="84"/>
      <c r="R486" s="84"/>
      <c r="S486" s="84"/>
      <c r="T486" s="84"/>
      <c r="U486" s="84"/>
      <c r="V486" s="84"/>
    </row>
    <row r="487" ht="15.75" customHeight="1">
      <c r="A487" s="227">
        <v>3.0010143E7</v>
      </c>
      <c r="B487" s="227" t="str">
        <f t="shared" si="1"/>
        <v>30010</v>
      </c>
      <c r="C487" s="227" t="s">
        <v>4103</v>
      </c>
      <c r="D487" s="59"/>
      <c r="E487" s="59"/>
      <c r="F487" s="126"/>
      <c r="G487" s="126"/>
      <c r="H487" s="125"/>
      <c r="I487" s="125"/>
      <c r="J487" s="99"/>
      <c r="K487" s="99"/>
      <c r="L487" s="99"/>
      <c r="M487" s="99">
        <f t="shared" si="2"/>
        <v>1</v>
      </c>
      <c r="N487" s="99">
        <f t="shared" si="3"/>
        <v>1</v>
      </c>
      <c r="O487" s="84"/>
      <c r="P487" s="84"/>
      <c r="Q487" s="84"/>
      <c r="R487" s="84"/>
      <c r="S487" s="84"/>
      <c r="T487" s="84"/>
      <c r="U487" s="84"/>
      <c r="V487" s="84"/>
    </row>
    <row r="488" ht="15.75" customHeight="1">
      <c r="A488" s="227">
        <v>3.0010144E7</v>
      </c>
      <c r="B488" s="227" t="str">
        <f t="shared" si="1"/>
        <v>30010</v>
      </c>
      <c r="C488" s="227" t="s">
        <v>4104</v>
      </c>
      <c r="D488" s="59"/>
      <c r="E488" s="59"/>
      <c r="F488" s="126"/>
      <c r="G488" s="126"/>
      <c r="H488" s="125"/>
      <c r="I488" s="125"/>
      <c r="J488" s="99"/>
      <c r="K488" s="99"/>
      <c r="L488" s="99"/>
      <c r="M488" s="99">
        <f t="shared" si="2"/>
        <v>1</v>
      </c>
      <c r="N488" s="99">
        <f t="shared" si="3"/>
        <v>1</v>
      </c>
      <c r="O488" s="84"/>
      <c r="P488" s="84"/>
      <c r="Q488" s="84"/>
      <c r="R488" s="84"/>
      <c r="S488" s="84"/>
      <c r="T488" s="84"/>
      <c r="U488" s="84"/>
      <c r="V488" s="84"/>
    </row>
    <row r="489" ht="15.75" customHeight="1">
      <c r="A489" s="227">
        <v>3.0010145E7</v>
      </c>
      <c r="B489" s="227" t="str">
        <f t="shared" si="1"/>
        <v>30010</v>
      </c>
      <c r="C489" s="227" t="s">
        <v>4105</v>
      </c>
      <c r="D489" s="59"/>
      <c r="E489" s="59"/>
      <c r="F489" s="126"/>
      <c r="G489" s="126"/>
      <c r="H489" s="125"/>
      <c r="I489" s="125"/>
      <c r="J489" s="99"/>
      <c r="K489" s="99"/>
      <c r="L489" s="99"/>
      <c r="M489" s="99">
        <f t="shared" si="2"/>
        <v>1</v>
      </c>
      <c r="N489" s="99">
        <f t="shared" si="3"/>
        <v>1</v>
      </c>
      <c r="O489" s="84"/>
      <c r="P489" s="84"/>
      <c r="Q489" s="84"/>
      <c r="R489" s="84"/>
      <c r="S489" s="84"/>
      <c r="T489" s="84"/>
      <c r="U489" s="84"/>
      <c r="V489" s="84"/>
    </row>
    <row r="490" ht="15.75" customHeight="1">
      <c r="A490" s="227">
        <v>3.0010146E7</v>
      </c>
      <c r="B490" s="227" t="str">
        <f t="shared" si="1"/>
        <v>30010</v>
      </c>
      <c r="C490" s="227" t="s">
        <v>4106</v>
      </c>
      <c r="D490" s="59"/>
      <c r="E490" s="59"/>
      <c r="F490" s="126"/>
      <c r="G490" s="126"/>
      <c r="H490" s="125"/>
      <c r="I490" s="125"/>
      <c r="J490" s="99"/>
      <c r="K490" s="99"/>
      <c r="L490" s="99"/>
      <c r="M490" s="99">
        <f t="shared" si="2"/>
        <v>1</v>
      </c>
      <c r="N490" s="99">
        <f t="shared" si="3"/>
        <v>1</v>
      </c>
      <c r="O490" s="84"/>
      <c r="P490" s="84"/>
      <c r="Q490" s="84"/>
      <c r="R490" s="84"/>
      <c r="S490" s="84"/>
      <c r="T490" s="84"/>
      <c r="U490" s="84"/>
      <c r="V490" s="84"/>
    </row>
    <row r="491" ht="15.75" customHeight="1">
      <c r="A491" s="227">
        <v>3.0010147E7</v>
      </c>
      <c r="B491" s="227" t="str">
        <f t="shared" si="1"/>
        <v>30010</v>
      </c>
      <c r="C491" s="227" t="s">
        <v>4107</v>
      </c>
      <c r="D491" s="59"/>
      <c r="E491" s="59"/>
      <c r="F491" s="126"/>
      <c r="G491" s="126"/>
      <c r="H491" s="125"/>
      <c r="I491" s="125"/>
      <c r="J491" s="99"/>
      <c r="K491" s="99"/>
      <c r="L491" s="99"/>
      <c r="M491" s="99">
        <f t="shared" si="2"/>
        <v>1</v>
      </c>
      <c r="N491" s="99">
        <f t="shared" si="3"/>
        <v>1</v>
      </c>
      <c r="O491" s="84"/>
      <c r="P491" s="84"/>
      <c r="Q491" s="84"/>
      <c r="R491" s="84"/>
      <c r="S491" s="84"/>
      <c r="T491" s="84"/>
      <c r="U491" s="84"/>
      <c r="V491" s="84"/>
    </row>
    <row r="492" ht="15.75" customHeight="1">
      <c r="A492" s="227">
        <v>3.0010148E7</v>
      </c>
      <c r="B492" s="227" t="str">
        <f t="shared" si="1"/>
        <v>30010</v>
      </c>
      <c r="C492" s="227" t="s">
        <v>4108</v>
      </c>
      <c r="D492" s="59"/>
      <c r="E492" s="59"/>
      <c r="F492" s="126"/>
      <c r="G492" s="126"/>
      <c r="H492" s="125"/>
      <c r="I492" s="125"/>
      <c r="J492" s="99"/>
      <c r="K492" s="99"/>
      <c r="L492" s="99"/>
      <c r="M492" s="99">
        <f t="shared" si="2"/>
        <v>1</v>
      </c>
      <c r="N492" s="99">
        <f t="shared" si="3"/>
        <v>1</v>
      </c>
      <c r="O492" s="84"/>
      <c r="P492" s="84"/>
      <c r="Q492" s="84"/>
      <c r="R492" s="84"/>
      <c r="S492" s="84"/>
      <c r="T492" s="84"/>
      <c r="U492" s="84"/>
      <c r="V492" s="84"/>
    </row>
    <row r="493" ht="15.75" customHeight="1">
      <c r="A493" s="227">
        <v>3.0010149E7</v>
      </c>
      <c r="B493" s="227" t="str">
        <f t="shared" si="1"/>
        <v>30010</v>
      </c>
      <c r="C493" s="227" t="s">
        <v>4109</v>
      </c>
      <c r="D493" s="59"/>
      <c r="E493" s="59"/>
      <c r="F493" s="126"/>
      <c r="G493" s="126"/>
      <c r="H493" s="125"/>
      <c r="I493" s="125"/>
      <c r="J493" s="99"/>
      <c r="K493" s="99"/>
      <c r="L493" s="99"/>
      <c r="M493" s="99">
        <f t="shared" si="2"/>
        <v>1</v>
      </c>
      <c r="N493" s="99">
        <f t="shared" si="3"/>
        <v>1</v>
      </c>
      <c r="O493" s="84"/>
      <c r="P493" s="84"/>
      <c r="Q493" s="84"/>
      <c r="R493" s="84"/>
      <c r="S493" s="84"/>
      <c r="T493" s="84"/>
      <c r="U493" s="84"/>
      <c r="V493" s="84"/>
    </row>
    <row r="494" ht="15.75" customHeight="1">
      <c r="A494" s="227">
        <v>3.001015E7</v>
      </c>
      <c r="B494" s="227" t="str">
        <f t="shared" si="1"/>
        <v>30010</v>
      </c>
      <c r="C494" s="227" t="s">
        <v>4110</v>
      </c>
      <c r="D494" s="59"/>
      <c r="E494" s="59"/>
      <c r="F494" s="126"/>
      <c r="G494" s="126"/>
      <c r="H494" s="125"/>
      <c r="I494" s="125"/>
      <c r="J494" s="99"/>
      <c r="K494" s="99"/>
      <c r="L494" s="99"/>
      <c r="M494" s="99">
        <f t="shared" si="2"/>
        <v>1</v>
      </c>
      <c r="N494" s="99">
        <f t="shared" si="3"/>
        <v>1</v>
      </c>
      <c r="O494" s="84"/>
      <c r="P494" s="84"/>
      <c r="Q494" s="84"/>
      <c r="R494" s="84"/>
      <c r="S494" s="84"/>
      <c r="T494" s="84"/>
      <c r="U494" s="84"/>
      <c r="V494" s="84"/>
    </row>
    <row r="495" ht="15.75" customHeight="1">
      <c r="A495" s="227">
        <v>3.0010151E7</v>
      </c>
      <c r="B495" s="227" t="str">
        <f t="shared" si="1"/>
        <v>30010</v>
      </c>
      <c r="C495" s="227" t="s">
        <v>4111</v>
      </c>
      <c r="D495" s="59"/>
      <c r="E495" s="59"/>
      <c r="F495" s="126"/>
      <c r="G495" s="126"/>
      <c r="H495" s="125"/>
      <c r="I495" s="125"/>
      <c r="J495" s="99"/>
      <c r="K495" s="99"/>
      <c r="L495" s="99"/>
      <c r="M495" s="99">
        <f t="shared" si="2"/>
        <v>1</v>
      </c>
      <c r="N495" s="99">
        <f t="shared" si="3"/>
        <v>1</v>
      </c>
      <c r="O495" s="84"/>
      <c r="P495" s="84"/>
      <c r="Q495" s="84"/>
      <c r="R495" s="84"/>
      <c r="S495" s="84"/>
      <c r="T495" s="84"/>
      <c r="U495" s="84"/>
      <c r="V495" s="84"/>
    </row>
    <row r="496" ht="15.75" customHeight="1">
      <c r="A496" s="227">
        <v>3.0010152E7</v>
      </c>
      <c r="B496" s="227" t="str">
        <f t="shared" si="1"/>
        <v>30010</v>
      </c>
      <c r="C496" s="227" t="s">
        <v>4112</v>
      </c>
      <c r="D496" s="59"/>
      <c r="E496" s="59"/>
      <c r="F496" s="126"/>
      <c r="G496" s="126"/>
      <c r="H496" s="125"/>
      <c r="I496" s="125"/>
      <c r="J496" s="99"/>
      <c r="K496" s="99"/>
      <c r="L496" s="99"/>
      <c r="M496" s="99">
        <f t="shared" si="2"/>
        <v>1</v>
      </c>
      <c r="N496" s="99">
        <f t="shared" si="3"/>
        <v>1</v>
      </c>
      <c r="O496" s="84"/>
      <c r="P496" s="84"/>
      <c r="Q496" s="84"/>
      <c r="R496" s="84"/>
      <c r="S496" s="84"/>
      <c r="T496" s="84"/>
      <c r="U496" s="84"/>
      <c r="V496" s="84"/>
    </row>
    <row r="497" ht="15.75" customHeight="1">
      <c r="A497" s="227">
        <v>3.0010153E7</v>
      </c>
      <c r="B497" s="227" t="str">
        <f t="shared" si="1"/>
        <v>30010</v>
      </c>
      <c r="C497" s="227" t="s">
        <v>4113</v>
      </c>
      <c r="D497" s="59"/>
      <c r="E497" s="59"/>
      <c r="F497" s="126"/>
      <c r="G497" s="126"/>
      <c r="H497" s="125"/>
      <c r="I497" s="125"/>
      <c r="J497" s="99"/>
      <c r="K497" s="99"/>
      <c r="L497" s="99"/>
      <c r="M497" s="99">
        <f t="shared" si="2"/>
        <v>1</v>
      </c>
      <c r="N497" s="99">
        <f t="shared" si="3"/>
        <v>1</v>
      </c>
      <c r="O497" s="84"/>
      <c r="P497" s="84"/>
      <c r="Q497" s="84"/>
      <c r="R497" s="84"/>
      <c r="S497" s="84"/>
      <c r="T497" s="84"/>
      <c r="U497" s="84"/>
      <c r="V497" s="84"/>
    </row>
    <row r="498" ht="15.75" customHeight="1">
      <c r="A498" s="227">
        <v>3.0010154E7</v>
      </c>
      <c r="B498" s="227" t="str">
        <f t="shared" si="1"/>
        <v>30010</v>
      </c>
      <c r="C498" s="227" t="s">
        <v>4114</v>
      </c>
      <c r="D498" s="59"/>
      <c r="E498" s="59"/>
      <c r="F498" s="126"/>
      <c r="G498" s="126"/>
      <c r="H498" s="125"/>
      <c r="I498" s="125"/>
      <c r="J498" s="99"/>
      <c r="K498" s="99"/>
      <c r="L498" s="99"/>
      <c r="M498" s="99">
        <f t="shared" si="2"/>
        <v>1</v>
      </c>
      <c r="N498" s="99">
        <f t="shared" si="3"/>
        <v>1</v>
      </c>
      <c r="O498" s="84"/>
      <c r="P498" s="84"/>
      <c r="Q498" s="84"/>
      <c r="R498" s="84"/>
      <c r="S498" s="84"/>
      <c r="T498" s="84"/>
      <c r="U498" s="84"/>
      <c r="V498" s="84"/>
    </row>
    <row r="499" ht="15.75" customHeight="1">
      <c r="A499" s="227">
        <v>3.0010155E7</v>
      </c>
      <c r="B499" s="227" t="str">
        <f t="shared" si="1"/>
        <v>30010</v>
      </c>
      <c r="C499" s="227" t="s">
        <v>4115</v>
      </c>
      <c r="D499" s="59"/>
      <c r="E499" s="59"/>
      <c r="F499" s="126"/>
      <c r="G499" s="126"/>
      <c r="H499" s="125"/>
      <c r="I499" s="125"/>
      <c r="J499" s="99"/>
      <c r="K499" s="99"/>
      <c r="L499" s="99"/>
      <c r="M499" s="99">
        <f t="shared" si="2"/>
        <v>1</v>
      </c>
      <c r="N499" s="99">
        <f t="shared" si="3"/>
        <v>1</v>
      </c>
      <c r="O499" s="84"/>
      <c r="P499" s="84"/>
      <c r="Q499" s="84"/>
      <c r="R499" s="84"/>
      <c r="S499" s="84"/>
      <c r="T499" s="84"/>
      <c r="U499" s="84"/>
      <c r="V499" s="84"/>
    </row>
    <row r="500" ht="15.75" customHeight="1">
      <c r="A500" s="227">
        <v>3.0010156E7</v>
      </c>
      <c r="B500" s="227" t="str">
        <f t="shared" si="1"/>
        <v>30010</v>
      </c>
      <c r="C500" s="227" t="s">
        <v>4116</v>
      </c>
      <c r="D500" s="59"/>
      <c r="E500" s="59"/>
      <c r="F500" s="126"/>
      <c r="G500" s="126"/>
      <c r="H500" s="125"/>
      <c r="I500" s="125"/>
      <c r="J500" s="99"/>
      <c r="K500" s="99"/>
      <c r="L500" s="99"/>
      <c r="M500" s="99">
        <f t="shared" si="2"/>
        <v>1</v>
      </c>
      <c r="N500" s="99">
        <f t="shared" si="3"/>
        <v>1</v>
      </c>
      <c r="O500" s="84"/>
      <c r="P500" s="84"/>
      <c r="Q500" s="84"/>
      <c r="R500" s="84"/>
      <c r="S500" s="84"/>
      <c r="T500" s="84"/>
      <c r="U500" s="84"/>
      <c r="V500" s="84"/>
    </row>
    <row r="501" ht="15.75" customHeight="1">
      <c r="A501" s="227">
        <v>3.0010157E7</v>
      </c>
      <c r="B501" s="227" t="str">
        <f t="shared" si="1"/>
        <v>30010</v>
      </c>
      <c r="C501" s="227" t="s">
        <v>4117</v>
      </c>
      <c r="D501" s="59"/>
      <c r="E501" s="59"/>
      <c r="F501" s="126"/>
      <c r="G501" s="126"/>
      <c r="H501" s="125"/>
      <c r="I501" s="125"/>
      <c r="J501" s="99"/>
      <c r="K501" s="99"/>
      <c r="L501" s="99"/>
      <c r="M501" s="99">
        <f t="shared" si="2"/>
        <v>1</v>
      </c>
      <c r="N501" s="99">
        <f t="shared" si="3"/>
        <v>1</v>
      </c>
      <c r="O501" s="84"/>
      <c r="P501" s="84"/>
      <c r="Q501" s="84"/>
      <c r="R501" s="84"/>
      <c r="S501" s="84"/>
      <c r="T501" s="84"/>
      <c r="U501" s="84"/>
      <c r="V501" s="84"/>
    </row>
    <row r="502" ht="15.75" customHeight="1">
      <c r="A502" s="227">
        <v>3.0010158E7</v>
      </c>
      <c r="B502" s="227" t="str">
        <f t="shared" si="1"/>
        <v>30010</v>
      </c>
      <c r="C502" s="227" t="s">
        <v>4118</v>
      </c>
      <c r="D502" s="73"/>
      <c r="E502" s="73"/>
      <c r="F502" s="126"/>
      <c r="G502" s="126"/>
      <c r="H502" s="125"/>
      <c r="I502" s="125"/>
      <c r="J502" s="99"/>
      <c r="K502" s="99"/>
      <c r="L502" s="99"/>
      <c r="M502" s="99">
        <f t="shared" si="2"/>
        <v>1</v>
      </c>
      <c r="N502" s="99">
        <f t="shared" si="3"/>
        <v>1</v>
      </c>
      <c r="O502" s="84"/>
      <c r="P502" s="84"/>
      <c r="Q502" s="84"/>
      <c r="R502" s="84"/>
      <c r="S502" s="84"/>
      <c r="T502" s="84"/>
      <c r="U502" s="84"/>
      <c r="V502" s="84"/>
    </row>
    <row r="503" ht="15.75" customHeight="1">
      <c r="A503" s="224">
        <v>3.0015E7</v>
      </c>
      <c r="B503" s="224" t="str">
        <f t="shared" si="1"/>
        <v>30015</v>
      </c>
      <c r="C503" s="224" t="s">
        <v>4119</v>
      </c>
      <c r="D503" s="225" t="s">
        <v>4120</v>
      </c>
      <c r="E503" s="226" t="s">
        <v>4121</v>
      </c>
      <c r="F503" s="126"/>
      <c r="G503" s="126"/>
      <c r="H503" s="125"/>
      <c r="I503" s="125"/>
      <c r="J503" s="99"/>
      <c r="K503" s="99"/>
      <c r="L503" s="99"/>
      <c r="M503" s="99">
        <f t="shared" si="2"/>
        <v>1</v>
      </c>
      <c r="N503" s="99">
        <f t="shared" si="3"/>
        <v>1</v>
      </c>
      <c r="O503" s="84"/>
      <c r="P503" s="84"/>
      <c r="Q503" s="84"/>
      <c r="R503" s="84"/>
      <c r="S503" s="84"/>
      <c r="T503" s="84"/>
      <c r="U503" s="84"/>
      <c r="V503" s="84"/>
    </row>
    <row r="504" ht="15.75" customHeight="1">
      <c r="A504" s="224">
        <v>3.0015001E7</v>
      </c>
      <c r="B504" s="224" t="str">
        <f t="shared" si="1"/>
        <v>30015</v>
      </c>
      <c r="C504" s="224" t="s">
        <v>4122</v>
      </c>
      <c r="D504" s="59"/>
      <c r="E504" s="59"/>
      <c r="F504" s="126"/>
      <c r="G504" s="126"/>
      <c r="H504" s="125"/>
      <c r="I504" s="125"/>
      <c r="J504" s="99"/>
      <c r="K504" s="99"/>
      <c r="L504" s="99"/>
      <c r="M504" s="99">
        <f t="shared" si="2"/>
        <v>1</v>
      </c>
      <c r="N504" s="99">
        <f t="shared" si="3"/>
        <v>1</v>
      </c>
      <c r="O504" s="84"/>
      <c r="P504" s="84"/>
      <c r="Q504" s="84"/>
      <c r="R504" s="84"/>
      <c r="S504" s="84"/>
      <c r="T504" s="84"/>
      <c r="U504" s="84"/>
      <c r="V504" s="84"/>
    </row>
    <row r="505" ht="15.75" customHeight="1">
      <c r="A505" s="224">
        <v>3.0015002E7</v>
      </c>
      <c r="B505" s="224" t="str">
        <f t="shared" si="1"/>
        <v>30015</v>
      </c>
      <c r="C505" s="224" t="s">
        <v>4123</v>
      </c>
      <c r="D505" s="59"/>
      <c r="E505" s="59"/>
      <c r="F505" s="126"/>
      <c r="G505" s="126"/>
      <c r="H505" s="125"/>
      <c r="I505" s="125"/>
      <c r="J505" s="99"/>
      <c r="K505" s="99"/>
      <c r="L505" s="99"/>
      <c r="M505" s="99">
        <f t="shared" si="2"/>
        <v>1</v>
      </c>
      <c r="N505" s="99">
        <f t="shared" si="3"/>
        <v>1</v>
      </c>
      <c r="O505" s="84"/>
      <c r="P505" s="84"/>
      <c r="Q505" s="84"/>
      <c r="R505" s="84"/>
      <c r="S505" s="84"/>
      <c r="T505" s="84"/>
      <c r="U505" s="84"/>
      <c r="V505" s="84"/>
    </row>
    <row r="506" ht="15.75" customHeight="1">
      <c r="A506" s="224">
        <v>3.0015003E7</v>
      </c>
      <c r="B506" s="224" t="str">
        <f t="shared" si="1"/>
        <v>30015</v>
      </c>
      <c r="C506" s="224" t="s">
        <v>4124</v>
      </c>
      <c r="D506" s="59"/>
      <c r="E506" s="59"/>
      <c r="F506" s="126"/>
      <c r="G506" s="126"/>
      <c r="H506" s="125"/>
      <c r="I506" s="125"/>
      <c r="J506" s="99"/>
      <c r="K506" s="99"/>
      <c r="L506" s="99"/>
      <c r="M506" s="99">
        <f t="shared" si="2"/>
        <v>1</v>
      </c>
      <c r="N506" s="99">
        <f t="shared" si="3"/>
        <v>1</v>
      </c>
      <c r="O506" s="84"/>
      <c r="P506" s="84"/>
      <c r="Q506" s="84"/>
      <c r="R506" s="84"/>
      <c r="S506" s="84"/>
      <c r="T506" s="84"/>
      <c r="U506" s="84"/>
      <c r="V506" s="84"/>
    </row>
    <row r="507" ht="15.75" customHeight="1">
      <c r="A507" s="224">
        <v>3.0015004E7</v>
      </c>
      <c r="B507" s="224" t="str">
        <f t="shared" si="1"/>
        <v>30015</v>
      </c>
      <c r="C507" s="224" t="s">
        <v>4125</v>
      </c>
      <c r="D507" s="59"/>
      <c r="E507" s="59"/>
      <c r="F507" s="126"/>
      <c r="G507" s="126"/>
      <c r="H507" s="125"/>
      <c r="I507" s="125"/>
      <c r="J507" s="99"/>
      <c r="K507" s="99"/>
      <c r="L507" s="99"/>
      <c r="M507" s="99">
        <f t="shared" si="2"/>
        <v>1</v>
      </c>
      <c r="N507" s="99">
        <f t="shared" si="3"/>
        <v>1</v>
      </c>
      <c r="O507" s="84"/>
      <c r="P507" s="84"/>
      <c r="Q507" s="84"/>
      <c r="R507" s="84"/>
      <c r="S507" s="84"/>
      <c r="T507" s="84"/>
      <c r="U507" s="84"/>
      <c r="V507" s="84"/>
    </row>
    <row r="508" ht="15.75" customHeight="1">
      <c r="A508" s="224">
        <v>3.0015005E7</v>
      </c>
      <c r="B508" s="224" t="str">
        <f t="shared" si="1"/>
        <v>30015</v>
      </c>
      <c r="C508" s="224" t="s">
        <v>4126</v>
      </c>
      <c r="D508" s="59"/>
      <c r="E508" s="59"/>
      <c r="F508" s="126"/>
      <c r="G508" s="126"/>
      <c r="H508" s="125"/>
      <c r="I508" s="125"/>
      <c r="J508" s="99"/>
      <c r="K508" s="99"/>
      <c r="L508" s="99"/>
      <c r="M508" s="99">
        <f t="shared" si="2"/>
        <v>1</v>
      </c>
      <c r="N508" s="99">
        <f t="shared" si="3"/>
        <v>1</v>
      </c>
      <c r="O508" s="84"/>
      <c r="P508" s="84"/>
      <c r="Q508" s="84"/>
      <c r="R508" s="84"/>
      <c r="S508" s="84"/>
      <c r="T508" s="84"/>
      <c r="U508" s="84"/>
      <c r="V508" s="84"/>
    </row>
    <row r="509" ht="15.75" customHeight="1">
      <c r="A509" s="227">
        <v>3.00151E7</v>
      </c>
      <c r="B509" s="227" t="str">
        <f t="shared" si="1"/>
        <v>30015</v>
      </c>
      <c r="C509" s="227" t="s">
        <v>4127</v>
      </c>
      <c r="D509" s="59"/>
      <c r="E509" s="59"/>
      <c r="F509" s="126"/>
      <c r="G509" s="126"/>
      <c r="H509" s="125"/>
      <c r="I509" s="125"/>
      <c r="J509" s="99"/>
      <c r="K509" s="99"/>
      <c r="L509" s="99"/>
      <c r="M509" s="99">
        <f t="shared" si="2"/>
        <v>1</v>
      </c>
      <c r="N509" s="99">
        <f t="shared" si="3"/>
        <v>1</v>
      </c>
      <c r="O509" s="84"/>
      <c r="P509" s="84"/>
      <c r="Q509" s="84"/>
      <c r="R509" s="84"/>
      <c r="S509" s="84"/>
      <c r="T509" s="84"/>
      <c r="U509" s="84"/>
      <c r="V509" s="84"/>
    </row>
    <row r="510" ht="15.75" customHeight="1">
      <c r="A510" s="227">
        <v>3.0015101E7</v>
      </c>
      <c r="B510" s="227" t="str">
        <f t="shared" si="1"/>
        <v>30015</v>
      </c>
      <c r="C510" s="227" t="s">
        <v>4128</v>
      </c>
      <c r="D510" s="59"/>
      <c r="E510" s="59"/>
      <c r="F510" s="126"/>
      <c r="G510" s="126"/>
      <c r="H510" s="125"/>
      <c r="I510" s="125"/>
      <c r="J510" s="99"/>
      <c r="K510" s="99"/>
      <c r="L510" s="99"/>
      <c r="M510" s="99">
        <f t="shared" si="2"/>
        <v>1</v>
      </c>
      <c r="N510" s="99">
        <f t="shared" si="3"/>
        <v>1</v>
      </c>
      <c r="O510" s="84"/>
      <c r="P510" s="84"/>
      <c r="Q510" s="84"/>
      <c r="R510" s="84"/>
      <c r="S510" s="84"/>
      <c r="T510" s="84"/>
      <c r="U510" s="84"/>
      <c r="V510" s="84"/>
    </row>
    <row r="511" ht="15.75" customHeight="1">
      <c r="A511" s="227">
        <v>3.0015102E7</v>
      </c>
      <c r="B511" s="227" t="str">
        <f t="shared" si="1"/>
        <v>30015</v>
      </c>
      <c r="C511" s="227" t="s">
        <v>4129</v>
      </c>
      <c r="D511" s="59"/>
      <c r="E511" s="59"/>
      <c r="F511" s="126"/>
      <c r="G511" s="126"/>
      <c r="H511" s="125"/>
      <c r="I511" s="125"/>
      <c r="J511" s="99"/>
      <c r="K511" s="99"/>
      <c r="L511" s="99"/>
      <c r="M511" s="99">
        <f t="shared" si="2"/>
        <v>1</v>
      </c>
      <c r="N511" s="99">
        <f t="shared" si="3"/>
        <v>1</v>
      </c>
      <c r="O511" s="84"/>
      <c r="P511" s="84"/>
      <c r="Q511" s="84"/>
      <c r="R511" s="84"/>
      <c r="S511" s="84"/>
      <c r="T511" s="84"/>
      <c r="U511" s="84"/>
      <c r="V511" s="84"/>
    </row>
    <row r="512" ht="15.75" customHeight="1">
      <c r="A512" s="227">
        <v>3.0015103E7</v>
      </c>
      <c r="B512" s="227" t="str">
        <f t="shared" si="1"/>
        <v>30015</v>
      </c>
      <c r="C512" s="227" t="s">
        <v>4130</v>
      </c>
      <c r="D512" s="59"/>
      <c r="E512" s="59"/>
      <c r="F512" s="126"/>
      <c r="G512" s="126"/>
      <c r="H512" s="125"/>
      <c r="I512" s="125"/>
      <c r="J512" s="99"/>
      <c r="K512" s="99"/>
      <c r="L512" s="99"/>
      <c r="M512" s="99">
        <f t="shared" si="2"/>
        <v>1</v>
      </c>
      <c r="N512" s="99">
        <f t="shared" si="3"/>
        <v>1</v>
      </c>
      <c r="O512" s="84"/>
      <c r="P512" s="84"/>
      <c r="Q512" s="84"/>
      <c r="R512" s="84"/>
      <c r="S512" s="84"/>
      <c r="T512" s="84"/>
      <c r="U512" s="84"/>
      <c r="V512" s="84"/>
    </row>
    <row r="513" ht="15.75" customHeight="1">
      <c r="A513" s="227">
        <v>3.0015104E7</v>
      </c>
      <c r="B513" s="227" t="str">
        <f t="shared" si="1"/>
        <v>30015</v>
      </c>
      <c r="C513" s="227" t="s">
        <v>4131</v>
      </c>
      <c r="D513" s="59"/>
      <c r="E513" s="59"/>
      <c r="F513" s="126"/>
      <c r="G513" s="126"/>
      <c r="H513" s="125"/>
      <c r="I513" s="125"/>
      <c r="J513" s="99"/>
      <c r="K513" s="99"/>
      <c r="L513" s="99"/>
      <c r="M513" s="99">
        <f t="shared" si="2"/>
        <v>1</v>
      </c>
      <c r="N513" s="99">
        <f t="shared" si="3"/>
        <v>1</v>
      </c>
      <c r="O513" s="84"/>
      <c r="P513" s="84"/>
      <c r="Q513" s="84"/>
      <c r="R513" s="84"/>
      <c r="S513" s="84"/>
      <c r="T513" s="84"/>
      <c r="U513" s="84"/>
      <c r="V513" s="84"/>
    </row>
    <row r="514" ht="15.75" customHeight="1">
      <c r="A514" s="227">
        <v>3.0015105E7</v>
      </c>
      <c r="B514" s="227" t="str">
        <f t="shared" si="1"/>
        <v>30015</v>
      </c>
      <c r="C514" s="227" t="s">
        <v>4132</v>
      </c>
      <c r="D514" s="73"/>
      <c r="E514" s="73"/>
      <c r="F514" s="126"/>
      <c r="G514" s="126"/>
      <c r="H514" s="125"/>
      <c r="I514" s="125"/>
      <c r="J514" s="99"/>
      <c r="K514" s="99"/>
      <c r="L514" s="99"/>
      <c r="M514" s="99">
        <f t="shared" si="2"/>
        <v>1</v>
      </c>
      <c r="N514" s="99">
        <f t="shared" si="3"/>
        <v>1</v>
      </c>
      <c r="O514" s="84"/>
      <c r="P514" s="84"/>
      <c r="Q514" s="84"/>
      <c r="R514" s="84"/>
      <c r="S514" s="84"/>
      <c r="T514" s="84"/>
      <c r="U514" s="84"/>
      <c r="V514" s="84"/>
    </row>
    <row r="515" ht="15.75" customHeight="1">
      <c r="A515" s="210"/>
      <c r="B515" s="210"/>
      <c r="C515" s="210"/>
      <c r="D515" s="210"/>
      <c r="E515" s="210"/>
      <c r="F515" s="126"/>
      <c r="G515" s="126"/>
      <c r="H515" s="125"/>
      <c r="I515" s="125"/>
      <c r="J515" s="99"/>
      <c r="K515" s="99"/>
      <c r="L515" s="99"/>
      <c r="M515" s="99"/>
      <c r="O515" s="84"/>
      <c r="P515" s="84"/>
      <c r="Q515" s="84"/>
      <c r="R515" s="84"/>
      <c r="S515" s="84"/>
      <c r="T515" s="84"/>
      <c r="U515" s="84"/>
      <c r="V515" s="84"/>
    </row>
    <row r="516" ht="15.75" customHeight="1">
      <c r="A516" s="125"/>
      <c r="B516" s="125"/>
      <c r="C516" s="125"/>
      <c r="D516" s="125"/>
      <c r="E516" s="125"/>
      <c r="F516" s="126"/>
      <c r="G516" s="126"/>
      <c r="H516" s="125"/>
      <c r="I516" s="125"/>
      <c r="J516" s="99"/>
      <c r="K516" s="99"/>
      <c r="L516" s="99"/>
      <c r="M516" s="99"/>
      <c r="O516" s="84"/>
      <c r="P516" s="84"/>
      <c r="Q516" s="84"/>
      <c r="R516" s="84"/>
      <c r="S516" s="84"/>
      <c r="T516" s="84"/>
      <c r="U516" s="84"/>
      <c r="V516" s="84"/>
    </row>
    <row r="517" ht="15.75" customHeight="1">
      <c r="A517" s="125"/>
      <c r="B517" s="125"/>
      <c r="C517" s="125"/>
      <c r="D517" s="125"/>
      <c r="E517" s="125"/>
      <c r="F517" s="126"/>
      <c r="G517" s="126"/>
      <c r="H517" s="125"/>
      <c r="I517" s="125"/>
      <c r="J517" s="99"/>
      <c r="K517" s="99"/>
      <c r="L517" s="99"/>
      <c r="M517" s="99"/>
      <c r="O517" s="84"/>
      <c r="P517" s="84"/>
      <c r="Q517" s="84"/>
      <c r="R517" s="84"/>
      <c r="S517" s="84"/>
      <c r="T517" s="84"/>
      <c r="U517" s="84"/>
      <c r="V517" s="84"/>
    </row>
    <row r="518" ht="15.75" customHeight="1">
      <c r="A518" s="125"/>
      <c r="B518" s="125"/>
      <c r="C518" s="125"/>
      <c r="D518" s="125"/>
      <c r="E518" s="125"/>
      <c r="F518" s="126"/>
      <c r="G518" s="126"/>
      <c r="H518" s="125"/>
      <c r="I518" s="125"/>
      <c r="J518" s="99"/>
      <c r="K518" s="99"/>
      <c r="L518" s="99"/>
      <c r="M518" s="99"/>
      <c r="O518" s="84"/>
      <c r="P518" s="84"/>
      <c r="Q518" s="84"/>
      <c r="R518" s="84"/>
      <c r="S518" s="84"/>
      <c r="T518" s="84"/>
      <c r="U518" s="84"/>
      <c r="V518" s="84"/>
    </row>
    <row r="519" ht="15.75" customHeight="1">
      <c r="A519" s="125"/>
      <c r="B519" s="125"/>
      <c r="C519" s="125"/>
      <c r="D519" s="125"/>
      <c r="E519" s="125"/>
      <c r="F519" s="126"/>
      <c r="G519" s="126"/>
      <c r="H519" s="125"/>
      <c r="I519" s="125"/>
      <c r="J519" s="99"/>
      <c r="K519" s="99"/>
      <c r="L519" s="99"/>
      <c r="M519" s="99"/>
      <c r="O519" s="84"/>
      <c r="P519" s="84"/>
      <c r="Q519" s="84"/>
      <c r="R519" s="84"/>
      <c r="S519" s="84"/>
      <c r="T519" s="84"/>
      <c r="U519" s="84"/>
      <c r="V519" s="84"/>
    </row>
    <row r="520" ht="15.75" customHeight="1">
      <c r="A520" s="125"/>
      <c r="B520" s="125"/>
      <c r="C520" s="125"/>
      <c r="D520" s="125"/>
      <c r="E520" s="125"/>
      <c r="F520" s="126"/>
      <c r="G520" s="126"/>
      <c r="H520" s="125"/>
      <c r="I520" s="125"/>
      <c r="J520" s="99"/>
      <c r="K520" s="99"/>
      <c r="L520" s="99"/>
      <c r="M520" s="99"/>
      <c r="O520" s="84"/>
      <c r="P520" s="84"/>
      <c r="Q520" s="84"/>
      <c r="R520" s="84"/>
      <c r="S520" s="84"/>
      <c r="T520" s="84"/>
      <c r="U520" s="84"/>
      <c r="V520" s="84"/>
    </row>
    <row r="521" ht="15.75" customHeight="1">
      <c r="A521" s="125"/>
      <c r="B521" s="125"/>
      <c r="C521" s="125"/>
      <c r="D521" s="125"/>
      <c r="E521" s="125"/>
      <c r="F521" s="126"/>
      <c r="G521" s="126"/>
      <c r="H521" s="125"/>
      <c r="I521" s="125"/>
      <c r="J521" s="99"/>
      <c r="K521" s="99"/>
      <c r="L521" s="99"/>
      <c r="M521" s="99"/>
      <c r="O521" s="84"/>
      <c r="P521" s="84"/>
      <c r="Q521" s="84"/>
      <c r="R521" s="84"/>
      <c r="S521" s="84"/>
      <c r="T521" s="84"/>
      <c r="U521" s="84"/>
      <c r="V521" s="84"/>
    </row>
    <row r="522" ht="15.75" customHeight="1">
      <c r="A522" s="125"/>
      <c r="B522" s="125"/>
      <c r="C522" s="125"/>
      <c r="D522" s="125"/>
      <c r="E522" s="125"/>
      <c r="F522" s="126"/>
      <c r="G522" s="126"/>
      <c r="H522" s="125"/>
      <c r="I522" s="125"/>
      <c r="J522" s="99"/>
      <c r="K522" s="99"/>
      <c r="L522" s="99"/>
      <c r="M522" s="99"/>
      <c r="O522" s="84"/>
      <c r="P522" s="84"/>
      <c r="Q522" s="84"/>
      <c r="R522" s="84"/>
      <c r="S522" s="84"/>
      <c r="T522" s="84"/>
      <c r="U522" s="84"/>
      <c r="V522" s="84"/>
    </row>
    <row r="523" ht="15.75" customHeight="1">
      <c r="A523" s="125"/>
      <c r="B523" s="125"/>
      <c r="C523" s="125"/>
      <c r="D523" s="125"/>
      <c r="E523" s="125"/>
      <c r="F523" s="126"/>
      <c r="G523" s="126"/>
      <c r="H523" s="125"/>
      <c r="I523" s="125"/>
      <c r="J523" s="99"/>
      <c r="K523" s="99"/>
      <c r="L523" s="99"/>
      <c r="M523" s="99"/>
      <c r="O523" s="84"/>
      <c r="P523" s="84"/>
      <c r="Q523" s="84"/>
      <c r="R523" s="84"/>
      <c r="S523" s="84"/>
      <c r="T523" s="84"/>
      <c r="U523" s="84"/>
      <c r="V523" s="84"/>
    </row>
    <row r="524" ht="15.75" customHeight="1">
      <c r="A524" s="125"/>
      <c r="B524" s="125"/>
      <c r="C524" s="125"/>
      <c r="D524" s="125"/>
      <c r="E524" s="125"/>
      <c r="F524" s="126"/>
      <c r="G524" s="126"/>
      <c r="H524" s="125"/>
      <c r="I524" s="125"/>
      <c r="J524" s="99"/>
      <c r="K524" s="99"/>
      <c r="L524" s="99"/>
      <c r="M524" s="99"/>
      <c r="O524" s="84"/>
      <c r="P524" s="84"/>
      <c r="Q524" s="84"/>
      <c r="R524" s="84"/>
      <c r="S524" s="84"/>
      <c r="T524" s="84"/>
      <c r="U524" s="84"/>
      <c r="V524" s="84"/>
    </row>
    <row r="525" ht="15.75" customHeight="1">
      <c r="A525" s="125"/>
      <c r="B525" s="125"/>
      <c r="C525" s="125"/>
      <c r="D525" s="125"/>
      <c r="E525" s="125"/>
      <c r="F525" s="126"/>
      <c r="G525" s="126"/>
      <c r="H525" s="125"/>
      <c r="I525" s="125"/>
      <c r="J525" s="99"/>
      <c r="K525" s="99"/>
      <c r="L525" s="99"/>
      <c r="M525" s="99"/>
      <c r="O525" s="84"/>
      <c r="P525" s="84"/>
      <c r="Q525" s="84"/>
      <c r="R525" s="84"/>
      <c r="S525" s="84"/>
      <c r="T525" s="84"/>
      <c r="U525" s="84"/>
      <c r="V525" s="84"/>
    </row>
    <row r="526" ht="15.75" customHeight="1">
      <c r="A526" s="125"/>
      <c r="B526" s="125"/>
      <c r="C526" s="125"/>
      <c r="D526" s="125"/>
      <c r="E526" s="125"/>
      <c r="F526" s="126"/>
      <c r="G526" s="126"/>
      <c r="H526" s="125"/>
      <c r="I526" s="125"/>
      <c r="J526" s="99"/>
      <c r="K526" s="99"/>
      <c r="L526" s="99"/>
      <c r="M526" s="99"/>
      <c r="O526" s="84"/>
      <c r="P526" s="84"/>
      <c r="Q526" s="84"/>
      <c r="R526" s="84"/>
      <c r="S526" s="84"/>
      <c r="T526" s="84"/>
      <c r="U526" s="84"/>
      <c r="V526" s="84"/>
    </row>
    <row r="527" ht="15.75" customHeight="1">
      <c r="A527" s="125"/>
      <c r="B527" s="125"/>
      <c r="C527" s="125"/>
      <c r="D527" s="125"/>
      <c r="E527" s="125"/>
      <c r="F527" s="126"/>
      <c r="G527" s="126"/>
      <c r="H527" s="125"/>
      <c r="I527" s="125"/>
      <c r="J527" s="99"/>
      <c r="K527" s="99"/>
      <c r="L527" s="99"/>
      <c r="M527" s="99"/>
      <c r="O527" s="84"/>
      <c r="P527" s="84"/>
      <c r="Q527" s="84"/>
      <c r="R527" s="84"/>
      <c r="S527" s="84"/>
      <c r="T527" s="84"/>
      <c r="U527" s="84"/>
      <c r="V527" s="84"/>
    </row>
    <row r="528" ht="15.75" customHeight="1">
      <c r="A528" s="125"/>
      <c r="B528" s="125"/>
      <c r="C528" s="125"/>
      <c r="D528" s="125"/>
      <c r="E528" s="125"/>
      <c r="F528" s="126"/>
      <c r="G528" s="126"/>
      <c r="H528" s="125"/>
      <c r="I528" s="125"/>
      <c r="J528" s="99"/>
      <c r="K528" s="99"/>
      <c r="L528" s="99"/>
      <c r="M528" s="99"/>
      <c r="O528" s="84"/>
      <c r="P528" s="84"/>
      <c r="Q528" s="84"/>
      <c r="R528" s="84"/>
      <c r="S528" s="84"/>
      <c r="T528" s="84"/>
      <c r="U528" s="84"/>
      <c r="V528" s="84"/>
    </row>
    <row r="529" ht="15.75" customHeight="1">
      <c r="A529" s="125"/>
      <c r="B529" s="125"/>
      <c r="C529" s="125"/>
      <c r="D529" s="125"/>
      <c r="E529" s="125"/>
      <c r="F529" s="126"/>
      <c r="G529" s="126"/>
      <c r="H529" s="125"/>
      <c r="I529" s="125"/>
      <c r="J529" s="99"/>
      <c r="K529" s="99"/>
      <c r="L529" s="99"/>
      <c r="M529" s="99"/>
      <c r="O529" s="84"/>
      <c r="P529" s="84"/>
      <c r="Q529" s="84"/>
      <c r="R529" s="84"/>
      <c r="S529" s="84"/>
      <c r="T529" s="84"/>
      <c r="U529" s="84"/>
      <c r="V529" s="84"/>
    </row>
    <row r="530" ht="15.75" customHeight="1">
      <c r="A530" s="125"/>
      <c r="B530" s="125"/>
      <c r="C530" s="125"/>
      <c r="D530" s="125"/>
      <c r="E530" s="125"/>
      <c r="F530" s="126"/>
      <c r="G530" s="126"/>
      <c r="H530" s="125"/>
      <c r="I530" s="125"/>
      <c r="J530" s="99"/>
      <c r="K530" s="99"/>
      <c r="L530" s="99"/>
      <c r="M530" s="99"/>
      <c r="O530" s="84"/>
      <c r="P530" s="84"/>
      <c r="Q530" s="84"/>
      <c r="R530" s="84"/>
      <c r="S530" s="84"/>
      <c r="T530" s="84"/>
      <c r="U530" s="84"/>
      <c r="V530" s="84"/>
    </row>
    <row r="531" ht="15.75" customHeight="1">
      <c r="A531" s="125"/>
      <c r="B531" s="125"/>
      <c r="C531" s="125"/>
      <c r="D531" s="125"/>
      <c r="E531" s="125"/>
      <c r="F531" s="126"/>
      <c r="G531" s="126"/>
      <c r="H531" s="125"/>
      <c r="I531" s="125"/>
      <c r="J531" s="99"/>
      <c r="K531" s="99"/>
      <c r="L531" s="99"/>
      <c r="M531" s="99"/>
      <c r="O531" s="84"/>
      <c r="P531" s="84"/>
      <c r="Q531" s="84"/>
      <c r="R531" s="84"/>
      <c r="S531" s="84"/>
      <c r="T531" s="84"/>
      <c r="U531" s="84"/>
      <c r="V531" s="84"/>
    </row>
    <row r="532" ht="15.75" customHeight="1">
      <c r="A532" s="125"/>
      <c r="B532" s="125"/>
      <c r="C532" s="125"/>
      <c r="D532" s="125"/>
      <c r="E532" s="125"/>
      <c r="F532" s="126"/>
      <c r="G532" s="126"/>
      <c r="H532" s="125"/>
      <c r="I532" s="125"/>
      <c r="J532" s="99"/>
      <c r="K532" s="99"/>
      <c r="L532" s="99"/>
      <c r="M532" s="99"/>
      <c r="O532" s="84"/>
      <c r="P532" s="84"/>
      <c r="Q532" s="84"/>
      <c r="R532" s="84"/>
      <c r="S532" s="84"/>
      <c r="T532" s="84"/>
      <c r="U532" s="84"/>
      <c r="V532" s="84"/>
    </row>
    <row r="533" ht="15.75" customHeight="1">
      <c r="A533" s="125"/>
      <c r="B533" s="125"/>
      <c r="C533" s="125"/>
      <c r="D533" s="125"/>
      <c r="E533" s="125"/>
      <c r="F533" s="126"/>
      <c r="G533" s="126"/>
      <c r="H533" s="125"/>
      <c r="I533" s="125"/>
      <c r="J533" s="99"/>
      <c r="K533" s="99"/>
      <c r="L533" s="99"/>
      <c r="M533" s="99"/>
      <c r="O533" s="84"/>
      <c r="P533" s="84"/>
      <c r="Q533" s="84"/>
      <c r="R533" s="84"/>
      <c r="S533" s="84"/>
      <c r="T533" s="84"/>
      <c r="U533" s="84"/>
      <c r="V533" s="84"/>
    </row>
    <row r="534" ht="15.75" customHeight="1">
      <c r="A534" s="125"/>
      <c r="B534" s="125"/>
      <c r="C534" s="125"/>
      <c r="D534" s="125"/>
      <c r="E534" s="125"/>
      <c r="F534" s="126"/>
      <c r="G534" s="126"/>
      <c r="H534" s="125"/>
      <c r="I534" s="125"/>
      <c r="J534" s="99"/>
      <c r="K534" s="99"/>
      <c r="L534" s="99"/>
      <c r="M534" s="99"/>
      <c r="O534" s="84"/>
      <c r="P534" s="84"/>
      <c r="Q534" s="84"/>
      <c r="R534" s="84"/>
      <c r="S534" s="84"/>
      <c r="T534" s="84"/>
      <c r="U534" s="84"/>
      <c r="V534" s="84"/>
    </row>
    <row r="535" ht="15.75" customHeight="1">
      <c r="A535" s="125"/>
      <c r="B535" s="125"/>
      <c r="C535" s="125"/>
      <c r="D535" s="125"/>
      <c r="E535" s="125"/>
      <c r="F535" s="126"/>
      <c r="G535" s="126"/>
      <c r="H535" s="125"/>
      <c r="I535" s="125"/>
      <c r="J535" s="99"/>
      <c r="K535" s="99"/>
      <c r="L535" s="99"/>
      <c r="M535" s="99"/>
      <c r="O535" s="84"/>
      <c r="P535" s="84"/>
      <c r="Q535" s="84"/>
      <c r="R535" s="84"/>
      <c r="S535" s="84"/>
      <c r="T535" s="84"/>
      <c r="U535" s="84"/>
      <c r="V535" s="84"/>
    </row>
    <row r="536" ht="15.75" customHeight="1">
      <c r="A536" s="125"/>
      <c r="B536" s="125"/>
      <c r="C536" s="125"/>
      <c r="D536" s="125"/>
      <c r="E536" s="125"/>
      <c r="F536" s="126"/>
      <c r="G536" s="126"/>
      <c r="H536" s="125"/>
      <c r="I536" s="125"/>
      <c r="J536" s="99"/>
      <c r="K536" s="99"/>
      <c r="L536" s="99"/>
      <c r="M536" s="99"/>
      <c r="O536" s="84"/>
      <c r="P536" s="84"/>
      <c r="Q536" s="84"/>
      <c r="R536" s="84"/>
      <c r="S536" s="84"/>
      <c r="T536" s="84"/>
      <c r="U536" s="84"/>
      <c r="V536" s="84"/>
    </row>
    <row r="537" ht="15.75" customHeight="1">
      <c r="A537" s="125"/>
      <c r="B537" s="125"/>
      <c r="C537" s="125"/>
      <c r="D537" s="125"/>
      <c r="E537" s="125"/>
      <c r="F537" s="126"/>
      <c r="G537" s="126"/>
      <c r="H537" s="125"/>
      <c r="I537" s="125"/>
      <c r="J537" s="99"/>
      <c r="K537" s="99"/>
      <c r="L537" s="99"/>
      <c r="M537" s="99"/>
      <c r="O537" s="84"/>
      <c r="P537" s="84"/>
      <c r="Q537" s="84"/>
      <c r="R537" s="84"/>
      <c r="S537" s="84"/>
      <c r="T537" s="84"/>
      <c r="U537" s="84"/>
      <c r="V537" s="84"/>
    </row>
    <row r="538" ht="15.75" customHeight="1">
      <c r="A538" s="125"/>
      <c r="B538" s="125"/>
      <c r="C538" s="125"/>
      <c r="D538" s="125"/>
      <c r="E538" s="125"/>
      <c r="F538" s="126"/>
      <c r="G538" s="126"/>
      <c r="H538" s="125"/>
      <c r="I538" s="125"/>
      <c r="J538" s="99"/>
      <c r="K538" s="99"/>
      <c r="L538" s="99"/>
      <c r="M538" s="99"/>
      <c r="O538" s="84"/>
      <c r="P538" s="84"/>
      <c r="Q538" s="84"/>
      <c r="R538" s="84"/>
      <c r="S538" s="84"/>
      <c r="T538" s="84"/>
      <c r="U538" s="84"/>
      <c r="V538" s="84"/>
    </row>
    <row r="539" ht="15.75" customHeight="1">
      <c r="A539" s="125"/>
      <c r="B539" s="125"/>
      <c r="C539" s="125"/>
      <c r="D539" s="125"/>
      <c r="E539" s="125"/>
      <c r="F539" s="126"/>
      <c r="G539" s="126"/>
      <c r="H539" s="125"/>
      <c r="I539" s="125"/>
      <c r="J539" s="99"/>
      <c r="K539" s="99"/>
      <c r="L539" s="99"/>
      <c r="M539" s="99"/>
      <c r="O539" s="84"/>
      <c r="P539" s="84"/>
      <c r="Q539" s="84"/>
      <c r="R539" s="84"/>
      <c r="S539" s="84"/>
      <c r="T539" s="84"/>
      <c r="U539" s="84"/>
      <c r="V539" s="84"/>
    </row>
    <row r="540" ht="15.75" customHeight="1">
      <c r="A540" s="125"/>
      <c r="B540" s="125"/>
      <c r="C540" s="125"/>
      <c r="D540" s="125"/>
      <c r="E540" s="125"/>
      <c r="F540" s="126"/>
      <c r="G540" s="126"/>
      <c r="H540" s="125"/>
      <c r="I540" s="125"/>
      <c r="J540" s="99"/>
      <c r="K540" s="99"/>
      <c r="L540" s="99"/>
      <c r="M540" s="99"/>
      <c r="O540" s="84"/>
      <c r="P540" s="84"/>
      <c r="Q540" s="84"/>
      <c r="R540" s="84"/>
      <c r="S540" s="84"/>
      <c r="T540" s="84"/>
      <c r="U540" s="84"/>
      <c r="V540" s="84"/>
    </row>
    <row r="541" ht="15.75" customHeight="1">
      <c r="A541" s="125"/>
      <c r="B541" s="125"/>
      <c r="C541" s="125"/>
      <c r="D541" s="125"/>
      <c r="E541" s="125"/>
      <c r="F541" s="126"/>
      <c r="G541" s="126"/>
      <c r="H541" s="125"/>
      <c r="I541" s="125"/>
      <c r="J541" s="99"/>
      <c r="K541" s="99"/>
      <c r="L541" s="99"/>
      <c r="M541" s="99"/>
      <c r="O541" s="84"/>
      <c r="P541" s="84"/>
      <c r="Q541" s="84"/>
      <c r="R541" s="84"/>
      <c r="S541" s="84"/>
      <c r="T541" s="84"/>
      <c r="U541" s="84"/>
      <c r="V541" s="84"/>
    </row>
    <row r="542" ht="15.75" customHeight="1">
      <c r="A542" s="125"/>
      <c r="B542" s="125"/>
      <c r="C542" s="125"/>
      <c r="D542" s="125"/>
      <c r="E542" s="125"/>
      <c r="F542" s="126"/>
      <c r="G542" s="126"/>
      <c r="H542" s="125"/>
      <c r="I542" s="125"/>
      <c r="J542" s="99"/>
      <c r="K542" s="99"/>
      <c r="L542" s="99"/>
      <c r="M542" s="99"/>
      <c r="O542" s="84"/>
      <c r="P542" s="84"/>
      <c r="Q542" s="84"/>
      <c r="R542" s="84"/>
      <c r="S542" s="84"/>
      <c r="T542" s="84"/>
      <c r="U542" s="84"/>
      <c r="V542" s="84"/>
    </row>
    <row r="543" ht="15.75" customHeight="1">
      <c r="A543" s="125"/>
      <c r="B543" s="125"/>
      <c r="C543" s="125"/>
      <c r="D543" s="125"/>
      <c r="E543" s="125"/>
      <c r="F543" s="126"/>
      <c r="G543" s="126"/>
      <c r="H543" s="125"/>
      <c r="I543" s="125"/>
      <c r="J543" s="99"/>
      <c r="K543" s="99"/>
      <c r="L543" s="99"/>
      <c r="M543" s="99"/>
      <c r="O543" s="84"/>
      <c r="P543" s="84"/>
      <c r="Q543" s="84"/>
      <c r="R543" s="84"/>
      <c r="S543" s="84"/>
      <c r="T543" s="84"/>
      <c r="U543" s="84"/>
      <c r="V543" s="84"/>
    </row>
    <row r="544" ht="15.75" customHeight="1">
      <c r="A544" s="125"/>
      <c r="B544" s="125"/>
      <c r="C544" s="125"/>
      <c r="D544" s="125"/>
      <c r="E544" s="125"/>
      <c r="F544" s="126"/>
      <c r="G544" s="126"/>
      <c r="H544" s="125"/>
      <c r="I544" s="125"/>
      <c r="J544" s="99"/>
      <c r="K544" s="99"/>
      <c r="L544" s="99"/>
      <c r="M544" s="99"/>
      <c r="O544" s="84"/>
      <c r="P544" s="84"/>
      <c r="Q544" s="84"/>
      <c r="R544" s="84"/>
      <c r="S544" s="84"/>
      <c r="T544" s="84"/>
      <c r="U544" s="84"/>
      <c r="V544" s="84"/>
    </row>
    <row r="545" ht="15.75" customHeight="1">
      <c r="A545" s="125"/>
      <c r="B545" s="125"/>
      <c r="C545" s="125"/>
      <c r="D545" s="125"/>
      <c r="E545" s="125"/>
      <c r="F545" s="126"/>
      <c r="G545" s="126"/>
      <c r="H545" s="125"/>
      <c r="I545" s="125"/>
      <c r="J545" s="99"/>
      <c r="K545" s="99"/>
      <c r="L545" s="99"/>
      <c r="M545" s="99"/>
      <c r="O545" s="84"/>
      <c r="P545" s="84"/>
      <c r="Q545" s="84"/>
      <c r="R545" s="84"/>
      <c r="S545" s="84"/>
      <c r="T545" s="84"/>
      <c r="U545" s="84"/>
      <c r="V545" s="84"/>
    </row>
    <row r="546" ht="15.75" customHeight="1">
      <c r="A546" s="125"/>
      <c r="B546" s="125"/>
      <c r="C546" s="125"/>
      <c r="D546" s="125"/>
      <c r="E546" s="125"/>
      <c r="F546" s="126"/>
      <c r="G546" s="126"/>
      <c r="H546" s="125"/>
      <c r="I546" s="125"/>
      <c r="J546" s="99"/>
      <c r="K546" s="99"/>
      <c r="L546" s="99"/>
      <c r="M546" s="99"/>
      <c r="O546" s="84"/>
      <c r="P546" s="84"/>
      <c r="Q546" s="84"/>
      <c r="R546" s="84"/>
      <c r="S546" s="84"/>
      <c r="T546" s="84"/>
      <c r="U546" s="84"/>
      <c r="V546" s="84"/>
    </row>
    <row r="547" ht="15.75" customHeight="1">
      <c r="A547" s="125"/>
      <c r="B547" s="125"/>
      <c r="C547" s="125"/>
      <c r="D547" s="125"/>
      <c r="E547" s="125"/>
      <c r="F547" s="126"/>
      <c r="G547" s="126"/>
      <c r="H547" s="125"/>
      <c r="I547" s="125"/>
      <c r="J547" s="99"/>
      <c r="K547" s="99"/>
      <c r="L547" s="99"/>
      <c r="M547" s="99"/>
      <c r="O547" s="84"/>
      <c r="P547" s="84"/>
      <c r="Q547" s="84"/>
      <c r="R547" s="84"/>
      <c r="S547" s="84"/>
      <c r="T547" s="84"/>
      <c r="U547" s="84"/>
      <c r="V547" s="84"/>
    </row>
    <row r="548" ht="15.75" customHeight="1">
      <c r="A548" s="125"/>
      <c r="B548" s="125"/>
      <c r="C548" s="125"/>
      <c r="D548" s="125"/>
      <c r="E548" s="125"/>
      <c r="F548" s="126"/>
      <c r="G548" s="126"/>
      <c r="H548" s="125"/>
      <c r="I548" s="125"/>
      <c r="J548" s="99"/>
      <c r="K548" s="99"/>
      <c r="L548" s="99"/>
      <c r="M548" s="99"/>
      <c r="O548" s="84"/>
      <c r="P548" s="84"/>
      <c r="Q548" s="84"/>
      <c r="R548" s="84"/>
      <c r="S548" s="84"/>
      <c r="T548" s="84"/>
      <c r="U548" s="84"/>
      <c r="V548" s="84"/>
    </row>
    <row r="549" ht="15.75" customHeight="1">
      <c r="A549" s="125"/>
      <c r="B549" s="125"/>
      <c r="C549" s="125"/>
      <c r="D549" s="125"/>
      <c r="E549" s="125"/>
      <c r="F549" s="126"/>
      <c r="G549" s="126"/>
      <c r="H549" s="125"/>
      <c r="I549" s="125"/>
      <c r="J549" s="99"/>
      <c r="K549" s="99"/>
      <c r="L549" s="99"/>
      <c r="M549" s="99"/>
      <c r="O549" s="84"/>
      <c r="P549" s="84"/>
      <c r="Q549" s="84"/>
      <c r="R549" s="84"/>
      <c r="S549" s="84"/>
      <c r="T549" s="84"/>
      <c r="U549" s="84"/>
      <c r="V549" s="84"/>
    </row>
    <row r="550" ht="15.75" customHeight="1">
      <c r="A550" s="125"/>
      <c r="B550" s="125"/>
      <c r="C550" s="125"/>
      <c r="D550" s="125"/>
      <c r="E550" s="125"/>
      <c r="F550" s="126"/>
      <c r="G550" s="126"/>
      <c r="H550" s="125"/>
      <c r="I550" s="125"/>
      <c r="J550" s="99"/>
      <c r="K550" s="99"/>
      <c r="L550" s="99"/>
      <c r="M550" s="99"/>
      <c r="O550" s="84"/>
      <c r="P550" s="84"/>
      <c r="Q550" s="84"/>
      <c r="R550" s="84"/>
      <c r="S550" s="84"/>
      <c r="T550" s="84"/>
      <c r="U550" s="84"/>
      <c r="V550" s="84"/>
    </row>
    <row r="551" ht="15.75" customHeight="1">
      <c r="A551" s="125"/>
      <c r="B551" s="125"/>
      <c r="C551" s="125"/>
      <c r="D551" s="125"/>
      <c r="E551" s="125"/>
      <c r="F551" s="126"/>
      <c r="G551" s="126"/>
      <c r="H551" s="125"/>
      <c r="I551" s="125"/>
      <c r="J551" s="99"/>
      <c r="K551" s="99"/>
      <c r="L551" s="99"/>
      <c r="M551" s="99"/>
      <c r="O551" s="84"/>
      <c r="P551" s="84"/>
      <c r="Q551" s="84"/>
      <c r="R551" s="84"/>
      <c r="S551" s="84"/>
      <c r="T551" s="84"/>
      <c r="U551" s="84"/>
      <c r="V551" s="84"/>
    </row>
    <row r="552" ht="15.75" customHeight="1">
      <c r="A552" s="125"/>
      <c r="B552" s="125"/>
      <c r="C552" s="125"/>
      <c r="D552" s="125"/>
      <c r="E552" s="125"/>
      <c r="F552" s="126"/>
      <c r="G552" s="126"/>
      <c r="H552" s="125"/>
      <c r="I552" s="125"/>
      <c r="J552" s="99"/>
      <c r="K552" s="99"/>
      <c r="L552" s="99"/>
      <c r="M552" s="99"/>
      <c r="O552" s="84"/>
      <c r="P552" s="84"/>
      <c r="Q552" s="84"/>
      <c r="R552" s="84"/>
      <c r="S552" s="84"/>
      <c r="T552" s="84"/>
      <c r="U552" s="84"/>
      <c r="V552" s="84"/>
    </row>
    <row r="553" ht="15.75" customHeight="1">
      <c r="A553" s="125"/>
      <c r="B553" s="125"/>
      <c r="C553" s="125"/>
      <c r="D553" s="125"/>
      <c r="E553" s="125"/>
      <c r="F553" s="126"/>
      <c r="G553" s="126"/>
      <c r="H553" s="125"/>
      <c r="I553" s="125"/>
      <c r="J553" s="99"/>
      <c r="K553" s="99"/>
      <c r="L553" s="99"/>
      <c r="M553" s="99"/>
      <c r="O553" s="84"/>
      <c r="P553" s="84"/>
      <c r="Q553" s="84"/>
      <c r="R553" s="84"/>
      <c r="S553" s="84"/>
      <c r="T553" s="84"/>
      <c r="U553" s="84"/>
      <c r="V553" s="84"/>
    </row>
    <row r="554" ht="15.75" customHeight="1">
      <c r="A554" s="125"/>
      <c r="B554" s="125"/>
      <c r="C554" s="125"/>
      <c r="D554" s="125"/>
      <c r="E554" s="125"/>
      <c r="F554" s="126"/>
      <c r="G554" s="126"/>
      <c r="H554" s="125"/>
      <c r="I554" s="125"/>
      <c r="J554" s="99"/>
      <c r="K554" s="99"/>
      <c r="L554" s="99"/>
      <c r="M554" s="99"/>
      <c r="O554" s="84"/>
      <c r="P554" s="84"/>
      <c r="Q554" s="84"/>
      <c r="R554" s="84"/>
      <c r="S554" s="84"/>
      <c r="T554" s="84"/>
      <c r="U554" s="84"/>
      <c r="V554" s="84"/>
    </row>
    <row r="555" ht="15.75" customHeight="1">
      <c r="A555" s="125"/>
      <c r="B555" s="125"/>
      <c r="C555" s="125"/>
      <c r="D555" s="125"/>
      <c r="E555" s="125"/>
      <c r="F555" s="126"/>
      <c r="G555" s="126"/>
      <c r="H555" s="125"/>
      <c r="I555" s="125"/>
      <c r="J555" s="99"/>
      <c r="K555" s="99"/>
      <c r="L555" s="99"/>
      <c r="M555" s="99"/>
      <c r="O555" s="84"/>
      <c r="P555" s="84"/>
      <c r="Q555" s="84"/>
      <c r="R555" s="84"/>
      <c r="S555" s="84"/>
      <c r="T555" s="84"/>
      <c r="U555" s="84"/>
      <c r="V555" s="84"/>
    </row>
    <row r="556" ht="15.75" customHeight="1">
      <c r="A556" s="125"/>
      <c r="B556" s="125"/>
      <c r="C556" s="125"/>
      <c r="D556" s="125"/>
      <c r="E556" s="125"/>
      <c r="F556" s="126"/>
      <c r="G556" s="126"/>
      <c r="H556" s="125"/>
      <c r="I556" s="125"/>
      <c r="J556" s="99"/>
      <c r="K556" s="99"/>
      <c r="L556" s="99"/>
      <c r="M556" s="99"/>
      <c r="O556" s="84"/>
      <c r="P556" s="84"/>
      <c r="Q556" s="84"/>
      <c r="R556" s="84"/>
      <c r="S556" s="84"/>
      <c r="T556" s="84"/>
      <c r="U556" s="84"/>
      <c r="V556" s="84"/>
    </row>
    <row r="557" ht="15.75" customHeight="1">
      <c r="A557" s="125"/>
      <c r="B557" s="125"/>
      <c r="C557" s="125"/>
      <c r="D557" s="125"/>
      <c r="E557" s="125"/>
      <c r="F557" s="126"/>
      <c r="G557" s="126"/>
      <c r="H557" s="125"/>
      <c r="I557" s="125"/>
      <c r="J557" s="99"/>
      <c r="K557" s="99"/>
      <c r="L557" s="99"/>
      <c r="M557" s="99"/>
      <c r="O557" s="84"/>
      <c r="P557" s="84"/>
      <c r="Q557" s="84"/>
      <c r="R557" s="84"/>
      <c r="S557" s="84"/>
      <c r="T557" s="84"/>
      <c r="U557" s="84"/>
      <c r="V557" s="84"/>
    </row>
    <row r="558" ht="15.75" customHeight="1">
      <c r="A558" s="125"/>
      <c r="B558" s="125"/>
      <c r="C558" s="125"/>
      <c r="D558" s="125"/>
      <c r="E558" s="125"/>
      <c r="F558" s="126"/>
      <c r="G558" s="126"/>
      <c r="H558" s="125"/>
      <c r="I558" s="125"/>
      <c r="J558" s="99"/>
      <c r="K558" s="99"/>
      <c r="L558" s="99"/>
      <c r="M558" s="99"/>
      <c r="O558" s="84"/>
      <c r="P558" s="84"/>
      <c r="Q558" s="84"/>
      <c r="R558" s="84"/>
      <c r="S558" s="84"/>
      <c r="T558" s="84"/>
      <c r="U558" s="84"/>
      <c r="V558" s="84"/>
    </row>
    <row r="559" ht="15.75" customHeight="1">
      <c r="A559" s="125"/>
      <c r="B559" s="125"/>
      <c r="C559" s="125"/>
      <c r="D559" s="125"/>
      <c r="E559" s="125"/>
      <c r="F559" s="126"/>
      <c r="G559" s="126"/>
      <c r="H559" s="125"/>
      <c r="I559" s="125"/>
      <c r="J559" s="99"/>
      <c r="K559" s="99"/>
      <c r="L559" s="99"/>
      <c r="M559" s="99"/>
      <c r="O559" s="84"/>
      <c r="P559" s="84"/>
      <c r="Q559" s="84"/>
      <c r="R559" s="84"/>
      <c r="S559" s="84"/>
      <c r="T559" s="84"/>
      <c r="U559" s="84"/>
      <c r="V559" s="84"/>
    </row>
    <row r="560" ht="15.75" customHeight="1">
      <c r="A560" s="125"/>
      <c r="B560" s="125"/>
      <c r="C560" s="125"/>
      <c r="D560" s="125"/>
      <c r="E560" s="125"/>
      <c r="F560" s="126"/>
      <c r="G560" s="126"/>
      <c r="H560" s="125"/>
      <c r="I560" s="125"/>
      <c r="J560" s="99"/>
      <c r="K560" s="99"/>
      <c r="L560" s="99"/>
      <c r="M560" s="99"/>
      <c r="O560" s="84"/>
      <c r="P560" s="84"/>
      <c r="Q560" s="84"/>
      <c r="R560" s="84"/>
      <c r="S560" s="84"/>
      <c r="T560" s="84"/>
      <c r="U560" s="84"/>
      <c r="V560" s="84"/>
    </row>
    <row r="561" ht="15.75" customHeight="1">
      <c r="A561" s="125"/>
      <c r="B561" s="125"/>
      <c r="C561" s="125"/>
      <c r="D561" s="125"/>
      <c r="E561" s="125"/>
      <c r="F561" s="126"/>
      <c r="G561" s="126"/>
      <c r="H561" s="125"/>
      <c r="I561" s="125"/>
      <c r="J561" s="99"/>
      <c r="K561" s="99"/>
      <c r="L561" s="99"/>
      <c r="M561" s="99"/>
      <c r="O561" s="84"/>
      <c r="P561" s="84"/>
      <c r="Q561" s="84"/>
      <c r="R561" s="84"/>
      <c r="S561" s="84"/>
      <c r="T561" s="84"/>
      <c r="U561" s="84"/>
      <c r="V561" s="84"/>
    </row>
    <row r="562" ht="15.75" customHeight="1">
      <c r="A562" s="125"/>
      <c r="B562" s="125"/>
      <c r="C562" s="125"/>
      <c r="D562" s="125"/>
      <c r="E562" s="125"/>
      <c r="F562" s="126"/>
      <c r="G562" s="126"/>
      <c r="H562" s="125"/>
      <c r="I562" s="125"/>
      <c r="J562" s="99"/>
      <c r="K562" s="99"/>
      <c r="L562" s="99"/>
      <c r="M562" s="99"/>
      <c r="O562" s="84"/>
      <c r="P562" s="84"/>
      <c r="Q562" s="84"/>
      <c r="R562" s="84"/>
      <c r="S562" s="84"/>
      <c r="T562" s="84"/>
      <c r="U562" s="84"/>
      <c r="V562" s="84"/>
    </row>
    <row r="563" ht="15.75" customHeight="1">
      <c r="A563" s="125"/>
      <c r="B563" s="125"/>
      <c r="C563" s="125"/>
      <c r="D563" s="125"/>
      <c r="E563" s="125"/>
      <c r="F563" s="126"/>
      <c r="G563" s="126"/>
      <c r="H563" s="125"/>
      <c r="I563" s="125"/>
      <c r="J563" s="99"/>
      <c r="K563" s="99"/>
      <c r="L563" s="99"/>
      <c r="M563" s="99"/>
      <c r="O563" s="84"/>
      <c r="P563" s="84"/>
      <c r="Q563" s="84"/>
      <c r="R563" s="84"/>
      <c r="S563" s="84"/>
      <c r="T563" s="84"/>
      <c r="U563" s="84"/>
      <c r="V563" s="84"/>
    </row>
    <row r="564" ht="15.75" customHeight="1">
      <c r="A564" s="125"/>
      <c r="B564" s="125"/>
      <c r="C564" s="125"/>
      <c r="D564" s="125"/>
      <c r="E564" s="125"/>
      <c r="F564" s="126"/>
      <c r="G564" s="126"/>
      <c r="H564" s="125"/>
      <c r="I564" s="125"/>
      <c r="J564" s="99"/>
      <c r="K564" s="99"/>
      <c r="L564" s="99"/>
      <c r="M564" s="99"/>
      <c r="O564" s="84"/>
      <c r="P564" s="84"/>
      <c r="Q564" s="84"/>
      <c r="R564" s="84"/>
      <c r="S564" s="84"/>
      <c r="T564" s="84"/>
      <c r="U564" s="84"/>
      <c r="V564" s="84"/>
    </row>
    <row r="565" ht="15.75" customHeight="1">
      <c r="A565" s="125"/>
      <c r="B565" s="125"/>
      <c r="C565" s="125"/>
      <c r="D565" s="125"/>
      <c r="E565" s="125"/>
      <c r="F565" s="126"/>
      <c r="G565" s="126"/>
      <c r="H565" s="125"/>
      <c r="I565" s="125"/>
      <c r="J565" s="99"/>
      <c r="K565" s="99"/>
      <c r="L565" s="99"/>
      <c r="M565" s="99"/>
      <c r="O565" s="84"/>
      <c r="P565" s="84"/>
      <c r="Q565" s="84"/>
      <c r="R565" s="84"/>
      <c r="S565" s="84"/>
      <c r="T565" s="84"/>
      <c r="U565" s="84"/>
      <c r="V565" s="84"/>
    </row>
    <row r="566" ht="15.75" customHeight="1">
      <c r="A566" s="125"/>
      <c r="B566" s="125"/>
      <c r="C566" s="125"/>
      <c r="D566" s="125"/>
      <c r="E566" s="125"/>
      <c r="F566" s="126"/>
      <c r="G566" s="126"/>
      <c r="H566" s="125"/>
      <c r="I566" s="125"/>
      <c r="J566" s="99"/>
      <c r="K566" s="99"/>
      <c r="L566" s="99"/>
      <c r="M566" s="99"/>
      <c r="O566" s="84"/>
      <c r="P566" s="84"/>
      <c r="Q566" s="84"/>
      <c r="R566" s="84"/>
      <c r="S566" s="84"/>
      <c r="T566" s="84"/>
      <c r="U566" s="84"/>
      <c r="V566" s="84"/>
    </row>
    <row r="567" ht="15.75" customHeight="1">
      <c r="A567" s="125"/>
      <c r="B567" s="125"/>
      <c r="C567" s="125"/>
      <c r="D567" s="125"/>
      <c r="E567" s="125"/>
      <c r="F567" s="126"/>
      <c r="G567" s="126"/>
      <c r="H567" s="125"/>
      <c r="I567" s="125"/>
      <c r="J567" s="99"/>
      <c r="K567" s="99"/>
      <c r="L567" s="99"/>
      <c r="M567" s="99"/>
      <c r="O567" s="84"/>
      <c r="P567" s="84"/>
      <c r="Q567" s="84"/>
      <c r="R567" s="84"/>
      <c r="S567" s="84"/>
      <c r="T567" s="84"/>
      <c r="U567" s="84"/>
      <c r="V567" s="84"/>
    </row>
    <row r="568" ht="15.75" customHeight="1">
      <c r="A568" s="125"/>
      <c r="B568" s="125"/>
      <c r="C568" s="125"/>
      <c r="D568" s="125"/>
      <c r="E568" s="125"/>
      <c r="F568" s="126"/>
      <c r="G568" s="126"/>
      <c r="H568" s="125"/>
      <c r="I568" s="125"/>
      <c r="J568" s="99"/>
      <c r="K568" s="99"/>
      <c r="L568" s="99"/>
      <c r="M568" s="99"/>
      <c r="O568" s="84"/>
      <c r="P568" s="84"/>
      <c r="Q568" s="84"/>
      <c r="R568" s="84"/>
      <c r="S568" s="84"/>
      <c r="T568" s="84"/>
      <c r="U568" s="84"/>
      <c r="V568" s="84"/>
    </row>
    <row r="569" ht="15.75" customHeight="1">
      <c r="A569" s="125"/>
      <c r="B569" s="125"/>
      <c r="C569" s="125"/>
      <c r="D569" s="125"/>
      <c r="E569" s="125"/>
      <c r="F569" s="126"/>
      <c r="G569" s="126"/>
      <c r="H569" s="125"/>
      <c r="I569" s="125"/>
      <c r="J569" s="99"/>
      <c r="K569" s="99"/>
      <c r="L569" s="99"/>
      <c r="M569" s="99"/>
      <c r="O569" s="84"/>
      <c r="P569" s="84"/>
      <c r="Q569" s="84"/>
      <c r="R569" s="84"/>
      <c r="S569" s="84"/>
      <c r="T569" s="84"/>
      <c r="U569" s="84"/>
      <c r="V569" s="84"/>
    </row>
    <row r="570" ht="15.75" customHeight="1">
      <c r="A570" s="125"/>
      <c r="B570" s="125"/>
      <c r="C570" s="125"/>
      <c r="D570" s="125"/>
      <c r="E570" s="125"/>
      <c r="F570" s="126"/>
      <c r="G570" s="126"/>
      <c r="H570" s="125"/>
      <c r="I570" s="125"/>
      <c r="J570" s="99"/>
      <c r="K570" s="99"/>
      <c r="L570" s="99"/>
      <c r="M570" s="99"/>
      <c r="O570" s="84"/>
      <c r="P570" s="84"/>
      <c r="Q570" s="84"/>
      <c r="R570" s="84"/>
      <c r="S570" s="84"/>
      <c r="T570" s="84"/>
      <c r="U570" s="84"/>
      <c r="V570" s="84"/>
    </row>
    <row r="571" ht="15.75" customHeight="1">
      <c r="A571" s="125"/>
      <c r="B571" s="125"/>
      <c r="C571" s="125"/>
      <c r="D571" s="125"/>
      <c r="E571" s="125"/>
      <c r="F571" s="126"/>
      <c r="G571" s="126"/>
      <c r="H571" s="125"/>
      <c r="I571" s="125"/>
      <c r="J571" s="99"/>
      <c r="K571" s="99"/>
      <c r="L571" s="99"/>
      <c r="M571" s="99"/>
      <c r="O571" s="84"/>
      <c r="P571" s="84"/>
      <c r="Q571" s="84"/>
      <c r="R571" s="84"/>
      <c r="S571" s="84"/>
      <c r="T571" s="84"/>
      <c r="U571" s="84"/>
      <c r="V571" s="84"/>
    </row>
    <row r="572" ht="15.75" customHeight="1">
      <c r="A572" s="125"/>
      <c r="B572" s="125"/>
      <c r="C572" s="125"/>
      <c r="D572" s="125"/>
      <c r="E572" s="125"/>
      <c r="F572" s="126"/>
      <c r="G572" s="126"/>
      <c r="H572" s="125"/>
      <c r="I572" s="125"/>
      <c r="J572" s="99"/>
      <c r="K572" s="99"/>
      <c r="L572" s="99"/>
      <c r="M572" s="99"/>
      <c r="O572" s="84"/>
      <c r="P572" s="84"/>
      <c r="Q572" s="84"/>
      <c r="R572" s="84"/>
      <c r="S572" s="84"/>
      <c r="T572" s="84"/>
      <c r="U572" s="84"/>
      <c r="V572" s="84"/>
    </row>
    <row r="573" ht="15.75" customHeight="1">
      <c r="A573" s="125"/>
      <c r="B573" s="125"/>
      <c r="C573" s="125"/>
      <c r="D573" s="125"/>
      <c r="E573" s="125"/>
      <c r="F573" s="126"/>
      <c r="G573" s="126"/>
      <c r="H573" s="125"/>
      <c r="I573" s="125"/>
      <c r="J573" s="99"/>
      <c r="K573" s="99"/>
      <c r="L573" s="99"/>
      <c r="M573" s="99"/>
      <c r="O573" s="84"/>
      <c r="P573" s="84"/>
      <c r="Q573" s="84"/>
      <c r="R573" s="84"/>
      <c r="S573" s="84"/>
      <c r="T573" s="84"/>
      <c r="U573" s="84"/>
      <c r="V573" s="84"/>
    </row>
    <row r="574" ht="15.75" customHeight="1">
      <c r="A574" s="125"/>
      <c r="B574" s="125"/>
      <c r="C574" s="125"/>
      <c r="D574" s="125"/>
      <c r="E574" s="125"/>
      <c r="F574" s="126"/>
      <c r="G574" s="126"/>
      <c r="H574" s="125"/>
      <c r="I574" s="125"/>
      <c r="J574" s="99"/>
      <c r="K574" s="99"/>
      <c r="L574" s="99"/>
      <c r="M574" s="99"/>
      <c r="O574" s="84"/>
      <c r="P574" s="84"/>
      <c r="Q574" s="84"/>
      <c r="R574" s="84"/>
      <c r="S574" s="84"/>
      <c r="T574" s="84"/>
      <c r="U574" s="84"/>
      <c r="V574" s="84"/>
    </row>
    <row r="575" ht="15.75" customHeight="1">
      <c r="A575" s="125"/>
      <c r="B575" s="125"/>
      <c r="C575" s="125"/>
      <c r="D575" s="125"/>
      <c r="E575" s="125"/>
      <c r="F575" s="126"/>
      <c r="G575" s="126"/>
      <c r="H575" s="125"/>
      <c r="I575" s="125"/>
      <c r="J575" s="99"/>
      <c r="K575" s="99"/>
      <c r="L575" s="99"/>
      <c r="M575" s="99"/>
      <c r="O575" s="84"/>
      <c r="P575" s="84"/>
      <c r="Q575" s="84"/>
      <c r="R575" s="84"/>
      <c r="S575" s="84"/>
      <c r="T575" s="84"/>
      <c r="U575" s="84"/>
      <c r="V575" s="84"/>
    </row>
    <row r="576" ht="15.75" customHeight="1">
      <c r="A576" s="125"/>
      <c r="B576" s="125"/>
      <c r="C576" s="125"/>
      <c r="D576" s="125"/>
      <c r="E576" s="125"/>
      <c r="F576" s="126"/>
      <c r="G576" s="126"/>
      <c r="H576" s="125"/>
      <c r="I576" s="125"/>
      <c r="J576" s="99"/>
      <c r="K576" s="99"/>
      <c r="L576" s="99"/>
      <c r="M576" s="99"/>
      <c r="O576" s="84"/>
      <c r="P576" s="84"/>
      <c r="Q576" s="84"/>
      <c r="R576" s="84"/>
      <c r="S576" s="84"/>
      <c r="T576" s="84"/>
      <c r="U576" s="84"/>
      <c r="V576" s="84"/>
    </row>
    <row r="577" ht="15.75" customHeight="1">
      <c r="A577" s="125"/>
      <c r="B577" s="125"/>
      <c r="C577" s="125"/>
      <c r="D577" s="125"/>
      <c r="E577" s="125"/>
      <c r="F577" s="126"/>
      <c r="G577" s="126"/>
      <c r="H577" s="125"/>
      <c r="I577" s="125"/>
      <c r="J577" s="99"/>
      <c r="K577" s="99"/>
      <c r="L577" s="99"/>
      <c r="M577" s="99"/>
      <c r="O577" s="84"/>
      <c r="P577" s="84"/>
      <c r="Q577" s="84"/>
      <c r="R577" s="84"/>
      <c r="S577" s="84"/>
      <c r="T577" s="84"/>
      <c r="U577" s="84"/>
      <c r="V577" s="84"/>
    </row>
    <row r="578" ht="15.75" customHeight="1">
      <c r="A578" s="125"/>
      <c r="B578" s="125"/>
      <c r="C578" s="125"/>
      <c r="D578" s="125"/>
      <c r="E578" s="125"/>
      <c r="F578" s="126"/>
      <c r="G578" s="126"/>
      <c r="H578" s="125"/>
      <c r="I578" s="125"/>
      <c r="J578" s="99"/>
      <c r="K578" s="99"/>
      <c r="L578" s="99"/>
      <c r="M578" s="99"/>
      <c r="O578" s="84"/>
      <c r="P578" s="84"/>
      <c r="Q578" s="84"/>
      <c r="R578" s="84"/>
      <c r="S578" s="84"/>
      <c r="T578" s="84"/>
      <c r="U578" s="84"/>
      <c r="V578" s="84"/>
    </row>
    <row r="579" ht="15.75" customHeight="1">
      <c r="A579" s="125"/>
      <c r="B579" s="125"/>
      <c r="C579" s="125"/>
      <c r="D579" s="125"/>
      <c r="E579" s="125"/>
      <c r="F579" s="126"/>
      <c r="G579" s="126"/>
      <c r="H579" s="125"/>
      <c r="I579" s="125"/>
      <c r="J579" s="99"/>
      <c r="K579" s="99"/>
      <c r="L579" s="99"/>
      <c r="M579" s="99"/>
      <c r="O579" s="84"/>
      <c r="P579" s="84"/>
      <c r="Q579" s="84"/>
      <c r="R579" s="84"/>
      <c r="S579" s="84"/>
      <c r="T579" s="84"/>
      <c r="U579" s="84"/>
      <c r="V579" s="84"/>
    </row>
    <row r="580" ht="15.75" customHeight="1">
      <c r="A580" s="125"/>
      <c r="B580" s="125"/>
      <c r="C580" s="125"/>
      <c r="D580" s="125"/>
      <c r="E580" s="125"/>
      <c r="F580" s="126"/>
      <c r="G580" s="126"/>
      <c r="H580" s="125"/>
      <c r="I580" s="125"/>
      <c r="J580" s="99"/>
      <c r="K580" s="99"/>
      <c r="L580" s="99"/>
      <c r="M580" s="99"/>
      <c r="O580" s="84"/>
      <c r="P580" s="84"/>
      <c r="Q580" s="84"/>
      <c r="R580" s="84"/>
      <c r="S580" s="84"/>
      <c r="T580" s="84"/>
      <c r="U580" s="84"/>
      <c r="V580" s="84"/>
    </row>
    <row r="581" ht="15.75" customHeight="1">
      <c r="A581" s="125"/>
      <c r="B581" s="125"/>
      <c r="C581" s="125"/>
      <c r="D581" s="125"/>
      <c r="E581" s="125"/>
      <c r="F581" s="126"/>
      <c r="G581" s="126"/>
      <c r="H581" s="125"/>
      <c r="I581" s="125"/>
      <c r="J581" s="99"/>
      <c r="K581" s="99"/>
      <c r="L581" s="99"/>
      <c r="M581" s="99"/>
      <c r="O581" s="84"/>
      <c r="P581" s="84"/>
      <c r="Q581" s="84"/>
      <c r="R581" s="84"/>
      <c r="S581" s="84"/>
      <c r="T581" s="84"/>
      <c r="U581" s="84"/>
      <c r="V581" s="84"/>
    </row>
    <row r="582" ht="15.75" customHeight="1">
      <c r="A582" s="125"/>
      <c r="B582" s="125"/>
      <c r="C582" s="125"/>
      <c r="D582" s="125"/>
      <c r="E582" s="125"/>
      <c r="F582" s="126"/>
      <c r="G582" s="126"/>
      <c r="H582" s="125"/>
      <c r="I582" s="125"/>
      <c r="J582" s="99"/>
      <c r="K582" s="99"/>
      <c r="L582" s="99"/>
      <c r="M582" s="99"/>
      <c r="O582" s="84"/>
      <c r="P582" s="84"/>
      <c r="Q582" s="84"/>
      <c r="R582" s="84"/>
      <c r="S582" s="84"/>
      <c r="T582" s="84"/>
      <c r="U582" s="84"/>
      <c r="V582" s="84"/>
    </row>
    <row r="583" ht="15.75" customHeight="1">
      <c r="A583" s="125"/>
      <c r="B583" s="125"/>
      <c r="C583" s="125"/>
      <c r="D583" s="125"/>
      <c r="E583" s="125"/>
      <c r="F583" s="126"/>
      <c r="G583" s="126"/>
      <c r="H583" s="125"/>
      <c r="I583" s="125"/>
      <c r="J583" s="99"/>
      <c r="K583" s="99"/>
      <c r="L583" s="99"/>
      <c r="M583" s="99"/>
      <c r="O583" s="84"/>
      <c r="P583" s="84"/>
      <c r="Q583" s="84"/>
      <c r="R583" s="84"/>
      <c r="S583" s="84"/>
      <c r="T583" s="84"/>
      <c r="U583" s="84"/>
      <c r="V583" s="84"/>
    </row>
    <row r="584" ht="15.75" customHeight="1">
      <c r="A584" s="125"/>
      <c r="B584" s="125"/>
      <c r="C584" s="125"/>
      <c r="D584" s="125"/>
      <c r="E584" s="125"/>
      <c r="F584" s="126"/>
      <c r="G584" s="126"/>
      <c r="H584" s="125"/>
      <c r="I584" s="125"/>
      <c r="J584" s="99"/>
      <c r="K584" s="99"/>
      <c r="L584" s="99"/>
      <c r="M584" s="99"/>
      <c r="O584" s="84"/>
      <c r="P584" s="84"/>
      <c r="Q584" s="84"/>
      <c r="R584" s="84"/>
      <c r="S584" s="84"/>
      <c r="T584" s="84"/>
      <c r="U584" s="84"/>
      <c r="V584" s="84"/>
    </row>
    <row r="585" ht="15.75" customHeight="1">
      <c r="A585" s="125"/>
      <c r="B585" s="125"/>
      <c r="C585" s="125"/>
      <c r="D585" s="125"/>
      <c r="E585" s="125"/>
      <c r="F585" s="126"/>
      <c r="G585" s="126"/>
      <c r="H585" s="125"/>
      <c r="I585" s="125"/>
      <c r="J585" s="99"/>
      <c r="K585" s="99"/>
      <c r="L585" s="99"/>
      <c r="M585" s="99"/>
      <c r="O585" s="84"/>
      <c r="P585" s="84"/>
      <c r="Q585" s="84"/>
      <c r="R585" s="84"/>
      <c r="S585" s="84"/>
      <c r="T585" s="84"/>
      <c r="U585" s="84"/>
      <c r="V585" s="84"/>
    </row>
    <row r="586" ht="15.75" customHeight="1">
      <c r="A586" s="125"/>
      <c r="B586" s="125"/>
      <c r="C586" s="125"/>
      <c r="D586" s="125"/>
      <c r="E586" s="125"/>
      <c r="F586" s="126"/>
      <c r="G586" s="126"/>
      <c r="H586" s="125"/>
      <c r="I586" s="125"/>
      <c r="J586" s="99"/>
      <c r="K586" s="99"/>
      <c r="L586" s="99"/>
      <c r="M586" s="99"/>
      <c r="O586" s="84"/>
      <c r="P586" s="84"/>
      <c r="Q586" s="84"/>
      <c r="R586" s="84"/>
      <c r="S586" s="84"/>
      <c r="T586" s="84"/>
      <c r="U586" s="84"/>
      <c r="V586" s="84"/>
    </row>
    <row r="587" ht="15.75" customHeight="1">
      <c r="A587" s="125"/>
      <c r="B587" s="125"/>
      <c r="C587" s="125"/>
      <c r="D587" s="125"/>
      <c r="E587" s="125"/>
      <c r="F587" s="126"/>
      <c r="G587" s="126"/>
      <c r="H587" s="125"/>
      <c r="I587" s="125"/>
      <c r="J587" s="99"/>
      <c r="K587" s="99"/>
      <c r="L587" s="99"/>
      <c r="M587" s="99"/>
      <c r="O587" s="84"/>
      <c r="P587" s="84"/>
      <c r="Q587" s="84"/>
      <c r="R587" s="84"/>
      <c r="S587" s="84"/>
      <c r="T587" s="84"/>
      <c r="U587" s="84"/>
      <c r="V587" s="84"/>
    </row>
    <row r="588" ht="15.75" customHeight="1">
      <c r="A588" s="125"/>
      <c r="B588" s="125"/>
      <c r="C588" s="125"/>
      <c r="D588" s="125"/>
      <c r="E588" s="125"/>
      <c r="F588" s="126"/>
      <c r="G588" s="126"/>
      <c r="H588" s="125"/>
      <c r="I588" s="125"/>
      <c r="J588" s="99"/>
      <c r="K588" s="99"/>
      <c r="L588" s="99"/>
      <c r="M588" s="99"/>
      <c r="O588" s="84"/>
      <c r="P588" s="84"/>
      <c r="Q588" s="84"/>
      <c r="R588" s="84"/>
      <c r="S588" s="84"/>
      <c r="T588" s="84"/>
      <c r="U588" s="84"/>
      <c r="V588" s="84"/>
    </row>
    <row r="589" ht="15.75" customHeight="1">
      <c r="A589" s="125"/>
      <c r="B589" s="125"/>
      <c r="C589" s="125"/>
      <c r="D589" s="125"/>
      <c r="E589" s="125"/>
      <c r="F589" s="126"/>
      <c r="G589" s="126"/>
      <c r="H589" s="125"/>
      <c r="I589" s="125"/>
      <c r="J589" s="99"/>
      <c r="K589" s="99"/>
      <c r="L589" s="99"/>
      <c r="M589" s="99"/>
      <c r="O589" s="84"/>
      <c r="P589" s="84"/>
      <c r="Q589" s="84"/>
      <c r="R589" s="84"/>
      <c r="S589" s="84"/>
      <c r="T589" s="84"/>
      <c r="U589" s="84"/>
      <c r="V589" s="84"/>
    </row>
    <row r="590" ht="15.75" customHeight="1">
      <c r="A590" s="125"/>
      <c r="B590" s="125"/>
      <c r="C590" s="125"/>
      <c r="D590" s="125"/>
      <c r="E590" s="125"/>
      <c r="F590" s="126"/>
      <c r="G590" s="126"/>
      <c r="H590" s="125"/>
      <c r="I590" s="125"/>
      <c r="J590" s="99"/>
      <c r="K590" s="99"/>
      <c r="L590" s="99"/>
      <c r="M590" s="99"/>
      <c r="O590" s="84"/>
      <c r="P590" s="84"/>
      <c r="Q590" s="84"/>
      <c r="R590" s="84"/>
      <c r="S590" s="84"/>
      <c r="T590" s="84"/>
      <c r="U590" s="84"/>
      <c r="V590" s="84"/>
    </row>
    <row r="591" ht="15.75" customHeight="1">
      <c r="A591" s="125"/>
      <c r="B591" s="125"/>
      <c r="C591" s="125"/>
      <c r="D591" s="125"/>
      <c r="E591" s="125"/>
      <c r="F591" s="126"/>
      <c r="G591" s="126"/>
      <c r="H591" s="125"/>
      <c r="I591" s="125"/>
      <c r="J591" s="99"/>
      <c r="K591" s="99"/>
      <c r="L591" s="99"/>
      <c r="M591" s="99"/>
      <c r="O591" s="84"/>
      <c r="P591" s="84"/>
      <c r="Q591" s="84"/>
      <c r="R591" s="84"/>
      <c r="S591" s="84"/>
      <c r="T591" s="84"/>
      <c r="U591" s="84"/>
      <c r="V591" s="84"/>
    </row>
    <row r="592" ht="15.75" customHeight="1">
      <c r="A592" s="125"/>
      <c r="B592" s="125"/>
      <c r="C592" s="125"/>
      <c r="D592" s="125"/>
      <c r="E592" s="125"/>
      <c r="F592" s="126"/>
      <c r="G592" s="126"/>
      <c r="H592" s="125"/>
      <c r="I592" s="125"/>
      <c r="J592" s="99"/>
      <c r="K592" s="99"/>
      <c r="L592" s="99"/>
      <c r="M592" s="99"/>
      <c r="O592" s="84"/>
      <c r="P592" s="84"/>
      <c r="Q592" s="84"/>
      <c r="R592" s="84"/>
      <c r="S592" s="84"/>
      <c r="T592" s="84"/>
      <c r="U592" s="84"/>
      <c r="V592" s="84"/>
    </row>
    <row r="593" ht="15.75" customHeight="1">
      <c r="A593" s="125"/>
      <c r="B593" s="125"/>
      <c r="C593" s="125"/>
      <c r="D593" s="125"/>
      <c r="E593" s="125"/>
      <c r="F593" s="126"/>
      <c r="G593" s="126"/>
      <c r="H593" s="125"/>
      <c r="I593" s="125"/>
      <c r="J593" s="99"/>
      <c r="K593" s="99"/>
      <c r="L593" s="99"/>
      <c r="M593" s="99"/>
      <c r="O593" s="84"/>
      <c r="P593" s="84"/>
      <c r="Q593" s="84"/>
      <c r="R593" s="84"/>
      <c r="S593" s="84"/>
      <c r="T593" s="84"/>
      <c r="U593" s="84"/>
      <c r="V593" s="84"/>
    </row>
    <row r="594" ht="15.75" customHeight="1">
      <c r="A594" s="125"/>
      <c r="B594" s="125"/>
      <c r="C594" s="125"/>
      <c r="D594" s="125"/>
      <c r="E594" s="125"/>
      <c r="F594" s="126"/>
      <c r="G594" s="126"/>
      <c r="H594" s="125"/>
      <c r="I594" s="125"/>
      <c r="J594" s="99"/>
      <c r="K594" s="99"/>
      <c r="L594" s="99"/>
      <c r="M594" s="99"/>
      <c r="O594" s="84"/>
      <c r="P594" s="84"/>
      <c r="Q594" s="84"/>
      <c r="R594" s="84"/>
      <c r="S594" s="84"/>
      <c r="T594" s="84"/>
      <c r="U594" s="84"/>
      <c r="V594" s="84"/>
    </row>
    <row r="595" ht="15.75" customHeight="1">
      <c r="A595" s="125"/>
      <c r="B595" s="125"/>
      <c r="C595" s="125"/>
      <c r="D595" s="125"/>
      <c r="E595" s="125"/>
      <c r="F595" s="126"/>
      <c r="G595" s="126"/>
      <c r="H595" s="125"/>
      <c r="I595" s="125"/>
      <c r="J595" s="99"/>
      <c r="K595" s="99"/>
      <c r="L595" s="99"/>
      <c r="M595" s="99"/>
      <c r="O595" s="84"/>
      <c r="P595" s="84"/>
      <c r="Q595" s="84"/>
      <c r="R595" s="84"/>
      <c r="S595" s="84"/>
      <c r="T595" s="84"/>
      <c r="U595" s="84"/>
      <c r="V595" s="84"/>
    </row>
    <row r="596" ht="15.75" customHeight="1">
      <c r="A596" s="125"/>
      <c r="B596" s="125"/>
      <c r="C596" s="125"/>
      <c r="D596" s="125"/>
      <c r="E596" s="125"/>
      <c r="F596" s="126"/>
      <c r="G596" s="126"/>
      <c r="H596" s="125"/>
      <c r="I596" s="125"/>
      <c r="J596" s="99"/>
      <c r="K596" s="99"/>
      <c r="L596" s="99"/>
      <c r="M596" s="99"/>
      <c r="O596" s="84"/>
      <c r="P596" s="84"/>
      <c r="Q596" s="84"/>
      <c r="R596" s="84"/>
      <c r="S596" s="84"/>
      <c r="T596" s="84"/>
      <c r="U596" s="84"/>
      <c r="V596" s="84"/>
    </row>
    <row r="597" ht="15.75" customHeight="1">
      <c r="A597" s="125"/>
      <c r="B597" s="125"/>
      <c r="C597" s="125"/>
      <c r="D597" s="125"/>
      <c r="E597" s="125"/>
      <c r="F597" s="126"/>
      <c r="G597" s="126"/>
      <c r="H597" s="125"/>
      <c r="I597" s="125"/>
      <c r="J597" s="99"/>
      <c r="K597" s="99"/>
      <c r="L597" s="99"/>
      <c r="M597" s="99"/>
      <c r="O597" s="84"/>
      <c r="P597" s="84"/>
      <c r="Q597" s="84"/>
      <c r="R597" s="84"/>
      <c r="S597" s="84"/>
      <c r="T597" s="84"/>
      <c r="U597" s="84"/>
      <c r="V597" s="84"/>
    </row>
    <row r="598" ht="15.75" customHeight="1">
      <c r="A598" s="125"/>
      <c r="B598" s="125"/>
      <c r="C598" s="125"/>
      <c r="D598" s="125"/>
      <c r="E598" s="125"/>
      <c r="F598" s="126"/>
      <c r="G598" s="126"/>
      <c r="H598" s="125"/>
      <c r="I598" s="125"/>
      <c r="J598" s="99"/>
      <c r="K598" s="99"/>
      <c r="L598" s="99"/>
      <c r="M598" s="99"/>
      <c r="O598" s="84"/>
      <c r="P598" s="84"/>
      <c r="Q598" s="84"/>
      <c r="R598" s="84"/>
      <c r="S598" s="84"/>
      <c r="T598" s="84"/>
      <c r="U598" s="84"/>
      <c r="V598" s="84"/>
    </row>
    <row r="599" ht="15.75" customHeight="1">
      <c r="A599" s="125"/>
      <c r="B599" s="125"/>
      <c r="C599" s="125"/>
      <c r="D599" s="125"/>
      <c r="E599" s="125"/>
      <c r="F599" s="126"/>
      <c r="G599" s="126"/>
      <c r="H599" s="125"/>
      <c r="I599" s="125"/>
      <c r="J599" s="99"/>
      <c r="K599" s="99"/>
      <c r="L599" s="99"/>
      <c r="M599" s="99"/>
      <c r="O599" s="84"/>
      <c r="P599" s="84"/>
      <c r="Q599" s="84"/>
      <c r="R599" s="84"/>
      <c r="S599" s="84"/>
      <c r="T599" s="84"/>
      <c r="U599" s="84"/>
      <c r="V599" s="84"/>
    </row>
    <row r="600" ht="15.75" customHeight="1">
      <c r="A600" s="125"/>
      <c r="B600" s="125"/>
      <c r="C600" s="125"/>
      <c r="D600" s="125"/>
      <c r="E600" s="125"/>
      <c r="F600" s="126"/>
      <c r="G600" s="126"/>
      <c r="H600" s="125"/>
      <c r="I600" s="125"/>
      <c r="J600" s="99"/>
      <c r="K600" s="99"/>
      <c r="L600" s="99"/>
      <c r="M600" s="99"/>
      <c r="O600" s="84"/>
      <c r="P600" s="84"/>
      <c r="Q600" s="84"/>
      <c r="R600" s="84"/>
      <c r="S600" s="84"/>
      <c r="T600" s="84"/>
      <c r="U600" s="84"/>
      <c r="V600" s="84"/>
    </row>
    <row r="601" ht="15.75" customHeight="1">
      <c r="A601" s="125"/>
      <c r="B601" s="125"/>
      <c r="C601" s="125"/>
      <c r="D601" s="125"/>
      <c r="E601" s="125"/>
      <c r="F601" s="126"/>
      <c r="G601" s="126"/>
      <c r="H601" s="125"/>
      <c r="I601" s="125"/>
      <c r="J601" s="99"/>
      <c r="K601" s="99"/>
      <c r="L601" s="99"/>
      <c r="M601" s="99"/>
      <c r="O601" s="84"/>
      <c r="P601" s="84"/>
      <c r="Q601" s="84"/>
      <c r="R601" s="84"/>
      <c r="S601" s="84"/>
      <c r="T601" s="84"/>
      <c r="U601" s="84"/>
      <c r="V601" s="84"/>
    </row>
    <row r="602" ht="15.75" customHeight="1">
      <c r="A602" s="125"/>
      <c r="B602" s="125"/>
      <c r="C602" s="125"/>
      <c r="D602" s="125"/>
      <c r="E602" s="125"/>
      <c r="F602" s="126"/>
      <c r="G602" s="126"/>
      <c r="H602" s="125"/>
      <c r="I602" s="125"/>
      <c r="J602" s="99"/>
      <c r="K602" s="99"/>
      <c r="L602" s="99"/>
      <c r="M602" s="99"/>
      <c r="O602" s="84"/>
      <c r="P602" s="84"/>
      <c r="Q602" s="84"/>
      <c r="R602" s="84"/>
      <c r="S602" s="84"/>
      <c r="T602" s="84"/>
      <c r="U602" s="84"/>
      <c r="V602" s="84"/>
    </row>
    <row r="603" ht="15.75" customHeight="1">
      <c r="A603" s="125"/>
      <c r="B603" s="125"/>
      <c r="C603" s="125"/>
      <c r="D603" s="125"/>
      <c r="E603" s="125"/>
      <c r="F603" s="126"/>
      <c r="G603" s="126"/>
      <c r="H603" s="125"/>
      <c r="I603" s="125"/>
      <c r="J603" s="99"/>
      <c r="K603" s="99"/>
      <c r="L603" s="99"/>
      <c r="M603" s="99"/>
      <c r="O603" s="84"/>
      <c r="P603" s="84"/>
      <c r="Q603" s="84"/>
      <c r="R603" s="84"/>
      <c r="S603" s="84"/>
      <c r="T603" s="84"/>
      <c r="U603" s="84"/>
      <c r="V603" s="84"/>
    </row>
    <row r="604" ht="15.75" customHeight="1">
      <c r="A604" s="125"/>
      <c r="B604" s="125"/>
      <c r="C604" s="125"/>
      <c r="D604" s="125"/>
      <c r="E604" s="125"/>
      <c r="F604" s="126"/>
      <c r="G604" s="126"/>
      <c r="H604" s="125"/>
      <c r="I604" s="125"/>
      <c r="J604" s="99"/>
      <c r="K604" s="99"/>
      <c r="L604" s="99"/>
      <c r="M604" s="99"/>
      <c r="O604" s="84"/>
      <c r="P604" s="84"/>
      <c r="Q604" s="84"/>
      <c r="R604" s="84"/>
      <c r="S604" s="84"/>
      <c r="T604" s="84"/>
      <c r="U604" s="84"/>
      <c r="V604" s="84"/>
    </row>
    <row r="605" ht="15.75" customHeight="1">
      <c r="A605" s="125"/>
      <c r="B605" s="125"/>
      <c r="C605" s="125"/>
      <c r="D605" s="125"/>
      <c r="E605" s="125"/>
      <c r="F605" s="126"/>
      <c r="G605" s="126"/>
      <c r="H605" s="125"/>
      <c r="I605" s="125"/>
      <c r="J605" s="99"/>
      <c r="K605" s="99"/>
      <c r="L605" s="99"/>
      <c r="M605" s="99"/>
      <c r="O605" s="84"/>
      <c r="P605" s="84"/>
      <c r="Q605" s="84"/>
      <c r="R605" s="84"/>
      <c r="S605" s="84"/>
      <c r="T605" s="84"/>
      <c r="U605" s="84"/>
      <c r="V605" s="84"/>
    </row>
    <row r="606" ht="15.75" customHeight="1">
      <c r="A606" s="125"/>
      <c r="B606" s="125"/>
      <c r="C606" s="125"/>
      <c r="D606" s="125"/>
      <c r="E606" s="125"/>
      <c r="F606" s="126"/>
      <c r="G606" s="126"/>
      <c r="H606" s="125"/>
      <c r="I606" s="125"/>
      <c r="J606" s="99"/>
      <c r="K606" s="99"/>
      <c r="L606" s="99"/>
      <c r="M606" s="99"/>
      <c r="O606" s="84"/>
      <c r="P606" s="84"/>
      <c r="Q606" s="84"/>
      <c r="R606" s="84"/>
      <c r="S606" s="84"/>
      <c r="T606" s="84"/>
      <c r="U606" s="84"/>
      <c r="V606" s="84"/>
    </row>
    <row r="607" ht="15.75" customHeight="1">
      <c r="A607" s="125"/>
      <c r="B607" s="125"/>
      <c r="C607" s="125"/>
      <c r="D607" s="125"/>
      <c r="E607" s="125"/>
      <c r="F607" s="126"/>
      <c r="G607" s="126"/>
      <c r="H607" s="125"/>
      <c r="I607" s="125"/>
      <c r="J607" s="99"/>
      <c r="K607" s="99"/>
      <c r="L607" s="99"/>
      <c r="M607" s="99"/>
      <c r="O607" s="84"/>
      <c r="P607" s="84"/>
      <c r="Q607" s="84"/>
      <c r="R607" s="84"/>
      <c r="S607" s="84"/>
      <c r="T607" s="84"/>
      <c r="U607" s="84"/>
      <c r="V607" s="84"/>
    </row>
    <row r="608" ht="15.75" customHeight="1">
      <c r="A608" s="125"/>
      <c r="B608" s="125"/>
      <c r="C608" s="125"/>
      <c r="D608" s="125"/>
      <c r="E608" s="125"/>
      <c r="F608" s="126"/>
      <c r="G608" s="126"/>
      <c r="H608" s="125"/>
      <c r="I608" s="125"/>
      <c r="J608" s="99"/>
      <c r="K608" s="99"/>
      <c r="L608" s="99"/>
      <c r="M608" s="99"/>
      <c r="O608" s="84"/>
      <c r="P608" s="84"/>
      <c r="Q608" s="84"/>
      <c r="R608" s="84"/>
      <c r="S608" s="84"/>
      <c r="T608" s="84"/>
      <c r="U608" s="84"/>
      <c r="V608" s="84"/>
    </row>
    <row r="609" ht="15.75" customHeight="1">
      <c r="A609" s="125"/>
      <c r="B609" s="125"/>
      <c r="C609" s="125"/>
      <c r="D609" s="125"/>
      <c r="E609" s="125"/>
      <c r="F609" s="126"/>
      <c r="G609" s="126"/>
      <c r="H609" s="125"/>
      <c r="I609" s="125"/>
      <c r="J609" s="99"/>
      <c r="K609" s="99"/>
      <c r="L609" s="99"/>
      <c r="M609" s="99"/>
      <c r="O609" s="84"/>
      <c r="P609" s="84"/>
      <c r="Q609" s="84"/>
      <c r="R609" s="84"/>
      <c r="S609" s="84"/>
      <c r="T609" s="84"/>
      <c r="U609" s="84"/>
      <c r="V609" s="84"/>
    </row>
    <row r="610" ht="15.75" customHeight="1">
      <c r="A610" s="125"/>
      <c r="B610" s="125"/>
      <c r="C610" s="125"/>
      <c r="D610" s="125"/>
      <c r="E610" s="125"/>
      <c r="F610" s="126"/>
      <c r="G610" s="126"/>
      <c r="H610" s="125"/>
      <c r="I610" s="125"/>
      <c r="J610" s="99"/>
      <c r="K610" s="99"/>
      <c r="L610" s="99"/>
      <c r="M610" s="99"/>
      <c r="O610" s="84"/>
      <c r="P610" s="84"/>
      <c r="Q610" s="84"/>
      <c r="R610" s="84"/>
      <c r="S610" s="84"/>
      <c r="T610" s="84"/>
      <c r="U610" s="84"/>
      <c r="V610" s="84"/>
    </row>
    <row r="611" ht="15.75" customHeight="1">
      <c r="A611" s="125"/>
      <c r="B611" s="125"/>
      <c r="C611" s="125"/>
      <c r="D611" s="125"/>
      <c r="E611" s="125"/>
      <c r="F611" s="126"/>
      <c r="G611" s="126"/>
      <c r="H611" s="125"/>
      <c r="I611" s="125"/>
      <c r="J611" s="99"/>
      <c r="K611" s="99"/>
      <c r="L611" s="99"/>
      <c r="M611" s="99"/>
      <c r="O611" s="84"/>
      <c r="P611" s="84"/>
      <c r="Q611" s="84"/>
      <c r="R611" s="84"/>
      <c r="S611" s="84"/>
      <c r="T611" s="84"/>
      <c r="U611" s="84"/>
      <c r="V611" s="84"/>
    </row>
    <row r="612" ht="15.75" customHeight="1">
      <c r="A612" s="125"/>
      <c r="B612" s="125"/>
      <c r="C612" s="125"/>
      <c r="D612" s="125"/>
      <c r="E612" s="125"/>
      <c r="F612" s="126"/>
      <c r="G612" s="126"/>
      <c r="H612" s="125"/>
      <c r="I612" s="125"/>
      <c r="J612" s="99"/>
      <c r="K612" s="99"/>
      <c r="L612" s="99"/>
      <c r="M612" s="99"/>
      <c r="O612" s="84"/>
      <c r="P612" s="84"/>
      <c r="Q612" s="84"/>
      <c r="R612" s="84"/>
      <c r="S612" s="84"/>
      <c r="T612" s="84"/>
      <c r="U612" s="84"/>
      <c r="V612" s="84"/>
    </row>
    <row r="613" ht="15.75" customHeight="1">
      <c r="A613" s="125"/>
      <c r="B613" s="125"/>
      <c r="C613" s="125"/>
      <c r="D613" s="125"/>
      <c r="E613" s="125"/>
      <c r="F613" s="126"/>
      <c r="G613" s="126"/>
      <c r="H613" s="125"/>
      <c r="I613" s="125"/>
      <c r="J613" s="99"/>
      <c r="K613" s="99"/>
      <c r="L613" s="99"/>
      <c r="M613" s="99"/>
      <c r="O613" s="84"/>
      <c r="P613" s="84"/>
      <c r="Q613" s="84"/>
      <c r="R613" s="84"/>
      <c r="S613" s="84"/>
      <c r="T613" s="84"/>
      <c r="U613" s="84"/>
      <c r="V613" s="84"/>
    </row>
    <row r="614" ht="15.75" customHeight="1">
      <c r="A614" s="125"/>
      <c r="B614" s="125"/>
      <c r="C614" s="125"/>
      <c r="D614" s="125"/>
      <c r="E614" s="125"/>
      <c r="F614" s="126"/>
      <c r="G614" s="126"/>
      <c r="H614" s="125"/>
      <c r="I614" s="125"/>
      <c r="J614" s="99"/>
      <c r="K614" s="99"/>
      <c r="L614" s="99"/>
      <c r="M614" s="99"/>
      <c r="O614" s="84"/>
      <c r="P614" s="84"/>
      <c r="Q614" s="84"/>
      <c r="R614" s="84"/>
      <c r="S614" s="84"/>
      <c r="T614" s="84"/>
      <c r="U614" s="84"/>
      <c r="V614" s="84"/>
    </row>
    <row r="615" ht="15.75" customHeight="1">
      <c r="A615" s="125"/>
      <c r="B615" s="125"/>
      <c r="C615" s="125"/>
      <c r="D615" s="125"/>
      <c r="E615" s="125"/>
      <c r="F615" s="126"/>
      <c r="G615" s="126"/>
      <c r="H615" s="125"/>
      <c r="I615" s="125"/>
      <c r="J615" s="99"/>
      <c r="K615" s="99"/>
      <c r="L615" s="99"/>
      <c r="M615" s="99"/>
      <c r="O615" s="84"/>
      <c r="P615" s="84"/>
      <c r="Q615" s="84"/>
      <c r="R615" s="84"/>
      <c r="S615" s="84"/>
      <c r="T615" s="84"/>
      <c r="U615" s="84"/>
      <c r="V615" s="84"/>
    </row>
    <row r="616" ht="15.75" customHeight="1">
      <c r="A616" s="125"/>
      <c r="B616" s="125"/>
      <c r="C616" s="125"/>
      <c r="D616" s="125"/>
      <c r="E616" s="125"/>
      <c r="F616" s="126"/>
      <c r="G616" s="126"/>
      <c r="H616" s="125"/>
      <c r="I616" s="125"/>
      <c r="J616" s="99"/>
      <c r="K616" s="99"/>
      <c r="L616" s="99"/>
      <c r="M616" s="99"/>
      <c r="O616" s="84"/>
      <c r="P616" s="84"/>
      <c r="Q616" s="84"/>
      <c r="R616" s="84"/>
      <c r="S616" s="84"/>
      <c r="T616" s="84"/>
      <c r="U616" s="84"/>
      <c r="V616" s="84"/>
    </row>
    <row r="617" ht="15.75" customHeight="1">
      <c r="A617" s="125"/>
      <c r="B617" s="125"/>
      <c r="C617" s="125"/>
      <c r="D617" s="125"/>
      <c r="E617" s="125"/>
      <c r="F617" s="126"/>
      <c r="G617" s="126"/>
      <c r="H617" s="125"/>
      <c r="I617" s="125"/>
      <c r="J617" s="99"/>
      <c r="K617" s="99"/>
      <c r="L617" s="99"/>
      <c r="M617" s="99"/>
      <c r="O617" s="84"/>
      <c r="P617" s="84"/>
      <c r="Q617" s="84"/>
      <c r="R617" s="84"/>
      <c r="S617" s="84"/>
      <c r="T617" s="84"/>
      <c r="U617" s="84"/>
      <c r="V617" s="84"/>
    </row>
    <row r="618" ht="15.75" customHeight="1">
      <c r="A618" s="125"/>
      <c r="B618" s="125"/>
      <c r="C618" s="125"/>
      <c r="D618" s="125"/>
      <c r="E618" s="125"/>
      <c r="F618" s="126"/>
      <c r="G618" s="126"/>
      <c r="H618" s="125"/>
      <c r="I618" s="125"/>
      <c r="J618" s="99"/>
      <c r="K618" s="99"/>
      <c r="L618" s="99"/>
      <c r="M618" s="99"/>
      <c r="O618" s="84"/>
      <c r="P618" s="84"/>
      <c r="Q618" s="84"/>
      <c r="R618" s="84"/>
      <c r="S618" s="84"/>
      <c r="T618" s="84"/>
      <c r="U618" s="84"/>
      <c r="V618" s="84"/>
    </row>
    <row r="619" ht="15.75" customHeight="1">
      <c r="A619" s="125"/>
      <c r="B619" s="125"/>
      <c r="C619" s="125"/>
      <c r="D619" s="125"/>
      <c r="E619" s="125"/>
      <c r="F619" s="126"/>
      <c r="G619" s="126"/>
      <c r="H619" s="125"/>
      <c r="I619" s="125"/>
      <c r="J619" s="99"/>
      <c r="K619" s="99"/>
      <c r="L619" s="99"/>
      <c r="M619" s="99"/>
      <c r="O619" s="84"/>
      <c r="P619" s="84"/>
      <c r="Q619" s="84"/>
      <c r="R619" s="84"/>
      <c r="S619" s="84"/>
      <c r="T619" s="84"/>
      <c r="U619" s="84"/>
      <c r="V619" s="84"/>
    </row>
    <row r="620" ht="15.75" customHeight="1">
      <c r="A620" s="125"/>
      <c r="B620" s="125"/>
      <c r="C620" s="125"/>
      <c r="D620" s="125"/>
      <c r="E620" s="125"/>
      <c r="F620" s="126"/>
      <c r="G620" s="126"/>
      <c r="H620" s="125"/>
      <c r="I620" s="125"/>
      <c r="J620" s="99"/>
      <c r="K620" s="99"/>
      <c r="L620" s="99"/>
      <c r="M620" s="99"/>
      <c r="O620" s="84"/>
      <c r="P620" s="84"/>
      <c r="Q620" s="84"/>
      <c r="R620" s="84"/>
      <c r="S620" s="84"/>
      <c r="T620" s="84"/>
      <c r="U620" s="84"/>
      <c r="V620" s="84"/>
    </row>
    <row r="621" ht="15.75" customHeight="1">
      <c r="A621" s="125"/>
      <c r="B621" s="125"/>
      <c r="C621" s="125"/>
      <c r="D621" s="125"/>
      <c r="E621" s="125"/>
      <c r="F621" s="126"/>
      <c r="G621" s="126"/>
      <c r="H621" s="125"/>
      <c r="I621" s="125"/>
      <c r="J621" s="99"/>
      <c r="K621" s="99"/>
      <c r="L621" s="99"/>
      <c r="M621" s="99"/>
      <c r="O621" s="84"/>
      <c r="P621" s="84"/>
      <c r="Q621" s="84"/>
      <c r="R621" s="84"/>
      <c r="S621" s="84"/>
      <c r="T621" s="84"/>
      <c r="U621" s="84"/>
      <c r="V621" s="84"/>
    </row>
    <row r="622" ht="15.75" customHeight="1">
      <c r="A622" s="125"/>
      <c r="B622" s="125"/>
      <c r="C622" s="125"/>
      <c r="D622" s="125"/>
      <c r="E622" s="125"/>
      <c r="F622" s="126"/>
      <c r="G622" s="126"/>
      <c r="H622" s="125"/>
      <c r="I622" s="125"/>
      <c r="J622" s="99"/>
      <c r="K622" s="99"/>
      <c r="L622" s="99"/>
      <c r="M622" s="99"/>
      <c r="O622" s="84"/>
      <c r="P622" s="84"/>
      <c r="Q622" s="84"/>
      <c r="R622" s="84"/>
      <c r="S622" s="84"/>
      <c r="T622" s="84"/>
      <c r="U622" s="84"/>
      <c r="V622" s="84"/>
    </row>
    <row r="623" ht="15.75" customHeight="1">
      <c r="A623" s="125"/>
      <c r="B623" s="125"/>
      <c r="C623" s="125"/>
      <c r="D623" s="125"/>
      <c r="E623" s="125"/>
      <c r="F623" s="126"/>
      <c r="G623" s="126"/>
      <c r="H623" s="125"/>
      <c r="I623" s="125"/>
      <c r="J623" s="99"/>
      <c r="K623" s="99"/>
      <c r="L623" s="99"/>
      <c r="M623" s="99"/>
      <c r="O623" s="84"/>
      <c r="P623" s="84"/>
      <c r="Q623" s="84"/>
      <c r="R623" s="84"/>
      <c r="S623" s="84"/>
      <c r="T623" s="84"/>
      <c r="U623" s="84"/>
      <c r="V623" s="84"/>
    </row>
    <row r="624" ht="15.75" customHeight="1">
      <c r="A624" s="125"/>
      <c r="B624" s="125"/>
      <c r="C624" s="125"/>
      <c r="D624" s="125"/>
      <c r="E624" s="125"/>
      <c r="F624" s="126"/>
      <c r="G624" s="126"/>
      <c r="H624" s="125"/>
      <c r="I624" s="125"/>
      <c r="J624" s="99"/>
      <c r="K624" s="99"/>
      <c r="L624" s="99"/>
      <c r="M624" s="99"/>
      <c r="O624" s="84"/>
      <c r="P624" s="84"/>
      <c r="Q624" s="84"/>
      <c r="R624" s="84"/>
      <c r="S624" s="84"/>
      <c r="T624" s="84"/>
      <c r="U624" s="84"/>
      <c r="V624" s="84"/>
    </row>
    <row r="625" ht="15.75" customHeight="1">
      <c r="A625" s="125"/>
      <c r="B625" s="125"/>
      <c r="C625" s="125"/>
      <c r="D625" s="125"/>
      <c r="E625" s="125"/>
      <c r="F625" s="126"/>
      <c r="G625" s="126"/>
      <c r="H625" s="125"/>
      <c r="I625" s="125"/>
      <c r="J625" s="99"/>
      <c r="K625" s="99"/>
      <c r="L625" s="99"/>
      <c r="M625" s="99"/>
      <c r="O625" s="84"/>
      <c r="P625" s="84"/>
      <c r="Q625" s="84"/>
      <c r="R625" s="84"/>
      <c r="S625" s="84"/>
      <c r="T625" s="84"/>
      <c r="U625" s="84"/>
      <c r="V625" s="84"/>
    </row>
    <row r="626" ht="15.75" customHeight="1">
      <c r="A626" s="125"/>
      <c r="B626" s="125"/>
      <c r="C626" s="125"/>
      <c r="D626" s="125"/>
      <c r="E626" s="125"/>
      <c r="F626" s="126"/>
      <c r="G626" s="126"/>
      <c r="H626" s="125"/>
      <c r="I626" s="125"/>
      <c r="J626" s="99"/>
      <c r="K626" s="99"/>
      <c r="L626" s="99"/>
      <c r="M626" s="99"/>
      <c r="O626" s="84"/>
      <c r="P626" s="84"/>
      <c r="Q626" s="84"/>
      <c r="R626" s="84"/>
      <c r="S626" s="84"/>
      <c r="T626" s="84"/>
      <c r="U626" s="84"/>
      <c r="V626" s="84"/>
    </row>
    <row r="627" ht="15.75" customHeight="1">
      <c r="A627" s="125"/>
      <c r="B627" s="125"/>
      <c r="C627" s="125"/>
      <c r="D627" s="125"/>
      <c r="E627" s="125"/>
      <c r="F627" s="126"/>
      <c r="G627" s="126"/>
      <c r="H627" s="125"/>
      <c r="I627" s="125"/>
      <c r="J627" s="99"/>
      <c r="K627" s="99"/>
      <c r="L627" s="99"/>
      <c r="M627" s="99"/>
      <c r="O627" s="84"/>
      <c r="P627" s="84"/>
      <c r="Q627" s="84"/>
      <c r="R627" s="84"/>
      <c r="S627" s="84"/>
      <c r="T627" s="84"/>
      <c r="U627" s="84"/>
      <c r="V627" s="84"/>
    </row>
    <row r="628" ht="15.75" customHeight="1">
      <c r="A628" s="125"/>
      <c r="B628" s="125"/>
      <c r="C628" s="125"/>
      <c r="D628" s="125"/>
      <c r="E628" s="125"/>
      <c r="F628" s="126"/>
      <c r="G628" s="126"/>
      <c r="H628" s="125"/>
      <c r="I628" s="125"/>
      <c r="J628" s="99"/>
      <c r="K628" s="99"/>
      <c r="L628" s="99"/>
      <c r="M628" s="99"/>
      <c r="O628" s="84"/>
      <c r="P628" s="84"/>
      <c r="Q628" s="84"/>
      <c r="R628" s="84"/>
      <c r="S628" s="84"/>
      <c r="T628" s="84"/>
      <c r="U628" s="84"/>
      <c r="V628" s="84"/>
    </row>
    <row r="629" ht="15.75" customHeight="1">
      <c r="A629" s="125"/>
      <c r="B629" s="125"/>
      <c r="C629" s="125"/>
      <c r="D629" s="125"/>
      <c r="E629" s="125"/>
      <c r="F629" s="126"/>
      <c r="G629" s="126"/>
      <c r="H629" s="125"/>
      <c r="I629" s="125"/>
      <c r="J629" s="99"/>
      <c r="K629" s="99"/>
      <c r="L629" s="99"/>
      <c r="M629" s="99"/>
      <c r="O629" s="84"/>
      <c r="P629" s="84"/>
      <c r="Q629" s="84"/>
      <c r="R629" s="84"/>
      <c r="S629" s="84"/>
      <c r="T629" s="84"/>
      <c r="U629" s="84"/>
      <c r="V629" s="84"/>
    </row>
    <row r="630" ht="15.75" customHeight="1">
      <c r="A630" s="125"/>
      <c r="B630" s="125"/>
      <c r="C630" s="125"/>
      <c r="D630" s="125"/>
      <c r="E630" s="125"/>
      <c r="F630" s="126"/>
      <c r="G630" s="126"/>
      <c r="H630" s="125"/>
      <c r="I630" s="125"/>
      <c r="J630" s="99"/>
      <c r="K630" s="99"/>
      <c r="L630" s="99"/>
      <c r="M630" s="99"/>
      <c r="O630" s="84"/>
      <c r="P630" s="84"/>
      <c r="Q630" s="84"/>
      <c r="R630" s="84"/>
      <c r="S630" s="84"/>
      <c r="T630" s="84"/>
      <c r="U630" s="84"/>
      <c r="V630" s="84"/>
    </row>
    <row r="631" ht="15.75" customHeight="1">
      <c r="A631" s="125"/>
      <c r="B631" s="125"/>
      <c r="C631" s="125"/>
      <c r="D631" s="125"/>
      <c r="E631" s="125"/>
      <c r="F631" s="126"/>
      <c r="G631" s="126"/>
      <c r="H631" s="125"/>
      <c r="I631" s="125"/>
      <c r="J631" s="99"/>
      <c r="K631" s="99"/>
      <c r="L631" s="99"/>
      <c r="M631" s="99"/>
      <c r="O631" s="84"/>
      <c r="P631" s="84"/>
      <c r="Q631" s="84"/>
      <c r="R631" s="84"/>
      <c r="S631" s="84"/>
      <c r="T631" s="84"/>
      <c r="U631" s="84"/>
      <c r="V631" s="84"/>
    </row>
    <row r="632" ht="15.75" customHeight="1">
      <c r="A632" s="125"/>
      <c r="B632" s="125"/>
      <c r="C632" s="125"/>
      <c r="D632" s="125"/>
      <c r="E632" s="125"/>
      <c r="F632" s="126"/>
      <c r="G632" s="126"/>
      <c r="H632" s="125"/>
      <c r="I632" s="125"/>
      <c r="J632" s="99"/>
      <c r="K632" s="99"/>
      <c r="L632" s="99"/>
      <c r="M632" s="99"/>
      <c r="O632" s="84"/>
      <c r="P632" s="84"/>
      <c r="Q632" s="84"/>
      <c r="R632" s="84"/>
      <c r="S632" s="84"/>
      <c r="T632" s="84"/>
      <c r="U632" s="84"/>
      <c r="V632" s="84"/>
    </row>
    <row r="633" ht="15.75" customHeight="1">
      <c r="A633" s="125"/>
      <c r="B633" s="125"/>
      <c r="C633" s="125"/>
      <c r="D633" s="125"/>
      <c r="E633" s="125"/>
      <c r="F633" s="126"/>
      <c r="G633" s="126"/>
      <c r="H633" s="125"/>
      <c r="I633" s="125"/>
      <c r="J633" s="99"/>
      <c r="K633" s="99"/>
      <c r="L633" s="99"/>
      <c r="M633" s="99"/>
      <c r="O633" s="84"/>
      <c r="P633" s="84"/>
      <c r="Q633" s="84"/>
      <c r="R633" s="84"/>
      <c r="S633" s="84"/>
      <c r="T633" s="84"/>
      <c r="U633" s="84"/>
      <c r="V633" s="84"/>
    </row>
    <row r="634" ht="15.75" customHeight="1">
      <c r="A634" s="125"/>
      <c r="B634" s="125"/>
      <c r="C634" s="125"/>
      <c r="D634" s="125"/>
      <c r="E634" s="125"/>
      <c r="F634" s="126"/>
      <c r="G634" s="126"/>
      <c r="H634" s="125"/>
      <c r="I634" s="125"/>
      <c r="J634" s="99"/>
      <c r="K634" s="99"/>
      <c r="L634" s="99"/>
      <c r="M634" s="99"/>
      <c r="O634" s="84"/>
      <c r="P634" s="84"/>
      <c r="Q634" s="84"/>
      <c r="R634" s="84"/>
      <c r="S634" s="84"/>
      <c r="T634" s="84"/>
      <c r="U634" s="84"/>
      <c r="V634" s="84"/>
    </row>
    <row r="635" ht="15.75" customHeight="1">
      <c r="A635" s="125"/>
      <c r="B635" s="125"/>
      <c r="C635" s="125"/>
      <c r="D635" s="125"/>
      <c r="E635" s="125"/>
      <c r="F635" s="126"/>
      <c r="G635" s="126"/>
      <c r="H635" s="125"/>
      <c r="I635" s="125"/>
      <c r="J635" s="99"/>
      <c r="K635" s="99"/>
      <c r="L635" s="99"/>
      <c r="M635" s="99"/>
      <c r="O635" s="84"/>
      <c r="P635" s="84"/>
      <c r="Q635" s="84"/>
      <c r="R635" s="84"/>
      <c r="S635" s="84"/>
      <c r="T635" s="84"/>
      <c r="U635" s="84"/>
      <c r="V635" s="84"/>
    </row>
    <row r="636" ht="15.75" customHeight="1">
      <c r="A636" s="125"/>
      <c r="B636" s="125"/>
      <c r="C636" s="125"/>
      <c r="D636" s="125"/>
      <c r="E636" s="125"/>
      <c r="F636" s="126"/>
      <c r="G636" s="126"/>
      <c r="H636" s="125"/>
      <c r="I636" s="125"/>
      <c r="J636" s="99"/>
      <c r="K636" s="99"/>
      <c r="L636" s="99"/>
      <c r="M636" s="99"/>
      <c r="O636" s="84"/>
      <c r="P636" s="84"/>
      <c r="Q636" s="84"/>
      <c r="R636" s="84"/>
      <c r="S636" s="84"/>
      <c r="T636" s="84"/>
      <c r="U636" s="84"/>
      <c r="V636" s="84"/>
    </row>
    <row r="637" ht="15.75" customHeight="1">
      <c r="A637" s="125"/>
      <c r="B637" s="125"/>
      <c r="C637" s="125"/>
      <c r="D637" s="125"/>
      <c r="E637" s="125"/>
      <c r="F637" s="126"/>
      <c r="G637" s="126"/>
      <c r="H637" s="125"/>
      <c r="I637" s="125"/>
      <c r="J637" s="99"/>
      <c r="K637" s="99"/>
      <c r="L637" s="99"/>
      <c r="M637" s="99"/>
      <c r="O637" s="84"/>
      <c r="P637" s="84"/>
      <c r="Q637" s="84"/>
      <c r="R637" s="84"/>
      <c r="S637" s="84"/>
      <c r="T637" s="84"/>
      <c r="U637" s="84"/>
      <c r="V637" s="84"/>
    </row>
    <row r="638" ht="15.75" customHeight="1">
      <c r="A638" s="125"/>
      <c r="B638" s="125"/>
      <c r="C638" s="125"/>
      <c r="D638" s="125"/>
      <c r="E638" s="125"/>
      <c r="F638" s="126"/>
      <c r="G638" s="126"/>
      <c r="H638" s="125"/>
      <c r="I638" s="125"/>
      <c r="J638" s="99"/>
      <c r="K638" s="99"/>
      <c r="L638" s="99"/>
      <c r="M638" s="99"/>
      <c r="O638" s="84"/>
      <c r="P638" s="84"/>
      <c r="Q638" s="84"/>
      <c r="R638" s="84"/>
      <c r="S638" s="84"/>
      <c r="T638" s="84"/>
      <c r="U638" s="84"/>
      <c r="V638" s="84"/>
    </row>
    <row r="639" ht="15.75" customHeight="1">
      <c r="A639" s="125"/>
      <c r="B639" s="125"/>
      <c r="C639" s="125"/>
      <c r="D639" s="125"/>
      <c r="E639" s="125"/>
      <c r="F639" s="126"/>
      <c r="G639" s="126"/>
      <c r="H639" s="125"/>
      <c r="I639" s="125"/>
      <c r="J639" s="99"/>
      <c r="K639" s="99"/>
      <c r="L639" s="99"/>
      <c r="M639" s="99"/>
      <c r="O639" s="84"/>
      <c r="P639" s="84"/>
      <c r="Q639" s="84"/>
      <c r="R639" s="84"/>
      <c r="S639" s="84"/>
      <c r="T639" s="84"/>
      <c r="U639" s="84"/>
      <c r="V639" s="84"/>
    </row>
    <row r="640" ht="15.75" customHeight="1">
      <c r="A640" s="125"/>
      <c r="B640" s="125"/>
      <c r="C640" s="125"/>
      <c r="D640" s="125"/>
      <c r="E640" s="125"/>
      <c r="F640" s="126"/>
      <c r="G640" s="126"/>
      <c r="H640" s="125"/>
      <c r="I640" s="125"/>
      <c r="J640" s="99"/>
      <c r="K640" s="99"/>
      <c r="L640" s="99"/>
      <c r="M640" s="99"/>
      <c r="O640" s="84"/>
      <c r="P640" s="84"/>
      <c r="Q640" s="84"/>
      <c r="R640" s="84"/>
      <c r="S640" s="84"/>
      <c r="T640" s="84"/>
      <c r="U640" s="84"/>
      <c r="V640" s="84"/>
    </row>
    <row r="641" ht="15.75" customHeight="1">
      <c r="A641" s="125"/>
      <c r="B641" s="125"/>
      <c r="C641" s="125"/>
      <c r="D641" s="125"/>
      <c r="E641" s="125"/>
      <c r="F641" s="126"/>
      <c r="G641" s="126"/>
      <c r="H641" s="125"/>
      <c r="I641" s="125"/>
      <c r="J641" s="99"/>
      <c r="K641" s="99"/>
      <c r="L641" s="99"/>
      <c r="M641" s="99"/>
      <c r="O641" s="84"/>
      <c r="P641" s="84"/>
      <c r="Q641" s="84"/>
      <c r="R641" s="84"/>
      <c r="S641" s="84"/>
      <c r="T641" s="84"/>
      <c r="U641" s="84"/>
      <c r="V641" s="84"/>
    </row>
    <row r="642" ht="15.75" customHeight="1">
      <c r="A642" s="125"/>
      <c r="B642" s="125"/>
      <c r="C642" s="125"/>
      <c r="D642" s="125"/>
      <c r="E642" s="125"/>
      <c r="F642" s="126"/>
      <c r="G642" s="126"/>
      <c r="H642" s="125"/>
      <c r="I642" s="125"/>
      <c r="J642" s="99"/>
      <c r="K642" s="99"/>
      <c r="L642" s="99"/>
      <c r="M642" s="99"/>
      <c r="O642" s="84"/>
      <c r="P642" s="84"/>
      <c r="Q642" s="84"/>
      <c r="R642" s="84"/>
      <c r="S642" s="84"/>
      <c r="T642" s="84"/>
      <c r="U642" s="84"/>
      <c r="V642" s="84"/>
    </row>
    <row r="643" ht="15.75" customHeight="1">
      <c r="A643" s="125"/>
      <c r="B643" s="125"/>
      <c r="C643" s="125"/>
      <c r="D643" s="125"/>
      <c r="E643" s="125"/>
      <c r="F643" s="126"/>
      <c r="G643" s="126"/>
      <c r="H643" s="125"/>
      <c r="I643" s="125"/>
      <c r="J643" s="99"/>
      <c r="K643" s="99"/>
      <c r="L643" s="99"/>
      <c r="M643" s="99"/>
      <c r="O643" s="84"/>
      <c r="P643" s="84"/>
      <c r="Q643" s="84"/>
      <c r="R643" s="84"/>
      <c r="S643" s="84"/>
      <c r="T643" s="84"/>
      <c r="U643" s="84"/>
      <c r="V643" s="84"/>
    </row>
    <row r="644" ht="15.75" customHeight="1">
      <c r="A644" s="125"/>
      <c r="B644" s="125"/>
      <c r="C644" s="125"/>
      <c r="D644" s="125"/>
      <c r="E644" s="125"/>
      <c r="F644" s="126"/>
      <c r="G644" s="126"/>
      <c r="H644" s="125"/>
      <c r="I644" s="125"/>
      <c r="J644" s="99"/>
      <c r="K644" s="99"/>
      <c r="L644" s="99"/>
      <c r="M644" s="99"/>
      <c r="O644" s="84"/>
      <c r="P644" s="84"/>
      <c r="Q644" s="84"/>
      <c r="R644" s="84"/>
      <c r="S644" s="84"/>
      <c r="T644" s="84"/>
      <c r="U644" s="84"/>
      <c r="V644" s="84"/>
    </row>
    <row r="645" ht="15.75" customHeight="1">
      <c r="A645" s="125"/>
      <c r="B645" s="125"/>
      <c r="C645" s="125"/>
      <c r="D645" s="125"/>
      <c r="E645" s="125"/>
      <c r="F645" s="126"/>
      <c r="G645" s="126"/>
      <c r="H645" s="125"/>
      <c r="I645" s="125"/>
      <c r="J645" s="99"/>
      <c r="K645" s="99"/>
      <c r="L645" s="99"/>
      <c r="M645" s="99"/>
      <c r="O645" s="84"/>
      <c r="P645" s="84"/>
      <c r="Q645" s="84"/>
      <c r="R645" s="84"/>
      <c r="S645" s="84"/>
      <c r="T645" s="84"/>
      <c r="U645" s="84"/>
      <c r="V645" s="84"/>
    </row>
    <row r="646" ht="15.75" customHeight="1">
      <c r="A646" s="125"/>
      <c r="B646" s="125"/>
      <c r="C646" s="125"/>
      <c r="D646" s="125"/>
      <c r="E646" s="125"/>
      <c r="F646" s="126"/>
      <c r="G646" s="126"/>
      <c r="H646" s="125"/>
      <c r="I646" s="125"/>
      <c r="J646" s="99"/>
      <c r="K646" s="99"/>
      <c r="L646" s="99"/>
      <c r="M646" s="99"/>
      <c r="O646" s="84"/>
      <c r="P646" s="84"/>
      <c r="Q646" s="84"/>
      <c r="R646" s="84"/>
      <c r="S646" s="84"/>
      <c r="T646" s="84"/>
      <c r="U646" s="84"/>
      <c r="V646" s="84"/>
    </row>
    <row r="647" ht="15.75" customHeight="1">
      <c r="A647" s="125"/>
      <c r="B647" s="125"/>
      <c r="C647" s="125"/>
      <c r="D647" s="125"/>
      <c r="E647" s="125"/>
      <c r="F647" s="126"/>
      <c r="G647" s="126"/>
      <c r="H647" s="125"/>
      <c r="I647" s="125"/>
      <c r="J647" s="99"/>
      <c r="K647" s="99"/>
      <c r="L647" s="99"/>
      <c r="M647" s="99"/>
      <c r="O647" s="84"/>
      <c r="P647" s="84"/>
      <c r="Q647" s="84"/>
      <c r="R647" s="84"/>
      <c r="S647" s="84"/>
      <c r="T647" s="84"/>
      <c r="U647" s="84"/>
      <c r="V647" s="84"/>
    </row>
    <row r="648" ht="15.75" customHeight="1">
      <c r="A648" s="125"/>
      <c r="B648" s="125"/>
      <c r="C648" s="125"/>
      <c r="D648" s="125"/>
      <c r="E648" s="125"/>
      <c r="F648" s="126"/>
      <c r="G648" s="126"/>
      <c r="H648" s="125"/>
      <c r="I648" s="125"/>
      <c r="J648" s="99"/>
      <c r="K648" s="99"/>
      <c r="L648" s="99"/>
      <c r="M648" s="99"/>
      <c r="O648" s="84"/>
      <c r="P648" s="84"/>
      <c r="Q648" s="84"/>
      <c r="R648" s="84"/>
      <c r="S648" s="84"/>
      <c r="T648" s="84"/>
      <c r="U648" s="84"/>
      <c r="V648" s="84"/>
    </row>
    <row r="649" ht="15.75" customHeight="1">
      <c r="A649" s="125"/>
      <c r="B649" s="125"/>
      <c r="C649" s="125"/>
      <c r="D649" s="125"/>
      <c r="E649" s="125"/>
      <c r="F649" s="126"/>
      <c r="G649" s="126"/>
      <c r="H649" s="125"/>
      <c r="I649" s="125"/>
      <c r="J649" s="99"/>
      <c r="K649" s="99"/>
      <c r="L649" s="99"/>
      <c r="M649" s="99"/>
      <c r="O649" s="84"/>
      <c r="P649" s="84"/>
      <c r="Q649" s="84"/>
      <c r="R649" s="84"/>
      <c r="S649" s="84"/>
      <c r="T649" s="84"/>
      <c r="U649" s="84"/>
      <c r="V649" s="84"/>
    </row>
    <row r="650" ht="15.75" customHeight="1">
      <c r="A650" s="125"/>
      <c r="B650" s="125"/>
      <c r="C650" s="125"/>
      <c r="D650" s="125"/>
      <c r="E650" s="125"/>
      <c r="F650" s="126"/>
      <c r="G650" s="126"/>
      <c r="H650" s="125"/>
      <c r="I650" s="125"/>
      <c r="J650" s="99"/>
      <c r="K650" s="99"/>
      <c r="L650" s="99"/>
      <c r="M650" s="99"/>
      <c r="O650" s="84"/>
      <c r="P650" s="84"/>
      <c r="Q650" s="84"/>
      <c r="R650" s="84"/>
      <c r="S650" s="84"/>
      <c r="T650" s="84"/>
      <c r="U650" s="84"/>
      <c r="V650" s="84"/>
    </row>
    <row r="651" ht="15.75" customHeight="1">
      <c r="A651" s="125"/>
      <c r="B651" s="125"/>
      <c r="C651" s="125"/>
      <c r="D651" s="125"/>
      <c r="E651" s="125"/>
      <c r="F651" s="126"/>
      <c r="G651" s="126"/>
      <c r="H651" s="125"/>
      <c r="I651" s="125"/>
      <c r="J651" s="99"/>
      <c r="K651" s="99"/>
      <c r="L651" s="99"/>
      <c r="M651" s="99"/>
      <c r="O651" s="84"/>
      <c r="P651" s="84"/>
      <c r="Q651" s="84"/>
      <c r="R651" s="84"/>
      <c r="S651" s="84"/>
      <c r="T651" s="84"/>
      <c r="U651" s="84"/>
      <c r="V651" s="84"/>
    </row>
    <row r="652" ht="15.75" customHeight="1">
      <c r="A652" s="125"/>
      <c r="B652" s="125"/>
      <c r="C652" s="125"/>
      <c r="D652" s="125"/>
      <c r="E652" s="125"/>
      <c r="F652" s="126"/>
      <c r="G652" s="126"/>
      <c r="H652" s="125"/>
      <c r="I652" s="125"/>
      <c r="J652" s="99"/>
      <c r="K652" s="99"/>
      <c r="L652" s="99"/>
      <c r="M652" s="99"/>
      <c r="O652" s="84"/>
      <c r="P652" s="84"/>
      <c r="Q652" s="84"/>
      <c r="R652" s="84"/>
      <c r="S652" s="84"/>
      <c r="T652" s="84"/>
      <c r="U652" s="84"/>
      <c r="V652" s="84"/>
    </row>
    <row r="653" ht="15.75" customHeight="1">
      <c r="A653" s="125"/>
      <c r="B653" s="125"/>
      <c r="C653" s="125"/>
      <c r="D653" s="125"/>
      <c r="E653" s="125"/>
      <c r="F653" s="126"/>
      <c r="G653" s="126"/>
      <c r="H653" s="125"/>
      <c r="I653" s="125"/>
      <c r="J653" s="99"/>
      <c r="K653" s="99"/>
      <c r="L653" s="99"/>
      <c r="M653" s="99"/>
      <c r="O653" s="84"/>
      <c r="P653" s="84"/>
      <c r="Q653" s="84"/>
      <c r="R653" s="84"/>
      <c r="S653" s="84"/>
      <c r="T653" s="84"/>
      <c r="U653" s="84"/>
      <c r="V653" s="84"/>
    </row>
    <row r="654" ht="15.75" customHeight="1">
      <c r="A654" s="125"/>
      <c r="B654" s="125"/>
      <c r="C654" s="125"/>
      <c r="D654" s="125"/>
      <c r="E654" s="125"/>
      <c r="F654" s="126"/>
      <c r="G654" s="126"/>
      <c r="H654" s="125"/>
      <c r="I654" s="125"/>
      <c r="J654" s="99"/>
      <c r="K654" s="99"/>
      <c r="L654" s="99"/>
      <c r="M654" s="99"/>
      <c r="O654" s="84"/>
      <c r="P654" s="84"/>
      <c r="Q654" s="84"/>
      <c r="R654" s="84"/>
      <c r="S654" s="84"/>
      <c r="T654" s="84"/>
      <c r="U654" s="84"/>
      <c r="V654" s="84"/>
    </row>
    <row r="655" ht="15.75" customHeight="1">
      <c r="A655" s="125"/>
      <c r="B655" s="125"/>
      <c r="C655" s="125"/>
      <c r="D655" s="125"/>
      <c r="E655" s="125"/>
      <c r="F655" s="126"/>
      <c r="G655" s="126"/>
      <c r="H655" s="125"/>
      <c r="I655" s="125"/>
      <c r="J655" s="99"/>
      <c r="K655" s="99"/>
      <c r="L655" s="99"/>
      <c r="M655" s="99"/>
      <c r="O655" s="84"/>
      <c r="P655" s="84"/>
      <c r="Q655" s="84"/>
      <c r="R655" s="84"/>
      <c r="S655" s="84"/>
      <c r="T655" s="84"/>
      <c r="U655" s="84"/>
      <c r="V655" s="84"/>
    </row>
    <row r="656" ht="15.75" customHeight="1">
      <c r="A656" s="125"/>
      <c r="B656" s="125"/>
      <c r="C656" s="125"/>
      <c r="D656" s="125"/>
      <c r="E656" s="125"/>
      <c r="F656" s="126"/>
      <c r="G656" s="126"/>
      <c r="H656" s="125"/>
      <c r="I656" s="125"/>
      <c r="J656" s="99"/>
      <c r="K656" s="99"/>
      <c r="L656" s="99"/>
      <c r="M656" s="99"/>
      <c r="O656" s="84"/>
      <c r="P656" s="84"/>
      <c r="Q656" s="84"/>
      <c r="R656" s="84"/>
      <c r="S656" s="84"/>
      <c r="T656" s="84"/>
      <c r="U656" s="84"/>
      <c r="V656" s="84"/>
    </row>
    <row r="657" ht="15.75" customHeight="1">
      <c r="A657" s="125"/>
      <c r="B657" s="125"/>
      <c r="C657" s="125"/>
      <c r="D657" s="125"/>
      <c r="E657" s="125"/>
      <c r="F657" s="126"/>
      <c r="G657" s="126"/>
      <c r="H657" s="125"/>
      <c r="I657" s="125"/>
      <c r="J657" s="99"/>
      <c r="K657" s="99"/>
      <c r="L657" s="99"/>
      <c r="M657" s="99"/>
      <c r="O657" s="84"/>
      <c r="P657" s="84"/>
      <c r="Q657" s="84"/>
      <c r="R657" s="84"/>
      <c r="S657" s="84"/>
      <c r="T657" s="84"/>
      <c r="U657" s="84"/>
      <c r="V657" s="84"/>
    </row>
    <row r="658" ht="15.75" customHeight="1">
      <c r="A658" s="125"/>
      <c r="B658" s="125"/>
      <c r="C658" s="125"/>
      <c r="D658" s="125"/>
      <c r="E658" s="125"/>
      <c r="F658" s="126"/>
      <c r="G658" s="126"/>
      <c r="H658" s="125"/>
      <c r="I658" s="125"/>
      <c r="J658" s="99"/>
      <c r="K658" s="99"/>
      <c r="L658" s="99"/>
      <c r="M658" s="99"/>
      <c r="O658" s="84"/>
      <c r="P658" s="84"/>
      <c r="Q658" s="84"/>
      <c r="R658" s="84"/>
      <c r="S658" s="84"/>
      <c r="T658" s="84"/>
      <c r="U658" s="84"/>
      <c r="V658" s="84"/>
    </row>
    <row r="659" ht="15.75" customHeight="1">
      <c r="A659" s="125"/>
      <c r="B659" s="125"/>
      <c r="C659" s="125"/>
      <c r="D659" s="125"/>
      <c r="E659" s="125"/>
      <c r="F659" s="126"/>
      <c r="G659" s="126"/>
      <c r="H659" s="125"/>
      <c r="I659" s="125"/>
      <c r="J659" s="99"/>
      <c r="K659" s="99"/>
      <c r="L659" s="99"/>
      <c r="M659" s="99"/>
      <c r="O659" s="84"/>
      <c r="P659" s="84"/>
      <c r="Q659" s="84"/>
      <c r="R659" s="84"/>
      <c r="S659" s="84"/>
      <c r="T659" s="84"/>
      <c r="U659" s="84"/>
      <c r="V659" s="84"/>
    </row>
    <row r="660" ht="15.75" customHeight="1">
      <c r="A660" s="125"/>
      <c r="B660" s="125"/>
      <c r="C660" s="125"/>
      <c r="D660" s="125"/>
      <c r="E660" s="125"/>
      <c r="F660" s="126"/>
      <c r="G660" s="126"/>
      <c r="H660" s="125"/>
      <c r="I660" s="125"/>
      <c r="J660" s="99"/>
      <c r="K660" s="99"/>
      <c r="L660" s="99"/>
      <c r="M660" s="99"/>
      <c r="O660" s="84"/>
      <c r="P660" s="84"/>
      <c r="Q660" s="84"/>
      <c r="R660" s="84"/>
      <c r="S660" s="84"/>
      <c r="T660" s="84"/>
      <c r="U660" s="84"/>
      <c r="V660" s="84"/>
    </row>
    <row r="661" ht="15.75" customHeight="1">
      <c r="A661" s="125"/>
      <c r="B661" s="125"/>
      <c r="C661" s="125"/>
      <c r="D661" s="125"/>
      <c r="E661" s="125"/>
      <c r="F661" s="126"/>
      <c r="G661" s="126"/>
      <c r="H661" s="125"/>
      <c r="I661" s="125"/>
      <c r="J661" s="99"/>
      <c r="K661" s="99"/>
      <c r="L661" s="99"/>
      <c r="M661" s="99"/>
      <c r="O661" s="84"/>
      <c r="P661" s="84"/>
      <c r="Q661" s="84"/>
      <c r="R661" s="84"/>
      <c r="S661" s="84"/>
      <c r="T661" s="84"/>
      <c r="U661" s="84"/>
      <c r="V661" s="84"/>
    </row>
    <row r="662" ht="15.75" customHeight="1">
      <c r="A662" s="125"/>
      <c r="B662" s="125"/>
      <c r="C662" s="125"/>
      <c r="D662" s="125"/>
      <c r="E662" s="125"/>
      <c r="F662" s="126"/>
      <c r="G662" s="126"/>
      <c r="H662" s="125"/>
      <c r="I662" s="125"/>
      <c r="J662" s="99"/>
      <c r="K662" s="99"/>
      <c r="L662" s="99"/>
      <c r="M662" s="99"/>
      <c r="O662" s="84"/>
      <c r="P662" s="84"/>
      <c r="Q662" s="84"/>
      <c r="R662" s="84"/>
      <c r="S662" s="84"/>
      <c r="T662" s="84"/>
      <c r="U662" s="84"/>
      <c r="V662" s="84"/>
    </row>
    <row r="663" ht="15.75" customHeight="1">
      <c r="A663" s="125"/>
      <c r="B663" s="125"/>
      <c r="C663" s="125"/>
      <c r="D663" s="125"/>
      <c r="E663" s="125"/>
      <c r="F663" s="126"/>
      <c r="G663" s="126"/>
      <c r="H663" s="125"/>
      <c r="I663" s="125"/>
      <c r="J663" s="99"/>
      <c r="K663" s="99"/>
      <c r="L663" s="99"/>
      <c r="M663" s="99"/>
      <c r="O663" s="84"/>
      <c r="P663" s="84"/>
      <c r="Q663" s="84"/>
      <c r="R663" s="84"/>
      <c r="S663" s="84"/>
      <c r="T663" s="84"/>
      <c r="U663" s="84"/>
      <c r="V663" s="84"/>
    </row>
    <row r="664" ht="15.75" customHeight="1">
      <c r="A664" s="125"/>
      <c r="B664" s="125"/>
      <c r="C664" s="125"/>
      <c r="D664" s="125"/>
      <c r="E664" s="125"/>
      <c r="F664" s="126"/>
      <c r="G664" s="126"/>
      <c r="H664" s="125"/>
      <c r="I664" s="125"/>
      <c r="J664" s="99"/>
      <c r="K664" s="99"/>
      <c r="L664" s="99"/>
      <c r="M664" s="99"/>
      <c r="O664" s="84"/>
      <c r="P664" s="84"/>
      <c r="Q664" s="84"/>
      <c r="R664" s="84"/>
      <c r="S664" s="84"/>
      <c r="T664" s="84"/>
      <c r="U664" s="84"/>
      <c r="V664" s="84"/>
    </row>
    <row r="665" ht="15.75" customHeight="1">
      <c r="A665" s="125"/>
      <c r="B665" s="125"/>
      <c r="C665" s="125"/>
      <c r="D665" s="125"/>
      <c r="E665" s="125"/>
      <c r="F665" s="126"/>
      <c r="G665" s="126"/>
      <c r="H665" s="125"/>
      <c r="I665" s="125"/>
      <c r="J665" s="99"/>
      <c r="K665" s="99"/>
      <c r="L665" s="99"/>
      <c r="M665" s="99"/>
      <c r="O665" s="84"/>
      <c r="P665" s="84"/>
      <c r="Q665" s="84"/>
      <c r="R665" s="84"/>
      <c r="S665" s="84"/>
      <c r="T665" s="84"/>
      <c r="U665" s="84"/>
      <c r="V665" s="84"/>
    </row>
    <row r="666" ht="15.75" customHeight="1">
      <c r="A666" s="125"/>
      <c r="B666" s="125"/>
      <c r="C666" s="125"/>
      <c r="D666" s="125"/>
      <c r="E666" s="125"/>
      <c r="F666" s="126"/>
      <c r="G666" s="126"/>
      <c r="H666" s="125"/>
      <c r="I666" s="125"/>
      <c r="J666" s="99"/>
      <c r="K666" s="99"/>
      <c r="L666" s="99"/>
      <c r="M666" s="99"/>
      <c r="O666" s="84"/>
      <c r="P666" s="84"/>
      <c r="Q666" s="84"/>
      <c r="R666" s="84"/>
      <c r="S666" s="84"/>
      <c r="T666" s="84"/>
      <c r="U666" s="84"/>
      <c r="V666" s="84"/>
    </row>
    <row r="667" ht="15.75" customHeight="1">
      <c r="A667" s="125"/>
      <c r="B667" s="125"/>
      <c r="C667" s="125"/>
      <c r="D667" s="125"/>
      <c r="E667" s="125"/>
      <c r="F667" s="126"/>
      <c r="G667" s="126"/>
      <c r="H667" s="125"/>
      <c r="I667" s="125"/>
      <c r="J667" s="99"/>
      <c r="K667" s="99"/>
      <c r="L667" s="99"/>
      <c r="M667" s="99"/>
      <c r="O667" s="84"/>
      <c r="P667" s="84"/>
      <c r="Q667" s="84"/>
      <c r="R667" s="84"/>
      <c r="S667" s="84"/>
      <c r="T667" s="84"/>
      <c r="U667" s="84"/>
      <c r="V667" s="84"/>
    </row>
    <row r="668" ht="15.75" customHeight="1">
      <c r="A668" s="125"/>
      <c r="B668" s="125"/>
      <c r="C668" s="125"/>
      <c r="D668" s="125"/>
      <c r="E668" s="125"/>
      <c r="F668" s="126"/>
      <c r="G668" s="126"/>
      <c r="H668" s="125"/>
      <c r="I668" s="125"/>
      <c r="J668" s="99"/>
      <c r="K668" s="99"/>
      <c r="L668" s="99"/>
      <c r="M668" s="99"/>
      <c r="O668" s="84"/>
      <c r="P668" s="84"/>
      <c r="Q668" s="84"/>
      <c r="R668" s="84"/>
      <c r="S668" s="84"/>
      <c r="T668" s="84"/>
      <c r="U668" s="84"/>
      <c r="V668" s="84"/>
    </row>
    <row r="669" ht="15.75" customHeight="1">
      <c r="A669" s="125"/>
      <c r="B669" s="125"/>
      <c r="C669" s="125"/>
      <c r="D669" s="125"/>
      <c r="E669" s="125"/>
      <c r="F669" s="126"/>
      <c r="G669" s="126"/>
      <c r="H669" s="125"/>
      <c r="I669" s="125"/>
      <c r="J669" s="99"/>
      <c r="K669" s="99"/>
      <c r="L669" s="99"/>
      <c r="M669" s="99"/>
      <c r="O669" s="84"/>
      <c r="P669" s="84"/>
      <c r="Q669" s="84"/>
      <c r="R669" s="84"/>
      <c r="S669" s="84"/>
      <c r="T669" s="84"/>
      <c r="U669" s="84"/>
      <c r="V669" s="84"/>
    </row>
    <row r="670" ht="15.75" customHeight="1">
      <c r="A670" s="125"/>
      <c r="B670" s="125"/>
      <c r="C670" s="125"/>
      <c r="D670" s="125"/>
      <c r="E670" s="125"/>
      <c r="F670" s="126"/>
      <c r="G670" s="126"/>
      <c r="H670" s="125"/>
      <c r="I670" s="125"/>
      <c r="J670" s="99"/>
      <c r="K670" s="99"/>
      <c r="L670" s="99"/>
      <c r="M670" s="99"/>
      <c r="O670" s="84"/>
      <c r="P670" s="84"/>
      <c r="Q670" s="84"/>
      <c r="R670" s="84"/>
      <c r="S670" s="84"/>
      <c r="T670" s="84"/>
      <c r="U670" s="84"/>
      <c r="V670" s="84"/>
    </row>
    <row r="671" ht="15.75" customHeight="1">
      <c r="A671" s="125"/>
      <c r="B671" s="125"/>
      <c r="C671" s="125"/>
      <c r="D671" s="125"/>
      <c r="E671" s="125"/>
      <c r="F671" s="126"/>
      <c r="G671" s="126"/>
      <c r="H671" s="125"/>
      <c r="I671" s="125"/>
      <c r="J671" s="99"/>
      <c r="K671" s="99"/>
      <c r="L671" s="99"/>
      <c r="M671" s="99"/>
      <c r="O671" s="84"/>
      <c r="P671" s="84"/>
      <c r="Q671" s="84"/>
      <c r="R671" s="84"/>
      <c r="S671" s="84"/>
      <c r="T671" s="84"/>
      <c r="U671" s="84"/>
      <c r="V671" s="84"/>
    </row>
    <row r="672" ht="15.75" customHeight="1">
      <c r="A672" s="125"/>
      <c r="B672" s="125"/>
      <c r="C672" s="125"/>
      <c r="D672" s="125"/>
      <c r="E672" s="125"/>
      <c r="F672" s="126"/>
      <c r="G672" s="126"/>
      <c r="H672" s="125"/>
      <c r="I672" s="125"/>
      <c r="J672" s="99"/>
      <c r="K672" s="99"/>
      <c r="L672" s="99"/>
      <c r="M672" s="99"/>
      <c r="O672" s="84"/>
      <c r="P672" s="84"/>
      <c r="Q672" s="84"/>
      <c r="R672" s="84"/>
      <c r="S672" s="84"/>
      <c r="T672" s="84"/>
      <c r="U672" s="84"/>
      <c r="V672" s="84"/>
    </row>
    <row r="673" ht="15.75" customHeight="1">
      <c r="A673" s="125"/>
      <c r="B673" s="125"/>
      <c r="C673" s="125"/>
      <c r="D673" s="125"/>
      <c r="E673" s="125"/>
      <c r="F673" s="126"/>
      <c r="G673" s="126"/>
      <c r="H673" s="125"/>
      <c r="I673" s="125"/>
      <c r="J673" s="99"/>
      <c r="K673" s="99"/>
      <c r="L673" s="99"/>
      <c r="M673" s="99"/>
      <c r="O673" s="84"/>
      <c r="P673" s="84"/>
      <c r="Q673" s="84"/>
      <c r="R673" s="84"/>
      <c r="S673" s="84"/>
      <c r="T673" s="84"/>
      <c r="U673" s="84"/>
      <c r="V673" s="84"/>
    </row>
    <row r="674" ht="15.75" customHeight="1">
      <c r="A674" s="125"/>
      <c r="B674" s="125"/>
      <c r="C674" s="125"/>
      <c r="D674" s="125"/>
      <c r="E674" s="125"/>
      <c r="F674" s="126"/>
      <c r="G674" s="126"/>
      <c r="H674" s="125"/>
      <c r="I674" s="125"/>
      <c r="J674" s="99"/>
      <c r="K674" s="99"/>
      <c r="L674" s="99"/>
      <c r="M674" s="99"/>
      <c r="O674" s="84"/>
      <c r="P674" s="84"/>
      <c r="Q674" s="84"/>
      <c r="R674" s="84"/>
      <c r="S674" s="84"/>
      <c r="T674" s="84"/>
      <c r="U674" s="84"/>
      <c r="V674" s="84"/>
    </row>
    <row r="675" ht="15.75" customHeight="1">
      <c r="A675" s="125"/>
      <c r="B675" s="125"/>
      <c r="C675" s="125"/>
      <c r="D675" s="125"/>
      <c r="E675" s="125"/>
      <c r="F675" s="126"/>
      <c r="G675" s="126"/>
      <c r="H675" s="125"/>
      <c r="I675" s="125"/>
      <c r="J675" s="99"/>
      <c r="K675" s="99"/>
      <c r="L675" s="99"/>
      <c r="M675" s="99"/>
      <c r="O675" s="84"/>
      <c r="P675" s="84"/>
      <c r="Q675" s="84"/>
      <c r="R675" s="84"/>
      <c r="S675" s="84"/>
      <c r="T675" s="84"/>
      <c r="U675" s="84"/>
      <c r="V675" s="84"/>
    </row>
    <row r="676" ht="15.75" customHeight="1">
      <c r="A676" s="125"/>
      <c r="B676" s="125"/>
      <c r="C676" s="125"/>
      <c r="D676" s="125"/>
      <c r="E676" s="125"/>
      <c r="F676" s="126"/>
      <c r="G676" s="126"/>
      <c r="H676" s="125"/>
      <c r="I676" s="125"/>
      <c r="J676" s="99"/>
      <c r="K676" s="99"/>
      <c r="L676" s="99"/>
      <c r="M676" s="99"/>
      <c r="O676" s="84"/>
      <c r="P676" s="84"/>
      <c r="Q676" s="84"/>
      <c r="R676" s="84"/>
      <c r="S676" s="84"/>
      <c r="T676" s="84"/>
      <c r="U676" s="84"/>
      <c r="V676" s="84"/>
    </row>
    <row r="677" ht="15.75" customHeight="1">
      <c r="A677" s="125"/>
      <c r="B677" s="125"/>
      <c r="C677" s="125"/>
      <c r="D677" s="125"/>
      <c r="E677" s="125"/>
      <c r="F677" s="126"/>
      <c r="G677" s="126"/>
      <c r="H677" s="125"/>
      <c r="I677" s="125"/>
      <c r="J677" s="99"/>
      <c r="K677" s="99"/>
      <c r="L677" s="99"/>
      <c r="M677" s="99"/>
      <c r="O677" s="84"/>
      <c r="P677" s="84"/>
      <c r="Q677" s="84"/>
      <c r="R677" s="84"/>
      <c r="S677" s="84"/>
      <c r="T677" s="84"/>
      <c r="U677" s="84"/>
      <c r="V677" s="84"/>
    </row>
    <row r="678" ht="15.75" customHeight="1">
      <c r="A678" s="125"/>
      <c r="B678" s="125"/>
      <c r="C678" s="125"/>
      <c r="D678" s="125"/>
      <c r="E678" s="125"/>
      <c r="F678" s="126"/>
      <c r="G678" s="126"/>
      <c r="H678" s="125"/>
      <c r="I678" s="125"/>
      <c r="J678" s="99"/>
      <c r="K678" s="99"/>
      <c r="L678" s="99"/>
      <c r="M678" s="99"/>
      <c r="O678" s="84"/>
      <c r="P678" s="84"/>
      <c r="Q678" s="84"/>
      <c r="R678" s="84"/>
      <c r="S678" s="84"/>
      <c r="T678" s="84"/>
      <c r="U678" s="84"/>
      <c r="V678" s="84"/>
    </row>
    <row r="679" ht="15.75" customHeight="1">
      <c r="A679" s="125"/>
      <c r="B679" s="125"/>
      <c r="C679" s="125"/>
      <c r="D679" s="125"/>
      <c r="E679" s="125"/>
      <c r="F679" s="126"/>
      <c r="G679" s="126"/>
      <c r="H679" s="125"/>
      <c r="I679" s="125"/>
      <c r="J679" s="99"/>
      <c r="K679" s="99"/>
      <c r="L679" s="99"/>
      <c r="M679" s="99"/>
      <c r="O679" s="84"/>
      <c r="P679" s="84"/>
      <c r="Q679" s="84"/>
      <c r="R679" s="84"/>
      <c r="S679" s="84"/>
      <c r="T679" s="84"/>
      <c r="U679" s="84"/>
      <c r="V679" s="84"/>
    </row>
    <row r="680" ht="15.75" customHeight="1">
      <c r="A680" s="125"/>
      <c r="B680" s="125"/>
      <c r="C680" s="125"/>
      <c r="D680" s="125"/>
      <c r="E680" s="125"/>
      <c r="F680" s="126"/>
      <c r="G680" s="126"/>
      <c r="H680" s="125"/>
      <c r="I680" s="125"/>
      <c r="J680" s="99"/>
      <c r="K680" s="99"/>
      <c r="L680" s="99"/>
      <c r="M680" s="99"/>
      <c r="O680" s="84"/>
      <c r="P680" s="84"/>
      <c r="Q680" s="84"/>
      <c r="R680" s="84"/>
      <c r="S680" s="84"/>
      <c r="T680" s="84"/>
      <c r="U680" s="84"/>
      <c r="V680" s="84"/>
    </row>
    <row r="681" ht="15.75" customHeight="1">
      <c r="A681" s="125"/>
      <c r="B681" s="125"/>
      <c r="C681" s="125"/>
      <c r="D681" s="125"/>
      <c r="E681" s="125"/>
      <c r="F681" s="126"/>
      <c r="G681" s="126"/>
      <c r="H681" s="125"/>
      <c r="I681" s="125"/>
      <c r="J681" s="99"/>
      <c r="K681" s="99"/>
      <c r="L681" s="99"/>
      <c r="M681" s="99"/>
      <c r="O681" s="84"/>
      <c r="P681" s="84"/>
      <c r="Q681" s="84"/>
      <c r="R681" s="84"/>
      <c r="S681" s="84"/>
      <c r="T681" s="84"/>
      <c r="U681" s="84"/>
      <c r="V681" s="84"/>
    </row>
    <row r="682" ht="15.75" customHeight="1">
      <c r="A682" s="125"/>
      <c r="B682" s="125"/>
      <c r="C682" s="125"/>
      <c r="D682" s="125"/>
      <c r="E682" s="125"/>
      <c r="F682" s="126"/>
      <c r="G682" s="126"/>
      <c r="H682" s="125"/>
      <c r="I682" s="125"/>
      <c r="J682" s="99"/>
      <c r="K682" s="99"/>
      <c r="L682" s="99"/>
      <c r="M682" s="99"/>
      <c r="O682" s="84"/>
      <c r="P682" s="84"/>
      <c r="Q682" s="84"/>
      <c r="R682" s="84"/>
      <c r="S682" s="84"/>
      <c r="T682" s="84"/>
      <c r="U682" s="84"/>
      <c r="V682" s="84"/>
    </row>
    <row r="683" ht="15.75" customHeight="1">
      <c r="A683" s="125"/>
      <c r="B683" s="125"/>
      <c r="C683" s="125"/>
      <c r="D683" s="125"/>
      <c r="E683" s="125"/>
      <c r="F683" s="126"/>
      <c r="G683" s="126"/>
      <c r="H683" s="125"/>
      <c r="I683" s="125"/>
      <c r="J683" s="99"/>
      <c r="K683" s="99"/>
      <c r="L683" s="99"/>
      <c r="M683" s="99"/>
      <c r="O683" s="84"/>
      <c r="P683" s="84"/>
      <c r="Q683" s="84"/>
      <c r="R683" s="84"/>
      <c r="S683" s="84"/>
      <c r="T683" s="84"/>
      <c r="U683" s="84"/>
      <c r="V683" s="84"/>
    </row>
    <row r="684" ht="15.75" customHeight="1">
      <c r="A684" s="125"/>
      <c r="B684" s="125"/>
      <c r="C684" s="125"/>
      <c r="D684" s="125"/>
      <c r="E684" s="125"/>
      <c r="F684" s="126"/>
      <c r="G684" s="126"/>
      <c r="H684" s="125"/>
      <c r="I684" s="125"/>
      <c r="J684" s="99"/>
      <c r="K684" s="99"/>
      <c r="L684" s="99"/>
      <c r="M684" s="99"/>
      <c r="O684" s="84"/>
      <c r="P684" s="84"/>
      <c r="Q684" s="84"/>
      <c r="R684" s="84"/>
      <c r="S684" s="84"/>
      <c r="T684" s="84"/>
      <c r="U684" s="84"/>
      <c r="V684" s="84"/>
    </row>
    <row r="685" ht="15.75" customHeight="1">
      <c r="A685" s="125"/>
      <c r="B685" s="125"/>
      <c r="C685" s="125"/>
      <c r="D685" s="125"/>
      <c r="E685" s="125"/>
      <c r="F685" s="126"/>
      <c r="G685" s="126"/>
      <c r="H685" s="125"/>
      <c r="I685" s="125"/>
      <c r="J685" s="99"/>
      <c r="K685" s="99"/>
      <c r="L685" s="99"/>
      <c r="M685" s="99"/>
      <c r="O685" s="84"/>
      <c r="P685" s="84"/>
      <c r="Q685" s="84"/>
      <c r="R685" s="84"/>
      <c r="S685" s="84"/>
      <c r="T685" s="84"/>
      <c r="U685" s="84"/>
      <c r="V685" s="84"/>
    </row>
    <row r="686" ht="15.75" customHeight="1">
      <c r="A686" s="125"/>
      <c r="B686" s="125"/>
      <c r="C686" s="125"/>
      <c r="D686" s="125"/>
      <c r="E686" s="125"/>
      <c r="F686" s="126"/>
      <c r="G686" s="126"/>
      <c r="H686" s="125"/>
      <c r="I686" s="125"/>
      <c r="J686" s="99"/>
      <c r="K686" s="99"/>
      <c r="L686" s="99"/>
      <c r="M686" s="99"/>
      <c r="O686" s="84"/>
      <c r="P686" s="84"/>
      <c r="Q686" s="84"/>
      <c r="R686" s="84"/>
      <c r="S686" s="84"/>
      <c r="T686" s="84"/>
      <c r="U686" s="84"/>
      <c r="V686" s="84"/>
    </row>
    <row r="687" ht="15.75" customHeight="1">
      <c r="A687" s="125"/>
      <c r="B687" s="125"/>
      <c r="C687" s="125"/>
      <c r="D687" s="125"/>
      <c r="E687" s="125"/>
      <c r="F687" s="126"/>
      <c r="G687" s="126"/>
      <c r="H687" s="125"/>
      <c r="I687" s="125"/>
      <c r="J687" s="99"/>
      <c r="K687" s="99"/>
      <c r="L687" s="99"/>
      <c r="M687" s="99"/>
      <c r="O687" s="84"/>
      <c r="P687" s="84"/>
      <c r="Q687" s="84"/>
      <c r="R687" s="84"/>
      <c r="S687" s="84"/>
      <c r="T687" s="84"/>
      <c r="U687" s="84"/>
      <c r="V687" s="84"/>
    </row>
    <row r="688" ht="15.75" customHeight="1">
      <c r="A688" s="125"/>
      <c r="B688" s="125"/>
      <c r="C688" s="125"/>
      <c r="D688" s="125"/>
      <c r="E688" s="125"/>
      <c r="F688" s="126"/>
      <c r="G688" s="126"/>
      <c r="H688" s="125"/>
      <c r="I688" s="125"/>
      <c r="J688" s="99"/>
      <c r="K688" s="99"/>
      <c r="L688" s="99"/>
      <c r="M688" s="99"/>
      <c r="O688" s="84"/>
      <c r="P688" s="84"/>
      <c r="Q688" s="84"/>
      <c r="R688" s="84"/>
      <c r="S688" s="84"/>
      <c r="T688" s="84"/>
      <c r="U688" s="84"/>
      <c r="V688" s="84"/>
    </row>
    <row r="689" ht="15.75" customHeight="1">
      <c r="A689" s="125"/>
      <c r="B689" s="125"/>
      <c r="C689" s="125"/>
      <c r="D689" s="125"/>
      <c r="E689" s="125"/>
      <c r="F689" s="126"/>
      <c r="G689" s="126"/>
      <c r="H689" s="125"/>
      <c r="I689" s="125"/>
      <c r="J689" s="99"/>
      <c r="K689" s="99"/>
      <c r="L689" s="99"/>
      <c r="M689" s="99"/>
      <c r="O689" s="84"/>
      <c r="P689" s="84"/>
      <c r="Q689" s="84"/>
      <c r="R689" s="84"/>
      <c r="S689" s="84"/>
      <c r="T689" s="84"/>
      <c r="U689" s="84"/>
      <c r="V689" s="84"/>
    </row>
    <row r="690" ht="15.75" customHeight="1">
      <c r="A690" s="125"/>
      <c r="B690" s="125"/>
      <c r="C690" s="125"/>
      <c r="D690" s="125"/>
      <c r="E690" s="125"/>
      <c r="F690" s="126"/>
      <c r="G690" s="126"/>
      <c r="H690" s="125"/>
      <c r="I690" s="125"/>
      <c r="J690" s="99"/>
      <c r="K690" s="99"/>
      <c r="L690" s="99"/>
      <c r="M690" s="99"/>
      <c r="O690" s="84"/>
      <c r="P690" s="84"/>
      <c r="Q690" s="84"/>
      <c r="R690" s="84"/>
      <c r="S690" s="84"/>
      <c r="T690" s="84"/>
      <c r="U690" s="84"/>
      <c r="V690" s="84"/>
    </row>
    <row r="691" ht="15.75" customHeight="1">
      <c r="A691" s="125"/>
      <c r="B691" s="125"/>
      <c r="C691" s="125"/>
      <c r="D691" s="125"/>
      <c r="E691" s="125"/>
      <c r="F691" s="126"/>
      <c r="G691" s="126"/>
      <c r="H691" s="125"/>
      <c r="I691" s="125"/>
      <c r="J691" s="99"/>
      <c r="K691" s="99"/>
      <c r="L691" s="99"/>
      <c r="M691" s="99"/>
      <c r="O691" s="84"/>
      <c r="P691" s="84"/>
      <c r="Q691" s="84"/>
      <c r="R691" s="84"/>
      <c r="S691" s="84"/>
      <c r="T691" s="84"/>
      <c r="U691" s="84"/>
      <c r="V691" s="84"/>
    </row>
    <row r="692" ht="15.75" customHeight="1">
      <c r="A692" s="125"/>
      <c r="B692" s="125"/>
      <c r="C692" s="125"/>
      <c r="D692" s="125"/>
      <c r="E692" s="125"/>
      <c r="F692" s="126"/>
      <c r="G692" s="126"/>
      <c r="H692" s="125"/>
      <c r="I692" s="125"/>
      <c r="J692" s="99"/>
      <c r="K692" s="99"/>
      <c r="L692" s="99"/>
      <c r="M692" s="99"/>
      <c r="O692" s="84"/>
      <c r="P692" s="84"/>
      <c r="Q692" s="84"/>
      <c r="R692" s="84"/>
      <c r="S692" s="84"/>
      <c r="T692" s="84"/>
      <c r="U692" s="84"/>
      <c r="V692" s="84"/>
    </row>
    <row r="693" ht="15.75" customHeight="1">
      <c r="A693" s="125"/>
      <c r="B693" s="125"/>
      <c r="C693" s="125"/>
      <c r="D693" s="125"/>
      <c r="E693" s="125"/>
      <c r="F693" s="126"/>
      <c r="G693" s="126"/>
      <c r="H693" s="125"/>
      <c r="I693" s="125"/>
      <c r="J693" s="99"/>
      <c r="K693" s="99"/>
      <c r="L693" s="99"/>
      <c r="M693" s="99"/>
      <c r="O693" s="84"/>
      <c r="P693" s="84"/>
      <c r="Q693" s="84"/>
      <c r="R693" s="84"/>
      <c r="S693" s="84"/>
      <c r="T693" s="84"/>
      <c r="U693" s="84"/>
      <c r="V693" s="84"/>
    </row>
    <row r="694" ht="15.75" customHeight="1">
      <c r="A694" s="125"/>
      <c r="B694" s="125"/>
      <c r="C694" s="125"/>
      <c r="D694" s="125"/>
      <c r="E694" s="125"/>
      <c r="F694" s="126"/>
      <c r="G694" s="126"/>
      <c r="H694" s="125"/>
      <c r="I694" s="125"/>
      <c r="J694" s="99"/>
      <c r="K694" s="99"/>
      <c r="L694" s="99"/>
      <c r="M694" s="99"/>
      <c r="O694" s="84"/>
      <c r="P694" s="84"/>
      <c r="Q694" s="84"/>
      <c r="R694" s="84"/>
      <c r="S694" s="84"/>
      <c r="T694" s="84"/>
      <c r="U694" s="84"/>
      <c r="V694" s="84"/>
    </row>
    <row r="695" ht="15.75" customHeight="1">
      <c r="A695" s="125"/>
      <c r="B695" s="125"/>
      <c r="C695" s="125"/>
      <c r="D695" s="125"/>
      <c r="E695" s="125"/>
      <c r="F695" s="126"/>
      <c r="G695" s="126"/>
      <c r="H695" s="125"/>
      <c r="I695" s="125"/>
      <c r="J695" s="99"/>
      <c r="K695" s="99"/>
      <c r="L695" s="99"/>
      <c r="M695" s="99"/>
      <c r="O695" s="84"/>
      <c r="P695" s="84"/>
      <c r="Q695" s="84"/>
      <c r="R695" s="84"/>
      <c r="S695" s="84"/>
      <c r="T695" s="84"/>
      <c r="U695" s="84"/>
      <c r="V695" s="84"/>
    </row>
    <row r="696" ht="15.75" customHeight="1">
      <c r="A696" s="125"/>
      <c r="B696" s="125"/>
      <c r="C696" s="125"/>
      <c r="D696" s="125"/>
      <c r="E696" s="125"/>
      <c r="F696" s="126"/>
      <c r="G696" s="126"/>
      <c r="H696" s="125"/>
      <c r="I696" s="125"/>
      <c r="J696" s="99"/>
      <c r="K696" s="99"/>
      <c r="L696" s="99"/>
      <c r="M696" s="99"/>
      <c r="O696" s="84"/>
      <c r="P696" s="84"/>
      <c r="Q696" s="84"/>
      <c r="R696" s="84"/>
      <c r="S696" s="84"/>
      <c r="T696" s="84"/>
      <c r="U696" s="84"/>
      <c r="V696" s="84"/>
    </row>
    <row r="697" ht="15.75" customHeight="1">
      <c r="A697" s="125"/>
      <c r="B697" s="125"/>
      <c r="C697" s="125"/>
      <c r="D697" s="125"/>
      <c r="E697" s="125"/>
      <c r="F697" s="126"/>
      <c r="G697" s="126"/>
      <c r="H697" s="125"/>
      <c r="I697" s="125"/>
      <c r="J697" s="99"/>
      <c r="K697" s="99"/>
      <c r="L697" s="99"/>
      <c r="M697" s="99"/>
      <c r="O697" s="84"/>
      <c r="P697" s="84"/>
      <c r="Q697" s="84"/>
      <c r="R697" s="84"/>
      <c r="S697" s="84"/>
      <c r="T697" s="84"/>
      <c r="U697" s="84"/>
      <c r="V697" s="84"/>
    </row>
    <row r="698" ht="15.75" customHeight="1">
      <c r="A698" s="125"/>
      <c r="B698" s="125"/>
      <c r="C698" s="125"/>
      <c r="D698" s="125"/>
      <c r="E698" s="125"/>
      <c r="F698" s="126"/>
      <c r="G698" s="126"/>
      <c r="H698" s="125"/>
      <c r="I698" s="125"/>
      <c r="J698" s="99"/>
      <c r="K698" s="99"/>
      <c r="L698" s="99"/>
      <c r="M698" s="99"/>
      <c r="O698" s="84"/>
      <c r="P698" s="84"/>
      <c r="Q698" s="84"/>
      <c r="R698" s="84"/>
      <c r="S698" s="84"/>
      <c r="T698" s="84"/>
      <c r="U698" s="84"/>
      <c r="V698" s="84"/>
    </row>
    <row r="699" ht="15.75" customHeight="1">
      <c r="A699" s="125"/>
      <c r="B699" s="125"/>
      <c r="C699" s="125"/>
      <c r="D699" s="125"/>
      <c r="E699" s="125"/>
      <c r="F699" s="126"/>
      <c r="G699" s="126"/>
      <c r="H699" s="125"/>
      <c r="I699" s="125"/>
      <c r="J699" s="99"/>
      <c r="K699" s="99"/>
      <c r="L699" s="99"/>
      <c r="M699" s="99"/>
      <c r="O699" s="84"/>
      <c r="P699" s="84"/>
      <c r="Q699" s="84"/>
      <c r="R699" s="84"/>
      <c r="S699" s="84"/>
      <c r="T699" s="84"/>
      <c r="U699" s="84"/>
      <c r="V699" s="84"/>
    </row>
    <row r="700" ht="15.75" customHeight="1">
      <c r="A700" s="125"/>
      <c r="B700" s="125"/>
      <c r="C700" s="125"/>
      <c r="D700" s="125"/>
      <c r="E700" s="125"/>
      <c r="F700" s="126"/>
      <c r="G700" s="126"/>
      <c r="H700" s="125"/>
      <c r="I700" s="125"/>
      <c r="J700" s="99"/>
      <c r="K700" s="99"/>
      <c r="L700" s="99"/>
      <c r="M700" s="99"/>
      <c r="O700" s="84"/>
      <c r="P700" s="84"/>
      <c r="Q700" s="84"/>
      <c r="R700" s="84"/>
      <c r="S700" s="84"/>
      <c r="T700" s="84"/>
      <c r="U700" s="84"/>
      <c r="V700" s="84"/>
    </row>
    <row r="701" ht="15.75" customHeight="1">
      <c r="A701" s="125"/>
      <c r="B701" s="125"/>
      <c r="C701" s="125"/>
      <c r="D701" s="125"/>
      <c r="E701" s="125"/>
      <c r="F701" s="126"/>
      <c r="G701" s="126"/>
      <c r="H701" s="125"/>
      <c r="I701" s="125"/>
      <c r="J701" s="99"/>
      <c r="K701" s="99"/>
      <c r="L701" s="99"/>
      <c r="M701" s="99"/>
      <c r="O701" s="84"/>
      <c r="P701" s="84"/>
      <c r="Q701" s="84"/>
      <c r="R701" s="84"/>
      <c r="S701" s="84"/>
      <c r="T701" s="84"/>
      <c r="U701" s="84"/>
      <c r="V701" s="84"/>
    </row>
    <row r="702" ht="15.75" customHeight="1">
      <c r="A702" s="125"/>
      <c r="B702" s="125"/>
      <c r="C702" s="125"/>
      <c r="D702" s="125"/>
      <c r="E702" s="125"/>
      <c r="F702" s="126"/>
      <c r="G702" s="126"/>
      <c r="H702" s="125"/>
      <c r="I702" s="125"/>
      <c r="J702" s="99"/>
      <c r="K702" s="99"/>
      <c r="L702" s="99"/>
      <c r="M702" s="99"/>
      <c r="O702" s="84"/>
      <c r="P702" s="84"/>
      <c r="Q702" s="84"/>
      <c r="R702" s="84"/>
      <c r="S702" s="84"/>
      <c r="T702" s="84"/>
      <c r="U702" s="84"/>
      <c r="V702" s="84"/>
    </row>
    <row r="703" ht="15.75" customHeight="1">
      <c r="A703" s="125"/>
      <c r="B703" s="125"/>
      <c r="C703" s="125"/>
      <c r="D703" s="125"/>
      <c r="E703" s="125"/>
      <c r="F703" s="126"/>
      <c r="G703" s="126"/>
      <c r="H703" s="125"/>
      <c r="I703" s="125"/>
      <c r="J703" s="99"/>
      <c r="K703" s="99"/>
      <c r="L703" s="99"/>
      <c r="M703" s="99"/>
      <c r="O703" s="84"/>
      <c r="P703" s="84"/>
      <c r="Q703" s="84"/>
      <c r="R703" s="84"/>
      <c r="S703" s="84"/>
      <c r="T703" s="84"/>
      <c r="U703" s="84"/>
      <c r="V703" s="84"/>
    </row>
    <row r="704" ht="15.75" customHeight="1">
      <c r="A704" s="125"/>
      <c r="B704" s="125"/>
      <c r="C704" s="125"/>
      <c r="D704" s="125"/>
      <c r="E704" s="125"/>
      <c r="F704" s="126"/>
      <c r="G704" s="126"/>
      <c r="H704" s="125"/>
      <c r="I704" s="125"/>
      <c r="J704" s="99"/>
      <c r="K704" s="99"/>
      <c r="L704" s="99"/>
      <c r="M704" s="99"/>
      <c r="O704" s="84"/>
      <c r="P704" s="84"/>
      <c r="Q704" s="84"/>
      <c r="R704" s="84"/>
      <c r="S704" s="84"/>
      <c r="T704" s="84"/>
      <c r="U704" s="84"/>
      <c r="V704" s="84"/>
    </row>
    <row r="705" ht="15.75" customHeight="1">
      <c r="A705" s="125"/>
      <c r="B705" s="125"/>
      <c r="C705" s="125"/>
      <c r="D705" s="125"/>
      <c r="E705" s="125"/>
      <c r="F705" s="126"/>
      <c r="G705" s="126"/>
      <c r="H705" s="125"/>
      <c r="I705" s="125"/>
      <c r="J705" s="99"/>
      <c r="K705" s="99"/>
      <c r="L705" s="99"/>
      <c r="M705" s="99"/>
      <c r="O705" s="84"/>
      <c r="P705" s="84"/>
      <c r="Q705" s="84"/>
      <c r="R705" s="84"/>
      <c r="S705" s="84"/>
      <c r="T705" s="84"/>
      <c r="U705" s="84"/>
      <c r="V705" s="84"/>
    </row>
    <row r="706" ht="15.75" customHeight="1">
      <c r="A706" s="125"/>
      <c r="B706" s="125"/>
      <c r="C706" s="125"/>
      <c r="D706" s="125"/>
      <c r="E706" s="125"/>
      <c r="F706" s="126"/>
      <c r="G706" s="126"/>
      <c r="H706" s="125"/>
      <c r="I706" s="125"/>
      <c r="J706" s="99"/>
      <c r="K706" s="99"/>
      <c r="L706" s="99"/>
      <c r="M706" s="99"/>
      <c r="O706" s="84"/>
      <c r="P706" s="84"/>
      <c r="Q706" s="84"/>
      <c r="R706" s="84"/>
      <c r="S706" s="84"/>
      <c r="T706" s="84"/>
      <c r="U706" s="84"/>
      <c r="V706" s="84"/>
    </row>
    <row r="707" ht="15.75" customHeight="1">
      <c r="A707" s="125"/>
      <c r="B707" s="125"/>
      <c r="C707" s="125"/>
      <c r="D707" s="125"/>
      <c r="E707" s="125"/>
      <c r="F707" s="126"/>
      <c r="G707" s="126"/>
      <c r="H707" s="125"/>
      <c r="I707" s="125"/>
      <c r="J707" s="99"/>
      <c r="K707" s="99"/>
      <c r="L707" s="99"/>
      <c r="M707" s="99"/>
      <c r="O707" s="84"/>
      <c r="P707" s="84"/>
      <c r="Q707" s="84"/>
      <c r="R707" s="84"/>
      <c r="S707" s="84"/>
      <c r="T707" s="84"/>
      <c r="U707" s="84"/>
      <c r="V707" s="84"/>
    </row>
    <row r="708" ht="15.75" customHeight="1">
      <c r="A708" s="125"/>
      <c r="B708" s="125"/>
      <c r="C708" s="125"/>
      <c r="D708" s="125"/>
      <c r="E708" s="125"/>
      <c r="F708" s="126"/>
      <c r="G708" s="126"/>
      <c r="H708" s="125"/>
      <c r="I708" s="125"/>
      <c r="J708" s="99"/>
      <c r="K708" s="99"/>
      <c r="L708" s="99"/>
      <c r="M708" s="99"/>
      <c r="O708" s="84"/>
      <c r="P708" s="84"/>
      <c r="Q708" s="84"/>
      <c r="R708" s="84"/>
      <c r="S708" s="84"/>
      <c r="T708" s="84"/>
      <c r="U708" s="84"/>
      <c r="V708" s="84"/>
    </row>
    <row r="709" ht="15.75" customHeight="1">
      <c r="A709" s="125"/>
      <c r="B709" s="125"/>
      <c r="C709" s="125"/>
      <c r="D709" s="125"/>
      <c r="E709" s="125"/>
      <c r="F709" s="126"/>
      <c r="G709" s="126"/>
      <c r="H709" s="125"/>
      <c r="I709" s="125"/>
      <c r="J709" s="99"/>
      <c r="K709" s="99"/>
      <c r="L709" s="99"/>
      <c r="M709" s="99"/>
      <c r="O709" s="84"/>
      <c r="P709" s="84"/>
      <c r="Q709" s="84"/>
      <c r="R709" s="84"/>
      <c r="S709" s="84"/>
      <c r="T709" s="84"/>
      <c r="U709" s="84"/>
      <c r="V709" s="84"/>
    </row>
    <row r="710" ht="15.75" customHeight="1">
      <c r="A710" s="125"/>
      <c r="B710" s="125"/>
      <c r="C710" s="125"/>
      <c r="D710" s="125"/>
      <c r="E710" s="125"/>
      <c r="F710" s="126"/>
      <c r="G710" s="126"/>
      <c r="H710" s="125"/>
      <c r="I710" s="125"/>
      <c r="J710" s="99"/>
      <c r="K710" s="99"/>
      <c r="L710" s="99"/>
      <c r="M710" s="99"/>
      <c r="O710" s="84"/>
      <c r="P710" s="84"/>
      <c r="Q710" s="84"/>
      <c r="R710" s="84"/>
      <c r="S710" s="84"/>
      <c r="T710" s="84"/>
      <c r="U710" s="84"/>
      <c r="V710" s="84"/>
    </row>
    <row r="711" ht="15.75" customHeight="1">
      <c r="A711" s="125"/>
      <c r="B711" s="125"/>
      <c r="C711" s="125"/>
      <c r="D711" s="125"/>
      <c r="E711" s="125"/>
      <c r="F711" s="126"/>
      <c r="G711" s="126"/>
      <c r="H711" s="125"/>
      <c r="I711" s="125"/>
      <c r="J711" s="99"/>
      <c r="K711" s="99"/>
      <c r="L711" s="99"/>
      <c r="M711" s="99"/>
      <c r="O711" s="84"/>
      <c r="P711" s="84"/>
      <c r="Q711" s="84"/>
      <c r="R711" s="84"/>
      <c r="S711" s="84"/>
      <c r="T711" s="84"/>
      <c r="U711" s="84"/>
      <c r="V711" s="84"/>
    </row>
    <row r="712" ht="15.75" customHeight="1">
      <c r="A712" s="125"/>
      <c r="B712" s="125"/>
      <c r="C712" s="125"/>
      <c r="D712" s="125"/>
      <c r="E712" s="125"/>
      <c r="F712" s="126"/>
      <c r="G712" s="126"/>
      <c r="H712" s="125"/>
      <c r="I712" s="125"/>
      <c r="J712" s="99"/>
      <c r="K712" s="99"/>
      <c r="L712" s="99"/>
      <c r="M712" s="99"/>
      <c r="O712" s="84"/>
      <c r="P712" s="84"/>
      <c r="Q712" s="84"/>
      <c r="R712" s="84"/>
      <c r="S712" s="84"/>
      <c r="T712" s="84"/>
      <c r="U712" s="84"/>
      <c r="V712" s="84"/>
    </row>
    <row r="713" ht="15.75" customHeight="1">
      <c r="A713" s="125"/>
      <c r="B713" s="125"/>
      <c r="C713" s="125"/>
      <c r="D713" s="125"/>
      <c r="E713" s="125"/>
      <c r="F713" s="126"/>
      <c r="G713" s="126"/>
      <c r="H713" s="125"/>
      <c r="I713" s="125"/>
      <c r="J713" s="99"/>
      <c r="K713" s="99"/>
      <c r="L713" s="99"/>
      <c r="M713" s="99"/>
      <c r="O713" s="84"/>
      <c r="P713" s="84"/>
      <c r="Q713" s="84"/>
      <c r="R713" s="84"/>
      <c r="S713" s="84"/>
      <c r="T713" s="84"/>
      <c r="U713" s="84"/>
      <c r="V713" s="84"/>
    </row>
    <row r="714" ht="15.75" customHeight="1">
      <c r="A714" s="125"/>
      <c r="B714" s="125"/>
      <c r="C714" s="125"/>
      <c r="D714" s="125"/>
      <c r="E714" s="125"/>
      <c r="F714" s="126"/>
      <c r="G714" s="126"/>
      <c r="H714" s="125"/>
      <c r="I714" s="125"/>
      <c r="J714" s="99"/>
      <c r="K714" s="99"/>
      <c r="L714" s="99"/>
      <c r="M714" s="99"/>
      <c r="O714" s="84"/>
      <c r="P714" s="84"/>
      <c r="Q714" s="84"/>
      <c r="R714" s="84"/>
      <c r="S714" s="84"/>
      <c r="T714" s="84"/>
      <c r="U714" s="84"/>
      <c r="V714" s="84"/>
    </row>
    <row r="715" ht="15.75" customHeight="1">
      <c r="A715" s="125"/>
      <c r="B715" s="125"/>
      <c r="C715" s="125"/>
      <c r="D715" s="125"/>
      <c r="E715" s="125"/>
      <c r="F715" s="126"/>
      <c r="G715" s="126"/>
      <c r="H715" s="125"/>
      <c r="I715" s="125"/>
      <c r="J715" s="99"/>
      <c r="K715" s="99"/>
      <c r="L715" s="99"/>
      <c r="M715" s="99"/>
      <c r="O715" s="84"/>
      <c r="P715" s="84"/>
      <c r="Q715" s="84"/>
      <c r="R715" s="84"/>
      <c r="S715" s="84"/>
      <c r="T715" s="84"/>
      <c r="U715" s="84"/>
      <c r="V715" s="84"/>
    </row>
    <row r="716" ht="15.75" customHeight="1">
      <c r="A716" s="125"/>
      <c r="B716" s="125"/>
      <c r="C716" s="125"/>
      <c r="D716" s="125"/>
      <c r="E716" s="125"/>
      <c r="F716" s="126"/>
      <c r="G716" s="126"/>
      <c r="H716" s="125"/>
      <c r="I716" s="125"/>
      <c r="J716" s="99"/>
      <c r="K716" s="99"/>
      <c r="L716" s="99"/>
      <c r="M716" s="99"/>
      <c r="O716" s="84"/>
      <c r="P716" s="84"/>
      <c r="Q716" s="84"/>
      <c r="R716" s="84"/>
      <c r="S716" s="84"/>
      <c r="T716" s="84"/>
      <c r="U716" s="84"/>
      <c r="V716" s="84"/>
    </row>
    <row r="717" ht="15.75" customHeight="1">
      <c r="A717" s="125"/>
      <c r="B717" s="125"/>
      <c r="C717" s="125"/>
      <c r="D717" s="125"/>
      <c r="E717" s="125"/>
      <c r="F717" s="126"/>
      <c r="G717" s="126"/>
      <c r="H717" s="125"/>
      <c r="I717" s="125"/>
      <c r="J717" s="99"/>
      <c r="K717" s="99"/>
      <c r="L717" s="99"/>
      <c r="M717" s="99"/>
      <c r="O717" s="84"/>
      <c r="P717" s="84"/>
      <c r="Q717" s="84"/>
      <c r="R717" s="84"/>
      <c r="S717" s="84"/>
      <c r="T717" s="84"/>
      <c r="U717" s="84"/>
      <c r="V717" s="84"/>
    </row>
    <row r="718" ht="15.75" customHeight="1">
      <c r="A718" s="125"/>
      <c r="B718" s="125"/>
      <c r="C718" s="125"/>
      <c r="D718" s="125"/>
      <c r="E718" s="125"/>
      <c r="F718" s="126"/>
      <c r="G718" s="126"/>
      <c r="H718" s="125"/>
      <c r="I718" s="125"/>
      <c r="J718" s="99"/>
      <c r="K718" s="99"/>
      <c r="L718" s="99"/>
      <c r="M718" s="99"/>
      <c r="O718" s="84"/>
      <c r="P718" s="84"/>
      <c r="Q718" s="84"/>
      <c r="R718" s="84"/>
      <c r="S718" s="84"/>
      <c r="T718" s="84"/>
      <c r="U718" s="84"/>
      <c r="V718" s="84"/>
    </row>
    <row r="719" ht="15.75" customHeight="1">
      <c r="A719" s="125"/>
      <c r="B719" s="125"/>
      <c r="C719" s="125"/>
      <c r="D719" s="125"/>
      <c r="E719" s="125"/>
      <c r="F719" s="126"/>
      <c r="G719" s="126"/>
      <c r="H719" s="125"/>
      <c r="I719" s="125"/>
      <c r="J719" s="99"/>
      <c r="K719" s="99"/>
      <c r="L719" s="99"/>
      <c r="M719" s="99"/>
      <c r="O719" s="84"/>
      <c r="P719" s="84"/>
      <c r="Q719" s="84"/>
      <c r="R719" s="84"/>
      <c r="S719" s="84"/>
      <c r="T719" s="84"/>
      <c r="U719" s="84"/>
      <c r="V719" s="84"/>
    </row>
    <row r="720" ht="15.75" customHeight="1">
      <c r="A720" s="125"/>
      <c r="B720" s="125"/>
      <c r="C720" s="125"/>
      <c r="D720" s="125"/>
      <c r="E720" s="125"/>
      <c r="F720" s="126"/>
      <c r="G720" s="126"/>
      <c r="H720" s="125"/>
      <c r="I720" s="125"/>
      <c r="J720" s="99"/>
      <c r="K720" s="99"/>
      <c r="L720" s="99"/>
      <c r="M720" s="99"/>
      <c r="O720" s="84"/>
      <c r="P720" s="84"/>
      <c r="Q720" s="84"/>
      <c r="R720" s="84"/>
      <c r="S720" s="84"/>
      <c r="T720" s="84"/>
      <c r="U720" s="84"/>
      <c r="V720" s="84"/>
    </row>
    <row r="721" ht="15.75" customHeight="1">
      <c r="A721" s="125"/>
      <c r="B721" s="125"/>
      <c r="C721" s="125"/>
      <c r="D721" s="125"/>
      <c r="E721" s="125"/>
      <c r="F721" s="126"/>
      <c r="G721" s="126"/>
      <c r="H721" s="125"/>
      <c r="I721" s="125"/>
      <c r="J721" s="99"/>
      <c r="K721" s="99"/>
      <c r="L721" s="99"/>
      <c r="M721" s="99"/>
      <c r="O721" s="84"/>
      <c r="P721" s="84"/>
      <c r="Q721" s="84"/>
      <c r="R721" s="84"/>
      <c r="S721" s="84"/>
      <c r="T721" s="84"/>
      <c r="U721" s="84"/>
      <c r="V721" s="84"/>
    </row>
    <row r="722" ht="15.75" customHeight="1">
      <c r="A722" s="125"/>
      <c r="B722" s="125"/>
      <c r="C722" s="125"/>
      <c r="D722" s="125"/>
      <c r="E722" s="125"/>
      <c r="F722" s="126"/>
      <c r="G722" s="126"/>
      <c r="H722" s="125"/>
      <c r="I722" s="125"/>
      <c r="J722" s="99"/>
      <c r="K722" s="99"/>
      <c r="L722" s="99"/>
      <c r="M722" s="99"/>
      <c r="O722" s="84"/>
      <c r="P722" s="84"/>
      <c r="Q722" s="84"/>
      <c r="R722" s="84"/>
      <c r="S722" s="84"/>
      <c r="T722" s="84"/>
      <c r="U722" s="84"/>
      <c r="V722" s="84"/>
    </row>
    <row r="723" ht="15.75" customHeight="1">
      <c r="A723" s="125"/>
      <c r="B723" s="125"/>
      <c r="C723" s="125"/>
      <c r="D723" s="125"/>
      <c r="E723" s="125"/>
      <c r="F723" s="126"/>
      <c r="G723" s="126"/>
      <c r="H723" s="125"/>
      <c r="I723" s="125"/>
      <c r="J723" s="99"/>
      <c r="K723" s="99"/>
      <c r="L723" s="99"/>
      <c r="M723" s="99"/>
      <c r="O723" s="84"/>
      <c r="P723" s="84"/>
      <c r="Q723" s="84"/>
      <c r="R723" s="84"/>
      <c r="S723" s="84"/>
      <c r="T723" s="84"/>
      <c r="U723" s="84"/>
      <c r="V723" s="84"/>
    </row>
    <row r="724" ht="15.75" customHeight="1">
      <c r="A724" s="125"/>
      <c r="B724" s="125"/>
      <c r="C724" s="125"/>
      <c r="D724" s="125"/>
      <c r="E724" s="125"/>
      <c r="F724" s="126"/>
      <c r="G724" s="126"/>
      <c r="H724" s="125"/>
      <c r="I724" s="125"/>
      <c r="J724" s="99"/>
      <c r="K724" s="99"/>
      <c r="L724" s="99"/>
      <c r="M724" s="99"/>
      <c r="O724" s="84"/>
      <c r="P724" s="84"/>
      <c r="Q724" s="84"/>
      <c r="R724" s="84"/>
      <c r="S724" s="84"/>
      <c r="T724" s="84"/>
      <c r="U724" s="84"/>
      <c r="V724" s="84"/>
    </row>
    <row r="725" ht="15.75" customHeight="1">
      <c r="A725" s="125"/>
      <c r="B725" s="125"/>
      <c r="C725" s="125"/>
      <c r="D725" s="125"/>
      <c r="E725" s="125"/>
      <c r="F725" s="126"/>
      <c r="G725" s="126"/>
      <c r="H725" s="125"/>
      <c r="I725" s="125"/>
      <c r="J725" s="99"/>
      <c r="K725" s="99"/>
      <c r="L725" s="99"/>
      <c r="M725" s="99"/>
      <c r="O725" s="84"/>
      <c r="Q725" s="84"/>
      <c r="R725" s="84"/>
      <c r="S725" s="84"/>
      <c r="T725" s="84"/>
      <c r="U725" s="84"/>
      <c r="V725" s="84"/>
    </row>
    <row r="726" ht="15.75" customHeight="1">
      <c r="A726" s="125"/>
      <c r="B726" s="125"/>
      <c r="C726" s="125"/>
      <c r="D726" s="125"/>
      <c r="E726" s="125"/>
      <c r="F726" s="126"/>
      <c r="G726" s="126"/>
      <c r="H726" s="125"/>
      <c r="I726" s="125"/>
      <c r="J726" s="99"/>
      <c r="K726" s="99"/>
      <c r="L726" s="99"/>
      <c r="M726" s="99"/>
      <c r="O726" s="84"/>
      <c r="Q726" s="84"/>
      <c r="R726" s="84"/>
      <c r="S726" s="84"/>
      <c r="T726" s="84"/>
      <c r="U726" s="84"/>
      <c r="V726" s="84"/>
    </row>
    <row r="727" ht="15.75" customHeight="1">
      <c r="A727" s="125"/>
      <c r="B727" s="125"/>
      <c r="C727" s="125"/>
      <c r="D727" s="125"/>
      <c r="E727" s="125"/>
      <c r="F727" s="126"/>
      <c r="G727" s="126"/>
      <c r="H727" s="125"/>
      <c r="I727" s="125"/>
      <c r="J727" s="99"/>
      <c r="K727" s="99"/>
      <c r="L727" s="99"/>
      <c r="M727" s="99"/>
      <c r="O727" s="84"/>
      <c r="Q727" s="84"/>
      <c r="R727" s="84"/>
      <c r="S727" s="84"/>
      <c r="T727" s="84"/>
      <c r="U727" s="84"/>
      <c r="V727" s="84"/>
    </row>
    <row r="728" ht="15.75" customHeight="1">
      <c r="A728" s="125"/>
      <c r="B728" s="125"/>
      <c r="C728" s="125"/>
      <c r="D728" s="125"/>
      <c r="E728" s="125"/>
      <c r="F728" s="126"/>
      <c r="G728" s="126"/>
      <c r="H728" s="125"/>
      <c r="I728" s="125"/>
      <c r="J728" s="99"/>
      <c r="K728" s="99"/>
      <c r="L728" s="99"/>
      <c r="M728" s="99"/>
      <c r="O728" s="84"/>
      <c r="Q728" s="84"/>
      <c r="R728" s="84"/>
      <c r="S728" s="84"/>
      <c r="T728" s="84"/>
      <c r="U728" s="84"/>
      <c r="V728" s="84"/>
    </row>
    <row r="729" ht="15.75" customHeight="1">
      <c r="A729" s="125"/>
      <c r="B729" s="125"/>
      <c r="C729" s="125"/>
      <c r="D729" s="125"/>
      <c r="E729" s="125"/>
      <c r="F729" s="126"/>
      <c r="G729" s="126"/>
      <c r="H729" s="125"/>
      <c r="I729" s="125"/>
      <c r="J729" s="99"/>
      <c r="K729" s="99"/>
      <c r="L729" s="99"/>
      <c r="M729" s="99"/>
      <c r="O729" s="84"/>
      <c r="Q729" s="84"/>
      <c r="R729" s="84"/>
      <c r="S729" s="84"/>
      <c r="T729" s="84"/>
      <c r="U729" s="84"/>
      <c r="V729" s="84"/>
    </row>
    <row r="730" ht="15.75" customHeight="1">
      <c r="A730" s="125"/>
      <c r="B730" s="125"/>
      <c r="C730" s="125"/>
      <c r="D730" s="125"/>
      <c r="E730" s="125"/>
      <c r="F730" s="126"/>
      <c r="G730" s="126"/>
      <c r="H730" s="125"/>
      <c r="I730" s="125"/>
      <c r="J730" s="99"/>
      <c r="K730" s="99"/>
      <c r="L730" s="99"/>
      <c r="M730" s="99"/>
      <c r="O730" s="84"/>
      <c r="Q730" s="84"/>
      <c r="R730" s="84"/>
      <c r="S730" s="84"/>
      <c r="T730" s="84"/>
      <c r="U730" s="84"/>
      <c r="V730" s="84"/>
    </row>
    <row r="731" ht="15.75" customHeight="1">
      <c r="A731" s="125"/>
      <c r="B731" s="125"/>
      <c r="C731" s="125"/>
      <c r="D731" s="125"/>
      <c r="E731" s="125"/>
      <c r="F731" s="126"/>
      <c r="G731" s="126"/>
      <c r="H731" s="125"/>
      <c r="I731" s="125"/>
      <c r="J731" s="99"/>
      <c r="K731" s="99"/>
      <c r="L731" s="99"/>
      <c r="M731" s="99"/>
      <c r="O731" s="84"/>
      <c r="Q731" s="84"/>
      <c r="R731" s="84"/>
      <c r="S731" s="84"/>
      <c r="T731" s="84"/>
      <c r="U731" s="84"/>
      <c r="V731" s="84"/>
    </row>
    <row r="732" ht="15.75" customHeight="1">
      <c r="A732" s="125"/>
      <c r="B732" s="125"/>
      <c r="C732" s="125"/>
      <c r="D732" s="125"/>
      <c r="E732" s="125"/>
      <c r="F732" s="126"/>
      <c r="G732" s="126"/>
      <c r="H732" s="125"/>
      <c r="I732" s="125"/>
      <c r="J732" s="99"/>
      <c r="K732" s="99"/>
      <c r="L732" s="99"/>
      <c r="M732" s="99"/>
      <c r="O732" s="84"/>
      <c r="Q732" s="84"/>
      <c r="R732" s="84"/>
      <c r="S732" s="84"/>
      <c r="T732" s="84"/>
      <c r="U732" s="84"/>
      <c r="V732" s="84"/>
    </row>
    <row r="733" ht="15.75" customHeight="1">
      <c r="A733" s="125"/>
      <c r="B733" s="125"/>
      <c r="C733" s="125"/>
      <c r="D733" s="125"/>
      <c r="E733" s="125"/>
      <c r="F733" s="126"/>
      <c r="G733" s="126"/>
      <c r="H733" s="125"/>
      <c r="I733" s="125"/>
      <c r="J733" s="99"/>
      <c r="K733" s="99"/>
      <c r="L733" s="99"/>
      <c r="M733" s="99"/>
      <c r="O733" s="84"/>
      <c r="Q733" s="84"/>
      <c r="R733" s="84"/>
      <c r="S733" s="84"/>
      <c r="T733" s="84"/>
      <c r="U733" s="84"/>
      <c r="V733" s="84"/>
    </row>
    <row r="734" ht="15.75" customHeight="1">
      <c r="A734" s="125"/>
      <c r="B734" s="125"/>
      <c r="C734" s="125"/>
      <c r="D734" s="125"/>
      <c r="E734" s="125"/>
      <c r="F734" s="126"/>
      <c r="G734" s="126"/>
      <c r="H734" s="125"/>
      <c r="I734" s="125"/>
      <c r="J734" s="99"/>
      <c r="K734" s="99"/>
      <c r="L734" s="99"/>
      <c r="M734" s="99"/>
      <c r="O734" s="84"/>
      <c r="Q734" s="84"/>
      <c r="R734" s="84"/>
      <c r="S734" s="84"/>
      <c r="T734" s="84"/>
      <c r="U734" s="84"/>
      <c r="V734" s="84"/>
    </row>
    <row r="735" ht="15.75" customHeight="1">
      <c r="A735" s="125"/>
      <c r="B735" s="125"/>
      <c r="C735" s="125"/>
      <c r="D735" s="125"/>
      <c r="E735" s="125"/>
      <c r="F735" s="126"/>
      <c r="G735" s="126"/>
      <c r="H735" s="125"/>
      <c r="I735" s="125"/>
      <c r="J735" s="99"/>
      <c r="K735" s="99"/>
      <c r="L735" s="99"/>
      <c r="M735" s="99"/>
      <c r="O735" s="84"/>
      <c r="Q735" s="84"/>
      <c r="R735" s="84"/>
      <c r="S735" s="84"/>
      <c r="T735" s="84"/>
      <c r="U735" s="84"/>
      <c r="V735" s="84"/>
    </row>
  </sheetData>
  <mergeCells count="68">
    <mergeCell ref="E247:E252"/>
    <mergeCell ref="E253:E258"/>
    <mergeCell ref="E195:E200"/>
    <mergeCell ref="E203:E206"/>
    <mergeCell ref="E207:E226"/>
    <mergeCell ref="E227:E229"/>
    <mergeCell ref="E230:E232"/>
    <mergeCell ref="E233:E238"/>
    <mergeCell ref="E239:E244"/>
    <mergeCell ref="D417:D502"/>
    <mergeCell ref="D503:D514"/>
    <mergeCell ref="D289:D296"/>
    <mergeCell ref="E289:E296"/>
    <mergeCell ref="D297:D344"/>
    <mergeCell ref="E297:E344"/>
    <mergeCell ref="D345:D416"/>
    <mergeCell ref="E345:E416"/>
    <mergeCell ref="E417:E502"/>
    <mergeCell ref="E503:E514"/>
    <mergeCell ref="D2:D30"/>
    <mergeCell ref="E2:E30"/>
    <mergeCell ref="D31:D38"/>
    <mergeCell ref="E31:E38"/>
    <mergeCell ref="D39:D58"/>
    <mergeCell ref="E39:E58"/>
    <mergeCell ref="E59:E66"/>
    <mergeCell ref="D59:D66"/>
    <mergeCell ref="D67:D86"/>
    <mergeCell ref="E67:E86"/>
    <mergeCell ref="D87:D94"/>
    <mergeCell ref="E87:E94"/>
    <mergeCell ref="D95:D114"/>
    <mergeCell ref="E95:E114"/>
    <mergeCell ref="D115:D118"/>
    <mergeCell ref="E115:E118"/>
    <mergeCell ref="D119:D138"/>
    <mergeCell ref="E119:E138"/>
    <mergeCell ref="D139:D141"/>
    <mergeCell ref="E139:E141"/>
    <mergeCell ref="E142:E144"/>
    <mergeCell ref="D142:D144"/>
    <mergeCell ref="D145:D150"/>
    <mergeCell ref="E145:E150"/>
    <mergeCell ref="D151:D156"/>
    <mergeCell ref="E151:E156"/>
    <mergeCell ref="D159:D162"/>
    <mergeCell ref="E159:E162"/>
    <mergeCell ref="D163:D182"/>
    <mergeCell ref="E163:E182"/>
    <mergeCell ref="D183:D185"/>
    <mergeCell ref="E183:E185"/>
    <mergeCell ref="D186:D188"/>
    <mergeCell ref="E186:E188"/>
    <mergeCell ref="E189:E194"/>
    <mergeCell ref="D189:D194"/>
    <mergeCell ref="D195:D200"/>
    <mergeCell ref="D203:D206"/>
    <mergeCell ref="D207:D226"/>
    <mergeCell ref="D227:D229"/>
    <mergeCell ref="D230:D232"/>
    <mergeCell ref="D233:D238"/>
    <mergeCell ref="D239:D244"/>
    <mergeCell ref="D247:D252"/>
    <mergeCell ref="D253:D258"/>
    <mergeCell ref="D259:D264"/>
    <mergeCell ref="E259:E264"/>
    <mergeCell ref="D265:D288"/>
    <mergeCell ref="E265:E288"/>
  </mergeCells>
  <conditionalFormatting sqref="J2 K2:N514 J5:J514">
    <cfRule type="cellIs" dxfId="3" priority="1" operator="greaterThan">
      <formula>1</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sheetData>
    <row r="1">
      <c r="A1" s="229">
        <v>1.1440001E7</v>
      </c>
    </row>
    <row r="2">
      <c r="A2" s="229">
        <v>1.1440002E7</v>
      </c>
    </row>
    <row r="3">
      <c r="A3" s="229">
        <v>1.1440003E7</v>
      </c>
    </row>
    <row r="4">
      <c r="A4" s="229">
        <v>1.1440004E7</v>
      </c>
    </row>
    <row r="5">
      <c r="A5" s="229">
        <v>1.1440005E7</v>
      </c>
    </row>
    <row r="6">
      <c r="A6" s="229">
        <v>1.1440006E7</v>
      </c>
    </row>
    <row r="7">
      <c r="A7" s="229">
        <v>1.1440007E7</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4.33"/>
    <col customWidth="1" min="2" max="2" width="18.11"/>
    <col customWidth="1" min="3" max="3" width="36.78"/>
    <col customWidth="1" min="4" max="5" width="14.33"/>
    <col customWidth="1" min="6" max="6" width="23.67"/>
    <col customWidth="1" hidden="1" min="7" max="7" width="43.22"/>
    <col customWidth="1" min="8" max="11" width="13.22"/>
    <col customWidth="1" min="12" max="12" width="11.89"/>
    <col customWidth="1" min="13" max="13" width="17.56"/>
    <col customWidth="1" min="14" max="14" width="21.44"/>
    <col customWidth="1" min="15" max="26" width="9.11"/>
    <col customWidth="1" min="28" max="28" width="10.56"/>
    <col customWidth="1" min="29" max="29" width="9.56"/>
    <col customWidth="1" min="30" max="30" width="8.44"/>
    <col customWidth="1" min="31" max="31" width="8.11"/>
    <col customWidth="1" min="32" max="32" width="8.22"/>
    <col customWidth="1" min="33" max="35" width="8.0"/>
  </cols>
  <sheetData>
    <row r="1" ht="15.75" customHeight="1">
      <c r="A1" s="230" t="s">
        <v>4133</v>
      </c>
      <c r="E1" s="46"/>
      <c r="F1" s="47" t="s">
        <v>73</v>
      </c>
      <c r="G1" s="48" t="s">
        <v>74</v>
      </c>
      <c r="H1" s="49" t="s">
        <v>75</v>
      </c>
      <c r="I1" s="49" t="s">
        <v>76</v>
      </c>
      <c r="J1" s="49" t="s">
        <v>77</v>
      </c>
      <c r="K1" s="49" t="s">
        <v>78</v>
      </c>
      <c r="L1" s="49" t="s">
        <v>79</v>
      </c>
      <c r="M1" s="50" t="s">
        <v>80</v>
      </c>
      <c r="N1" s="50" t="s">
        <v>81</v>
      </c>
      <c r="O1" s="84"/>
      <c r="P1" s="84"/>
      <c r="Q1" s="84"/>
      <c r="R1" s="84"/>
      <c r="S1" s="84"/>
      <c r="T1" s="84"/>
      <c r="U1" s="84"/>
      <c r="V1" s="84"/>
      <c r="W1" s="84"/>
      <c r="X1" s="84"/>
      <c r="Y1" s="84"/>
      <c r="Z1" s="84"/>
      <c r="AB1" s="84"/>
    </row>
    <row r="2" ht="15.75" customHeight="1">
      <c r="A2" s="28" t="s">
        <v>44</v>
      </c>
      <c r="B2" s="32" t="s">
        <v>45</v>
      </c>
      <c r="C2" s="231" t="s">
        <v>46</v>
      </c>
      <c r="D2" s="84"/>
      <c r="E2" s="232" t="s">
        <v>83</v>
      </c>
      <c r="F2" s="53" t="s">
        <v>4134</v>
      </c>
      <c r="G2" s="54" t="s">
        <v>4135</v>
      </c>
      <c r="H2" s="55"/>
      <c r="I2" s="55">
        <v>5.0</v>
      </c>
      <c r="J2" s="55" t="str">
        <f t="shared" ref="J2:J76" si="1">left(K2,5)</f>
        <v>10011</v>
      </c>
      <c r="K2" s="55">
        <v>1.0011E7</v>
      </c>
      <c r="L2" s="55">
        <v>1.0011E7</v>
      </c>
      <c r="M2" s="50">
        <f t="shared" ref="M2:M76" si="2">L2-K2+1</f>
        <v>1</v>
      </c>
      <c r="N2" s="50">
        <f t="shared" ref="N2:N22" si="3">K3-L2</f>
        <v>1</v>
      </c>
      <c r="O2" s="89"/>
      <c r="P2" s="89"/>
      <c r="Q2" s="89"/>
      <c r="R2" s="89"/>
      <c r="S2" s="89"/>
      <c r="T2" s="89"/>
      <c r="U2" s="89"/>
      <c r="V2" s="89"/>
      <c r="W2" s="89"/>
      <c r="X2" s="89"/>
      <c r="Y2" s="89"/>
      <c r="Z2" s="89"/>
      <c r="AB2" s="84"/>
    </row>
    <row r="3" ht="15.75" customHeight="1">
      <c r="A3" s="30">
        <v>1.0</v>
      </c>
      <c r="B3" s="31" t="s">
        <v>47</v>
      </c>
      <c r="C3" s="32"/>
      <c r="D3" s="84"/>
      <c r="E3" s="59"/>
      <c r="F3" s="53" t="s">
        <v>4136</v>
      </c>
      <c r="G3" s="54" t="s">
        <v>85</v>
      </c>
      <c r="H3" s="55" t="s">
        <v>4137</v>
      </c>
      <c r="I3" s="55">
        <v>5.0</v>
      </c>
      <c r="J3" s="55" t="str">
        <f t="shared" si="1"/>
        <v>10011</v>
      </c>
      <c r="K3" s="55">
        <v>1.0011001E7</v>
      </c>
      <c r="L3" s="55">
        <v>1.0011999E7</v>
      </c>
      <c r="M3" s="50">
        <f t="shared" si="2"/>
        <v>999</v>
      </c>
      <c r="N3" s="50">
        <f t="shared" si="3"/>
        <v>1</v>
      </c>
      <c r="O3" s="90"/>
      <c r="P3" s="90"/>
      <c r="Q3" s="90"/>
      <c r="R3" s="90"/>
      <c r="S3" s="90"/>
      <c r="T3" s="90"/>
      <c r="U3" s="90"/>
      <c r="V3" s="90"/>
      <c r="W3" s="90"/>
      <c r="X3" s="90"/>
      <c r="Y3" s="90"/>
      <c r="Z3" s="90"/>
      <c r="AB3" s="84"/>
    </row>
    <row r="4" ht="15.75" customHeight="1">
      <c r="A4" s="30">
        <v>2.0</v>
      </c>
      <c r="B4" s="31" t="s">
        <v>48</v>
      </c>
      <c r="C4" s="33"/>
      <c r="E4" s="59"/>
      <c r="F4" s="53" t="s">
        <v>4136</v>
      </c>
      <c r="G4" s="54" t="s">
        <v>88</v>
      </c>
      <c r="H4" s="55" t="s">
        <v>4138</v>
      </c>
      <c r="I4" s="55">
        <v>5.0</v>
      </c>
      <c r="J4" s="55" t="str">
        <f t="shared" si="1"/>
        <v>10012</v>
      </c>
      <c r="K4" s="55">
        <v>1.0012E7</v>
      </c>
      <c r="L4" s="55">
        <v>1.0012999E7</v>
      </c>
      <c r="M4" s="50">
        <f t="shared" si="2"/>
        <v>1000</v>
      </c>
      <c r="N4" s="50">
        <f t="shared" si="3"/>
        <v>1</v>
      </c>
      <c r="O4" s="90"/>
      <c r="P4" s="90"/>
      <c r="Q4" s="90"/>
      <c r="R4" s="90"/>
      <c r="S4" s="90"/>
      <c r="T4" s="90"/>
      <c r="U4" s="90"/>
      <c r="V4" s="90"/>
      <c r="W4" s="90"/>
      <c r="X4" s="90"/>
      <c r="Y4" s="90"/>
      <c r="Z4" s="90"/>
      <c r="AB4" s="84"/>
    </row>
    <row r="5" ht="15.75" customHeight="1">
      <c r="A5" s="30">
        <v>3.0</v>
      </c>
      <c r="B5" s="34" t="s">
        <v>4139</v>
      </c>
      <c r="C5" s="35" t="s">
        <v>4140</v>
      </c>
      <c r="E5" s="59"/>
      <c r="F5" s="53" t="s">
        <v>4134</v>
      </c>
      <c r="G5" s="54" t="s">
        <v>4141</v>
      </c>
      <c r="H5" s="55"/>
      <c r="I5" s="55">
        <v>5.0</v>
      </c>
      <c r="J5" s="55" t="str">
        <f t="shared" si="1"/>
        <v>10013</v>
      </c>
      <c r="K5" s="55">
        <v>1.0013E7</v>
      </c>
      <c r="L5" s="55">
        <v>1.0013E7</v>
      </c>
      <c r="M5" s="50">
        <f t="shared" si="2"/>
        <v>1</v>
      </c>
      <c r="N5" s="50">
        <f t="shared" si="3"/>
        <v>1</v>
      </c>
      <c r="O5" s="90"/>
      <c r="P5" s="90"/>
      <c r="Q5" s="90"/>
      <c r="R5" s="90"/>
      <c r="S5" s="90"/>
      <c r="T5" s="90"/>
      <c r="U5" s="90"/>
      <c r="V5" s="90"/>
      <c r="W5" s="90"/>
      <c r="X5" s="90"/>
      <c r="Y5" s="90"/>
      <c r="Z5" s="90"/>
      <c r="AB5" s="84"/>
    </row>
    <row r="6" ht="15.75" customHeight="1">
      <c r="A6" s="30">
        <v>5.0</v>
      </c>
      <c r="B6" s="34" t="s">
        <v>4142</v>
      </c>
      <c r="C6" s="34" t="s">
        <v>4143</v>
      </c>
      <c r="E6" s="59"/>
      <c r="F6" s="53" t="s">
        <v>4136</v>
      </c>
      <c r="G6" s="54" t="s">
        <v>91</v>
      </c>
      <c r="H6" s="55" t="s">
        <v>4137</v>
      </c>
      <c r="I6" s="55">
        <v>5.0</v>
      </c>
      <c r="J6" s="55" t="str">
        <f t="shared" si="1"/>
        <v>10013</v>
      </c>
      <c r="K6" s="55">
        <v>1.0013001E7</v>
      </c>
      <c r="L6" s="55">
        <v>1.0013999E7</v>
      </c>
      <c r="M6" s="50">
        <f t="shared" si="2"/>
        <v>999</v>
      </c>
      <c r="N6" s="50">
        <f t="shared" si="3"/>
        <v>1</v>
      </c>
      <c r="O6" s="90"/>
      <c r="P6" s="90"/>
      <c r="Q6" s="90"/>
      <c r="R6" s="90"/>
      <c r="S6" s="90"/>
      <c r="T6" s="90"/>
      <c r="U6" s="90"/>
      <c r="V6" s="90"/>
      <c r="W6" s="90"/>
      <c r="X6" s="90"/>
      <c r="Y6" s="90"/>
      <c r="Z6" s="90"/>
    </row>
    <row r="7" ht="15.75" customHeight="1">
      <c r="A7" s="36">
        <v>7.0</v>
      </c>
      <c r="B7" s="34" t="s">
        <v>54</v>
      </c>
      <c r="C7" s="34" t="s">
        <v>4144</v>
      </c>
      <c r="E7" s="59"/>
      <c r="F7" s="53" t="s">
        <v>4136</v>
      </c>
      <c r="G7" s="54" t="s">
        <v>93</v>
      </c>
      <c r="H7" s="55" t="s">
        <v>4138</v>
      </c>
      <c r="I7" s="55">
        <v>5.0</v>
      </c>
      <c r="J7" s="55" t="str">
        <f t="shared" si="1"/>
        <v>10014</v>
      </c>
      <c r="K7" s="55">
        <v>1.0014E7</v>
      </c>
      <c r="L7" s="55">
        <v>1.0014999E7</v>
      </c>
      <c r="M7" s="50">
        <f t="shared" si="2"/>
        <v>1000</v>
      </c>
      <c r="N7" s="50">
        <f t="shared" si="3"/>
        <v>5001</v>
      </c>
      <c r="O7" s="90"/>
      <c r="P7" s="90"/>
      <c r="Q7" s="90"/>
      <c r="R7" s="90"/>
      <c r="S7" s="90"/>
      <c r="T7" s="90"/>
      <c r="U7" s="90"/>
      <c r="V7" s="90"/>
      <c r="W7" s="90"/>
      <c r="X7" s="90"/>
      <c r="Y7" s="90"/>
      <c r="Z7" s="90"/>
    </row>
    <row r="8" ht="15.75" customHeight="1">
      <c r="A8" s="30">
        <v>8.0</v>
      </c>
      <c r="B8" s="31" t="s">
        <v>4145</v>
      </c>
      <c r="C8" s="34" t="s">
        <v>4146</v>
      </c>
      <c r="E8" s="59"/>
      <c r="F8" s="53" t="s">
        <v>94</v>
      </c>
      <c r="G8" s="54" t="s">
        <v>95</v>
      </c>
      <c r="H8" s="55"/>
      <c r="I8" s="55">
        <v>5.0</v>
      </c>
      <c r="J8" s="55" t="str">
        <f t="shared" si="1"/>
        <v>10020</v>
      </c>
      <c r="K8" s="55">
        <v>1.002E7</v>
      </c>
      <c r="L8" s="55">
        <v>1.0020049E7</v>
      </c>
      <c r="M8" s="50">
        <f t="shared" si="2"/>
        <v>50</v>
      </c>
      <c r="N8" s="50">
        <f t="shared" si="3"/>
        <v>951</v>
      </c>
      <c r="O8" s="90"/>
      <c r="P8" s="90"/>
      <c r="Q8" s="90"/>
      <c r="R8" s="90"/>
      <c r="S8" s="90"/>
      <c r="T8" s="90"/>
      <c r="U8" s="90"/>
      <c r="V8" s="90"/>
      <c r="W8" s="90"/>
      <c r="X8" s="90"/>
      <c r="Y8" s="90"/>
      <c r="Z8" s="90"/>
    </row>
    <row r="9" ht="15.75" customHeight="1">
      <c r="A9" s="30">
        <v>250.0</v>
      </c>
      <c r="B9" s="31" t="s">
        <v>69</v>
      </c>
      <c r="C9" s="31" t="s">
        <v>4147</v>
      </c>
      <c r="D9" s="84"/>
      <c r="E9" s="59"/>
      <c r="F9" s="53" t="s">
        <v>96</v>
      </c>
      <c r="G9" s="60" t="s">
        <v>97</v>
      </c>
      <c r="H9" s="55"/>
      <c r="I9" s="55">
        <v>7.0</v>
      </c>
      <c r="J9" s="55" t="str">
        <f t="shared" si="1"/>
        <v>10021</v>
      </c>
      <c r="K9" s="55">
        <v>1.0021E7</v>
      </c>
      <c r="L9" s="55">
        <v>1.0021499E7</v>
      </c>
      <c r="M9" s="50">
        <f t="shared" si="2"/>
        <v>500</v>
      </c>
      <c r="N9" s="50">
        <f t="shared" si="3"/>
        <v>1</v>
      </c>
      <c r="O9" s="90"/>
      <c r="P9" s="90"/>
      <c r="Q9" s="90"/>
      <c r="R9" s="90"/>
      <c r="S9" s="90"/>
      <c r="T9" s="90"/>
      <c r="U9" s="90"/>
      <c r="V9" s="90"/>
      <c r="W9" s="90"/>
      <c r="X9" s="90"/>
      <c r="Y9" s="90"/>
      <c r="Z9" s="90"/>
    </row>
    <row r="10" ht="15.75" customHeight="1">
      <c r="C10" s="233"/>
      <c r="E10" s="59"/>
      <c r="F10" s="53" t="s">
        <v>99</v>
      </c>
      <c r="G10" s="60" t="s">
        <v>100</v>
      </c>
      <c r="H10" s="55"/>
      <c r="I10" s="55">
        <v>7.0</v>
      </c>
      <c r="J10" s="55" t="str">
        <f t="shared" si="1"/>
        <v>10021</v>
      </c>
      <c r="K10" s="55">
        <v>1.00215E7</v>
      </c>
      <c r="L10" s="55">
        <v>1.0021999E7</v>
      </c>
      <c r="M10" s="50">
        <f t="shared" si="2"/>
        <v>500</v>
      </c>
      <c r="N10" s="50">
        <f t="shared" si="3"/>
        <v>1</v>
      </c>
      <c r="O10" s="90"/>
      <c r="P10" s="90"/>
      <c r="Q10" s="90"/>
      <c r="R10" s="90"/>
      <c r="S10" s="90"/>
      <c r="T10" s="90"/>
      <c r="U10" s="90"/>
      <c r="V10" s="90"/>
      <c r="W10" s="90"/>
      <c r="X10" s="90"/>
      <c r="Y10" s="90"/>
      <c r="Z10" s="90"/>
    </row>
    <row r="11" ht="15.75" customHeight="1">
      <c r="A11" s="234" t="s">
        <v>67</v>
      </c>
      <c r="B11" s="235"/>
      <c r="C11" s="236">
        <v>500.0</v>
      </c>
      <c r="E11" s="59"/>
      <c r="F11" s="53" t="s">
        <v>101</v>
      </c>
      <c r="G11" s="60"/>
      <c r="H11" s="55"/>
      <c r="I11" s="55">
        <v>7.0</v>
      </c>
      <c r="J11" s="55" t="str">
        <f t="shared" si="1"/>
        <v>10022</v>
      </c>
      <c r="K11" s="55">
        <v>1.0022E7</v>
      </c>
      <c r="L11" s="55">
        <v>1.0022499E7</v>
      </c>
      <c r="M11" s="50">
        <f t="shared" si="2"/>
        <v>500</v>
      </c>
      <c r="N11" s="50">
        <f t="shared" si="3"/>
        <v>501</v>
      </c>
      <c r="O11" s="90"/>
      <c r="P11" s="90"/>
      <c r="Q11" s="90"/>
      <c r="R11" s="90"/>
      <c r="S11" s="90"/>
      <c r="T11" s="90"/>
      <c r="U11" s="90"/>
      <c r="V11" s="90"/>
      <c r="W11" s="90"/>
      <c r="X11" s="90"/>
      <c r="Y11" s="90"/>
      <c r="Z11" s="90"/>
    </row>
    <row r="12" ht="15.75" customHeight="1">
      <c r="A12" s="234" t="s">
        <v>68</v>
      </c>
      <c r="B12" s="235"/>
      <c r="E12" s="59"/>
      <c r="F12" s="53" t="s">
        <v>102</v>
      </c>
      <c r="G12" s="60"/>
      <c r="H12" s="55"/>
      <c r="I12" s="55">
        <v>7.0</v>
      </c>
      <c r="J12" s="55" t="str">
        <f t="shared" si="1"/>
        <v>10023</v>
      </c>
      <c r="K12" s="55">
        <v>1.0023E7</v>
      </c>
      <c r="L12" s="55">
        <v>1.0023499E7</v>
      </c>
      <c r="M12" s="50">
        <f t="shared" si="2"/>
        <v>500</v>
      </c>
      <c r="N12" s="50">
        <f t="shared" si="3"/>
        <v>6501</v>
      </c>
      <c r="O12" s="90"/>
      <c r="P12" s="90"/>
      <c r="Q12" s="90"/>
      <c r="R12" s="90"/>
      <c r="S12" s="90"/>
      <c r="T12" s="90"/>
      <c r="U12" s="90"/>
      <c r="V12" s="90"/>
      <c r="W12" s="90"/>
      <c r="X12" s="90"/>
      <c r="Y12" s="90"/>
      <c r="Z12" s="90"/>
    </row>
    <row r="13" ht="15.75" customHeight="1">
      <c r="E13" s="59"/>
      <c r="F13" s="53" t="s">
        <v>103</v>
      </c>
      <c r="G13" s="60"/>
      <c r="H13" s="55"/>
      <c r="I13" s="55">
        <v>3.0</v>
      </c>
      <c r="J13" s="55" t="str">
        <f t="shared" si="1"/>
        <v>10030</v>
      </c>
      <c r="K13" s="55">
        <v>1.003E7</v>
      </c>
      <c r="L13" s="55">
        <v>1.0030499E7</v>
      </c>
      <c r="M13" s="50">
        <f t="shared" si="2"/>
        <v>500</v>
      </c>
      <c r="N13" s="50">
        <f t="shared" si="3"/>
        <v>18502</v>
      </c>
      <c r="O13" s="90"/>
      <c r="P13" s="90"/>
      <c r="Q13" s="90"/>
      <c r="R13" s="90"/>
      <c r="S13" s="90"/>
      <c r="T13" s="90"/>
      <c r="U13" s="90"/>
      <c r="V13" s="90"/>
      <c r="W13" s="90"/>
      <c r="X13" s="90"/>
      <c r="Y13" s="90"/>
      <c r="Z13" s="90"/>
    </row>
    <row r="14" ht="15.75" customHeight="1">
      <c r="A14" s="237"/>
      <c r="E14" s="59"/>
      <c r="F14" s="53" t="s">
        <v>109</v>
      </c>
      <c r="G14" s="54" t="s">
        <v>4148</v>
      </c>
      <c r="H14" s="55"/>
      <c r="I14" s="55">
        <v>3.0</v>
      </c>
      <c r="J14" s="55" t="str">
        <f t="shared" si="1"/>
        <v>10049</v>
      </c>
      <c r="K14" s="55">
        <v>1.0049001E7</v>
      </c>
      <c r="L14" s="55">
        <v>1.0049001E7</v>
      </c>
      <c r="M14" s="50">
        <f t="shared" si="2"/>
        <v>1</v>
      </c>
      <c r="N14" s="50">
        <f t="shared" si="3"/>
        <v>550999</v>
      </c>
      <c r="O14" s="90"/>
      <c r="P14" s="90"/>
      <c r="Q14" s="90"/>
      <c r="R14" s="90"/>
      <c r="S14" s="90"/>
      <c r="T14" s="90"/>
      <c r="U14" s="90"/>
      <c r="V14" s="90"/>
      <c r="W14" s="90"/>
      <c r="X14" s="90"/>
      <c r="Y14" s="90"/>
      <c r="Z14" s="90"/>
      <c r="AB14" s="84"/>
    </row>
    <row r="15" ht="15.75" customHeight="1">
      <c r="E15" s="59"/>
      <c r="F15" s="53" t="s">
        <v>114</v>
      </c>
      <c r="G15" s="60" t="s">
        <v>115</v>
      </c>
      <c r="H15" s="55"/>
      <c r="I15" s="55">
        <v>3.0</v>
      </c>
      <c r="J15" s="55" t="str">
        <f t="shared" si="1"/>
        <v>10600</v>
      </c>
      <c r="K15" s="55">
        <v>1.06E7</v>
      </c>
      <c r="L15" s="55">
        <v>1.0600999E7</v>
      </c>
      <c r="M15" s="50">
        <f t="shared" si="2"/>
        <v>1000</v>
      </c>
      <c r="N15" s="50">
        <f t="shared" si="3"/>
        <v>1001</v>
      </c>
      <c r="O15" s="90"/>
      <c r="P15" s="90"/>
      <c r="Q15" s="90"/>
      <c r="R15" s="90"/>
      <c r="S15" s="90"/>
      <c r="T15" s="90"/>
      <c r="U15" s="90"/>
      <c r="V15" s="90"/>
      <c r="W15" s="90"/>
      <c r="X15" s="90"/>
      <c r="Y15" s="90"/>
      <c r="Z15" s="90"/>
      <c r="AB15" s="84"/>
    </row>
    <row r="16" ht="15.75" customHeight="1">
      <c r="E16" s="59"/>
      <c r="F16" s="53" t="s">
        <v>4149</v>
      </c>
      <c r="G16" s="60" t="s">
        <v>117</v>
      </c>
      <c r="H16" s="55"/>
      <c r="I16" s="55">
        <v>3.0</v>
      </c>
      <c r="J16" s="55" t="str">
        <f t="shared" si="1"/>
        <v>10602</v>
      </c>
      <c r="K16" s="55">
        <v>1.0602E7</v>
      </c>
      <c r="L16" s="55">
        <v>1.0602999E7</v>
      </c>
      <c r="M16" s="50">
        <f t="shared" si="2"/>
        <v>1000</v>
      </c>
      <c r="N16" s="50">
        <f t="shared" si="3"/>
        <v>802002</v>
      </c>
      <c r="O16" s="90"/>
      <c r="P16" s="90"/>
      <c r="Q16" s="90"/>
      <c r="R16" s="90"/>
      <c r="S16" s="90"/>
      <c r="T16" s="90"/>
      <c r="U16" s="90"/>
      <c r="V16" s="90"/>
      <c r="W16" s="90"/>
      <c r="X16" s="90"/>
      <c r="Y16" s="90"/>
      <c r="Z16" s="90"/>
      <c r="AB16" s="84"/>
    </row>
    <row r="17" ht="15.75" customHeight="1">
      <c r="E17" s="59"/>
      <c r="F17" s="53" t="s">
        <v>4150</v>
      </c>
      <c r="G17" s="54" t="s">
        <v>123</v>
      </c>
      <c r="H17" s="55"/>
      <c r="I17" s="55">
        <v>7.0</v>
      </c>
      <c r="J17" s="55" t="str">
        <f t="shared" si="1"/>
        <v>11405</v>
      </c>
      <c r="K17" s="55">
        <v>1.1405001E7</v>
      </c>
      <c r="L17" s="55">
        <v>1.1405999E7</v>
      </c>
      <c r="M17" s="50">
        <f t="shared" si="2"/>
        <v>999</v>
      </c>
      <c r="N17" s="50">
        <f t="shared" si="3"/>
        <v>44001</v>
      </c>
      <c r="O17" s="90"/>
      <c r="P17" s="90"/>
      <c r="Q17" s="90"/>
      <c r="R17" s="90"/>
      <c r="S17" s="90"/>
      <c r="T17" s="90"/>
      <c r="U17" s="90"/>
      <c r="V17" s="90"/>
      <c r="W17" s="90"/>
      <c r="X17" s="90"/>
      <c r="Y17" s="90"/>
      <c r="Z17" s="90"/>
      <c r="AB17" s="84"/>
    </row>
    <row r="18" ht="15.75" customHeight="1">
      <c r="E18" s="59"/>
      <c r="F18" s="238" t="s">
        <v>127</v>
      </c>
      <c r="G18" s="54" t="s">
        <v>125</v>
      </c>
      <c r="H18" s="55"/>
      <c r="I18" s="55">
        <v>7.0</v>
      </c>
      <c r="J18" s="55" t="str">
        <f t="shared" si="1"/>
        <v>11450</v>
      </c>
      <c r="K18" s="67">
        <v>1.145E7</v>
      </c>
      <c r="L18" s="67">
        <v>1.1450999E7</v>
      </c>
      <c r="M18" s="50">
        <f t="shared" si="2"/>
        <v>1000</v>
      </c>
      <c r="N18" s="50">
        <f t="shared" si="3"/>
        <v>1</v>
      </c>
      <c r="O18" s="90"/>
      <c r="P18" s="90"/>
      <c r="Q18" s="90"/>
      <c r="R18" s="90"/>
      <c r="S18" s="90"/>
      <c r="T18" s="90"/>
      <c r="U18" s="90"/>
      <c r="V18" s="90"/>
      <c r="W18" s="90"/>
      <c r="X18" s="90"/>
      <c r="Y18" s="90"/>
      <c r="Z18" s="90"/>
    </row>
    <row r="19" ht="15.75" customHeight="1">
      <c r="E19" s="59"/>
      <c r="F19" s="238" t="s">
        <v>128</v>
      </c>
      <c r="G19" s="54" t="s">
        <v>4151</v>
      </c>
      <c r="H19" s="55"/>
      <c r="I19" s="55">
        <v>7.0</v>
      </c>
      <c r="J19" s="55" t="str">
        <f t="shared" si="1"/>
        <v>11451</v>
      </c>
      <c r="K19" s="67">
        <v>1.1451E7</v>
      </c>
      <c r="L19" s="55">
        <v>1.1451999E7</v>
      </c>
      <c r="M19" s="50">
        <f t="shared" si="2"/>
        <v>1000</v>
      </c>
      <c r="N19" s="50">
        <f t="shared" si="3"/>
        <v>1</v>
      </c>
      <c r="O19" s="90"/>
      <c r="P19" s="90"/>
      <c r="Q19" s="90"/>
      <c r="R19" s="90"/>
      <c r="S19" s="90"/>
      <c r="T19" s="90"/>
      <c r="U19" s="90"/>
      <c r="V19" s="90"/>
      <c r="W19" s="90"/>
      <c r="X19" s="90"/>
      <c r="Y19" s="90"/>
      <c r="Z19" s="90"/>
    </row>
    <row r="20" ht="15.75" customHeight="1">
      <c r="E20" s="59"/>
      <c r="F20" s="239" t="s">
        <v>129</v>
      </c>
      <c r="G20" s="60"/>
      <c r="H20" s="55"/>
      <c r="I20" s="55">
        <v>7.0</v>
      </c>
      <c r="J20" s="55" t="str">
        <f t="shared" si="1"/>
        <v>11452</v>
      </c>
      <c r="K20" s="55">
        <v>1.1452E7</v>
      </c>
      <c r="L20" s="55">
        <v>1.1452999E7</v>
      </c>
      <c r="M20" s="50">
        <f t="shared" si="2"/>
        <v>1000</v>
      </c>
      <c r="N20" s="50">
        <f t="shared" si="3"/>
        <v>1</v>
      </c>
      <c r="O20" s="90"/>
      <c r="P20" s="90"/>
      <c r="Q20" s="90"/>
      <c r="R20" s="90"/>
      <c r="S20" s="90"/>
      <c r="T20" s="90"/>
      <c r="U20" s="90"/>
      <c r="V20" s="90"/>
      <c r="W20" s="90"/>
      <c r="X20" s="90"/>
      <c r="Y20" s="90"/>
      <c r="Z20" s="90"/>
    </row>
    <row r="21" ht="15.75" customHeight="1">
      <c r="E21" s="59"/>
      <c r="F21" s="239" t="s">
        <v>130</v>
      </c>
      <c r="G21" s="60"/>
      <c r="H21" s="55"/>
      <c r="I21" s="55">
        <v>7.0</v>
      </c>
      <c r="J21" s="55" t="str">
        <f t="shared" si="1"/>
        <v>11453</v>
      </c>
      <c r="K21" s="55">
        <v>1.1453E7</v>
      </c>
      <c r="L21" s="55">
        <v>1.1453999E7</v>
      </c>
      <c r="M21" s="50">
        <f t="shared" si="2"/>
        <v>1000</v>
      </c>
      <c r="N21" s="50">
        <f t="shared" si="3"/>
        <v>1</v>
      </c>
      <c r="O21" s="90"/>
      <c r="P21" s="90"/>
      <c r="Q21" s="90"/>
      <c r="R21" s="90"/>
      <c r="S21" s="90"/>
      <c r="T21" s="90"/>
      <c r="U21" s="90"/>
      <c r="V21" s="90"/>
      <c r="W21" s="90"/>
      <c r="X21" s="90"/>
      <c r="Y21" s="90"/>
      <c r="Z21" s="90"/>
    </row>
    <row r="22" ht="15.75" customHeight="1">
      <c r="E22" s="59"/>
      <c r="F22" s="240" t="s">
        <v>131</v>
      </c>
      <c r="G22" s="60"/>
      <c r="H22" s="55"/>
      <c r="I22" s="55">
        <v>7.0</v>
      </c>
      <c r="J22" s="55" t="str">
        <f t="shared" si="1"/>
        <v>11454</v>
      </c>
      <c r="K22" s="55">
        <v>1.1454E7</v>
      </c>
      <c r="L22" s="55">
        <v>1.1454999E7</v>
      </c>
      <c r="M22" s="50">
        <f t="shared" si="2"/>
        <v>1000</v>
      </c>
      <c r="N22" s="50">
        <f t="shared" si="3"/>
        <v>1</v>
      </c>
      <c r="O22" s="90"/>
      <c r="P22" s="90"/>
      <c r="Q22" s="90"/>
      <c r="R22" s="90"/>
      <c r="S22" s="90"/>
      <c r="T22" s="90"/>
      <c r="U22" s="90"/>
      <c r="V22" s="90"/>
      <c r="W22" s="90"/>
      <c r="X22" s="90"/>
      <c r="Y22" s="90"/>
      <c r="Z22" s="90"/>
    </row>
    <row r="23" ht="15.75" customHeight="1">
      <c r="E23" s="59"/>
      <c r="F23" s="240" t="s">
        <v>132</v>
      </c>
      <c r="G23" s="60"/>
      <c r="H23" s="55"/>
      <c r="I23" s="55">
        <v>7.0</v>
      </c>
      <c r="J23" s="55" t="str">
        <f t="shared" si="1"/>
        <v>11455</v>
      </c>
      <c r="K23" s="55">
        <v>1.1455E7</v>
      </c>
      <c r="L23" s="55">
        <v>1.1455999E7</v>
      </c>
      <c r="M23" s="50">
        <f t="shared" si="2"/>
        <v>1000</v>
      </c>
      <c r="N23" s="50">
        <f>K25-L23</f>
        <v>244001</v>
      </c>
      <c r="O23" s="90"/>
      <c r="P23" s="90"/>
      <c r="Q23" s="90"/>
      <c r="R23" s="90"/>
      <c r="S23" s="90"/>
      <c r="T23" s="90"/>
      <c r="U23" s="90"/>
      <c r="V23" s="90"/>
      <c r="W23" s="90"/>
      <c r="X23" s="90"/>
      <c r="Y23" s="90"/>
      <c r="Z23" s="90"/>
    </row>
    <row r="24" ht="15.75" customHeight="1">
      <c r="E24" s="59"/>
      <c r="F24" s="53" t="s">
        <v>337</v>
      </c>
      <c r="G24" s="60" t="s">
        <v>4152</v>
      </c>
      <c r="H24" s="55"/>
      <c r="I24" s="55">
        <v>7.0</v>
      </c>
      <c r="J24" s="55" t="str">
        <f t="shared" si="1"/>
        <v>11610</v>
      </c>
      <c r="K24" s="55">
        <v>1.161E7</v>
      </c>
      <c r="L24" s="55">
        <v>1.1610999E7</v>
      </c>
      <c r="M24" s="50">
        <f t="shared" si="2"/>
        <v>1000</v>
      </c>
      <c r="N24" s="50">
        <f t="shared" ref="N24:N76" si="4">K25-L24</f>
        <v>89001</v>
      </c>
      <c r="O24" s="90"/>
      <c r="P24" s="90"/>
      <c r="Q24" s="90"/>
      <c r="R24" s="90"/>
      <c r="S24" s="90"/>
      <c r="T24" s="90"/>
      <c r="U24" s="90"/>
      <c r="V24" s="90"/>
      <c r="W24" s="90"/>
      <c r="X24" s="90"/>
      <c r="Y24" s="90"/>
      <c r="Z24" s="90"/>
    </row>
    <row r="25" ht="15.75" customHeight="1">
      <c r="E25" s="59"/>
      <c r="F25" s="238" t="s">
        <v>140</v>
      </c>
      <c r="G25" s="54"/>
      <c r="H25" s="55"/>
      <c r="I25" s="55">
        <v>7.0</v>
      </c>
      <c r="J25" s="55" t="str">
        <f t="shared" si="1"/>
        <v>11700</v>
      </c>
      <c r="K25" s="55">
        <v>1.17E7</v>
      </c>
      <c r="L25" s="55">
        <v>1.1700999E7</v>
      </c>
      <c r="M25" s="50">
        <f t="shared" si="2"/>
        <v>1000</v>
      </c>
      <c r="N25" s="50">
        <f t="shared" si="4"/>
        <v>1</v>
      </c>
      <c r="O25" s="90"/>
      <c r="P25" s="90"/>
      <c r="Q25" s="90"/>
      <c r="R25" s="90"/>
      <c r="S25" s="90"/>
      <c r="T25" s="90"/>
      <c r="U25" s="90"/>
      <c r="V25" s="90"/>
      <c r="W25" s="90"/>
      <c r="X25" s="90"/>
      <c r="Y25" s="90"/>
      <c r="Z25" s="90"/>
    </row>
    <row r="26" ht="15.75" customHeight="1">
      <c r="E26" s="59"/>
      <c r="F26" s="239" t="s">
        <v>142</v>
      </c>
      <c r="G26" s="60"/>
      <c r="H26" s="55"/>
      <c r="I26" s="55">
        <v>7.0</v>
      </c>
      <c r="J26" s="55" t="str">
        <f t="shared" si="1"/>
        <v>11701</v>
      </c>
      <c r="K26" s="55">
        <v>1.1701E7</v>
      </c>
      <c r="L26" s="55">
        <v>1.1701999E7</v>
      </c>
      <c r="M26" s="50">
        <f t="shared" si="2"/>
        <v>1000</v>
      </c>
      <c r="N26" s="50">
        <f t="shared" si="4"/>
        <v>1</v>
      </c>
      <c r="O26" s="90"/>
      <c r="P26" s="90"/>
      <c r="Q26" s="90"/>
      <c r="R26" s="90"/>
      <c r="S26" s="90"/>
      <c r="T26" s="90"/>
      <c r="U26" s="90"/>
      <c r="V26" s="90"/>
      <c r="W26" s="90"/>
      <c r="X26" s="90"/>
      <c r="Y26" s="90"/>
      <c r="Z26" s="90"/>
    </row>
    <row r="27" ht="15.75" customHeight="1">
      <c r="E27" s="59"/>
      <c r="F27" s="240" t="s">
        <v>143</v>
      </c>
      <c r="G27" s="60"/>
      <c r="H27" s="55"/>
      <c r="I27" s="55">
        <v>7.0</v>
      </c>
      <c r="J27" s="55" t="str">
        <f t="shared" si="1"/>
        <v>11702</v>
      </c>
      <c r="K27" s="55">
        <v>1.1702E7</v>
      </c>
      <c r="L27" s="55">
        <v>1.1702999E7</v>
      </c>
      <c r="M27" s="50">
        <f t="shared" si="2"/>
        <v>1000</v>
      </c>
      <c r="N27" s="50">
        <f t="shared" si="4"/>
        <v>314001</v>
      </c>
      <c r="O27" s="90"/>
      <c r="P27" s="90"/>
      <c r="Q27" s="90"/>
      <c r="R27" s="90"/>
      <c r="S27" s="90"/>
      <c r="T27" s="90"/>
      <c r="U27" s="90"/>
      <c r="V27" s="90"/>
      <c r="W27" s="90"/>
      <c r="X27" s="90"/>
      <c r="Y27" s="90"/>
      <c r="Z27" s="90"/>
    </row>
    <row r="28" ht="15.75" customHeight="1">
      <c r="E28" s="59"/>
      <c r="F28" s="238" t="s">
        <v>4153</v>
      </c>
      <c r="G28" s="54"/>
      <c r="H28" s="55"/>
      <c r="I28" s="55">
        <v>8.0</v>
      </c>
      <c r="J28" s="55" t="str">
        <f t="shared" si="1"/>
        <v>12017</v>
      </c>
      <c r="K28" s="67">
        <v>1.2017E7</v>
      </c>
      <c r="L28" s="55">
        <v>1.2017999E7</v>
      </c>
      <c r="M28" s="50">
        <f t="shared" si="2"/>
        <v>1000</v>
      </c>
      <c r="N28" s="50">
        <f t="shared" si="4"/>
        <v>1</v>
      </c>
      <c r="O28" s="90"/>
      <c r="P28" s="90"/>
      <c r="Q28" s="90"/>
      <c r="R28" s="90"/>
      <c r="S28" s="90"/>
      <c r="T28" s="90"/>
      <c r="U28" s="90"/>
      <c r="V28" s="90"/>
      <c r="W28" s="90"/>
      <c r="X28" s="90"/>
      <c r="Y28" s="90"/>
      <c r="Z28" s="90"/>
    </row>
    <row r="29" ht="15.75" customHeight="1">
      <c r="E29" s="59"/>
      <c r="F29" s="238" t="s">
        <v>4154</v>
      </c>
      <c r="G29" s="54"/>
      <c r="H29" s="55"/>
      <c r="I29" s="55">
        <v>8.0</v>
      </c>
      <c r="J29" s="55" t="str">
        <f t="shared" si="1"/>
        <v>12018</v>
      </c>
      <c r="K29" s="67">
        <v>1.2018E7</v>
      </c>
      <c r="L29" s="55">
        <v>1.2018999E7</v>
      </c>
      <c r="M29" s="50">
        <f t="shared" si="2"/>
        <v>1000</v>
      </c>
      <c r="N29" s="50">
        <f t="shared" si="4"/>
        <v>1</v>
      </c>
      <c r="O29" s="90"/>
      <c r="P29" s="90"/>
      <c r="Q29" s="90"/>
      <c r="R29" s="90"/>
      <c r="S29" s="90"/>
      <c r="T29" s="90"/>
      <c r="U29" s="90"/>
      <c r="V29" s="90"/>
      <c r="W29" s="90"/>
      <c r="X29" s="90"/>
      <c r="Y29" s="90"/>
      <c r="Z29" s="90"/>
    </row>
    <row r="30" ht="15.75" customHeight="1">
      <c r="E30" s="59"/>
      <c r="F30" s="238" t="s">
        <v>4155</v>
      </c>
      <c r="G30" s="54" t="s">
        <v>165</v>
      </c>
      <c r="H30" s="55"/>
      <c r="I30" s="55">
        <v>8.0</v>
      </c>
      <c r="J30" s="55" t="str">
        <f t="shared" si="1"/>
        <v>12019</v>
      </c>
      <c r="K30" s="55">
        <v>1.2019E7</v>
      </c>
      <c r="L30" s="55">
        <v>1.2019999E7</v>
      </c>
      <c r="M30" s="50">
        <f t="shared" si="2"/>
        <v>1000</v>
      </c>
      <c r="N30" s="50">
        <f t="shared" si="4"/>
        <v>1</v>
      </c>
      <c r="O30" s="90"/>
      <c r="P30" s="90"/>
      <c r="Q30" s="90"/>
      <c r="R30" s="90"/>
      <c r="S30" s="90"/>
      <c r="T30" s="90"/>
      <c r="U30" s="90"/>
      <c r="V30" s="90"/>
      <c r="W30" s="90"/>
      <c r="X30" s="90"/>
      <c r="Y30" s="90"/>
      <c r="Z30" s="90"/>
    </row>
    <row r="31" ht="15.75" customHeight="1">
      <c r="E31" s="59"/>
      <c r="F31" s="238" t="s">
        <v>4156</v>
      </c>
      <c r="G31" s="54"/>
      <c r="H31" s="55"/>
      <c r="I31" s="55">
        <v>8.0</v>
      </c>
      <c r="J31" s="55" t="str">
        <f t="shared" si="1"/>
        <v>12020</v>
      </c>
      <c r="K31" s="67">
        <v>1.202E7</v>
      </c>
      <c r="L31" s="55">
        <v>1.2020999E7</v>
      </c>
      <c r="M31" s="50">
        <f t="shared" si="2"/>
        <v>1000</v>
      </c>
      <c r="N31" s="50">
        <f t="shared" si="4"/>
        <v>1</v>
      </c>
      <c r="O31" s="90"/>
      <c r="P31" s="90"/>
      <c r="Q31" s="90"/>
      <c r="R31" s="90"/>
      <c r="S31" s="90"/>
      <c r="T31" s="90"/>
      <c r="U31" s="90"/>
      <c r="V31" s="90"/>
      <c r="W31" s="90"/>
      <c r="X31" s="90"/>
      <c r="Y31" s="90"/>
      <c r="Z31" s="90"/>
    </row>
    <row r="32" ht="15.75" customHeight="1">
      <c r="E32" s="59"/>
      <c r="F32" s="238" t="s">
        <v>4157</v>
      </c>
      <c r="G32" s="54"/>
      <c r="H32" s="55"/>
      <c r="I32" s="55">
        <v>8.0</v>
      </c>
      <c r="J32" s="55" t="str">
        <f t="shared" si="1"/>
        <v>12021</v>
      </c>
      <c r="K32" s="67">
        <v>1.2021E7</v>
      </c>
      <c r="L32" s="55">
        <v>1.2021999E7</v>
      </c>
      <c r="M32" s="50">
        <f t="shared" si="2"/>
        <v>1000</v>
      </c>
      <c r="N32" s="50">
        <f t="shared" si="4"/>
        <v>1</v>
      </c>
      <c r="O32" s="90"/>
      <c r="P32" s="90"/>
      <c r="Q32" s="90"/>
      <c r="R32" s="90"/>
      <c r="S32" s="90"/>
      <c r="T32" s="90"/>
      <c r="U32" s="90"/>
      <c r="V32" s="90"/>
      <c r="W32" s="90"/>
      <c r="X32" s="90"/>
      <c r="Y32" s="90"/>
      <c r="Z32" s="90"/>
    </row>
    <row r="33" ht="15.75" customHeight="1">
      <c r="E33" s="59"/>
      <c r="F33" s="238" t="s">
        <v>4158</v>
      </c>
      <c r="G33" s="54"/>
      <c r="H33" s="55"/>
      <c r="I33" s="55">
        <v>8.0</v>
      </c>
      <c r="J33" s="55" t="str">
        <f t="shared" si="1"/>
        <v>12022</v>
      </c>
      <c r="K33" s="67">
        <v>1.2022E7</v>
      </c>
      <c r="L33" s="55">
        <v>1.2022999E7</v>
      </c>
      <c r="M33" s="50">
        <f t="shared" si="2"/>
        <v>1000</v>
      </c>
      <c r="N33" s="50">
        <f t="shared" si="4"/>
        <v>1</v>
      </c>
      <c r="O33" s="90"/>
      <c r="P33" s="90"/>
      <c r="Q33" s="90"/>
      <c r="R33" s="90"/>
      <c r="S33" s="90"/>
      <c r="T33" s="90"/>
      <c r="U33" s="90"/>
      <c r="V33" s="90"/>
      <c r="W33" s="90"/>
      <c r="X33" s="90"/>
      <c r="Y33" s="90"/>
      <c r="Z33" s="90"/>
    </row>
    <row r="34" ht="15.75" customHeight="1">
      <c r="E34" s="59"/>
      <c r="F34" s="238" t="s">
        <v>4159</v>
      </c>
      <c r="G34" s="54"/>
      <c r="H34" s="55"/>
      <c r="I34" s="55">
        <v>8.0</v>
      </c>
      <c r="J34" s="55" t="str">
        <f t="shared" si="1"/>
        <v>12023</v>
      </c>
      <c r="K34" s="67">
        <v>1.2023E7</v>
      </c>
      <c r="L34" s="55">
        <v>1.2023999E7</v>
      </c>
      <c r="M34" s="50">
        <f t="shared" si="2"/>
        <v>1000</v>
      </c>
      <c r="N34" s="50">
        <f t="shared" si="4"/>
        <v>1</v>
      </c>
      <c r="O34" s="90"/>
      <c r="P34" s="90"/>
      <c r="Q34" s="90"/>
      <c r="R34" s="90"/>
      <c r="S34" s="90"/>
      <c r="T34" s="90"/>
      <c r="U34" s="90"/>
      <c r="V34" s="90"/>
      <c r="W34" s="90"/>
      <c r="X34" s="90"/>
      <c r="Y34" s="90"/>
      <c r="Z34" s="90"/>
    </row>
    <row r="35" ht="15.75" customHeight="1">
      <c r="E35" s="59"/>
      <c r="F35" s="238" t="s">
        <v>4160</v>
      </c>
      <c r="G35" s="54"/>
      <c r="H35" s="55"/>
      <c r="I35" s="55">
        <v>8.0</v>
      </c>
      <c r="J35" s="55" t="str">
        <f t="shared" si="1"/>
        <v>12024</v>
      </c>
      <c r="K35" s="67">
        <v>1.2024E7</v>
      </c>
      <c r="L35" s="55">
        <v>1.2024999E7</v>
      </c>
      <c r="M35" s="50">
        <f t="shared" si="2"/>
        <v>1000</v>
      </c>
      <c r="N35" s="50">
        <f t="shared" si="4"/>
        <v>1</v>
      </c>
      <c r="O35" s="90"/>
      <c r="P35" s="90"/>
      <c r="Q35" s="90"/>
      <c r="R35" s="90"/>
      <c r="S35" s="90"/>
      <c r="T35" s="90"/>
      <c r="U35" s="90"/>
      <c r="V35" s="90"/>
      <c r="W35" s="90"/>
      <c r="X35" s="90"/>
      <c r="Y35" s="90"/>
      <c r="Z35" s="90"/>
    </row>
    <row r="36" ht="15.75" customHeight="1">
      <c r="E36" s="59"/>
      <c r="F36" s="239" t="s">
        <v>4161</v>
      </c>
      <c r="G36" s="54"/>
      <c r="H36" s="55"/>
      <c r="I36" s="55">
        <v>8.0</v>
      </c>
      <c r="J36" s="55" t="str">
        <f t="shared" si="1"/>
        <v>12025</v>
      </c>
      <c r="K36" s="67">
        <v>1.2025E7</v>
      </c>
      <c r="L36" s="55">
        <v>1.2025999E7</v>
      </c>
      <c r="M36" s="50">
        <f t="shared" si="2"/>
        <v>1000</v>
      </c>
      <c r="N36" s="50">
        <f t="shared" si="4"/>
        <v>1</v>
      </c>
      <c r="O36" s="90"/>
      <c r="P36" s="90"/>
      <c r="Q36" s="90"/>
      <c r="R36" s="90"/>
      <c r="S36" s="90"/>
      <c r="T36" s="90"/>
      <c r="U36" s="90"/>
      <c r="V36" s="90"/>
      <c r="W36" s="90"/>
      <c r="X36" s="90"/>
      <c r="Y36" s="90"/>
      <c r="Z36" s="90"/>
    </row>
    <row r="37" ht="15.75" customHeight="1">
      <c r="E37" s="59"/>
      <c r="F37" s="239" t="s">
        <v>4162</v>
      </c>
      <c r="G37" s="54"/>
      <c r="H37" s="55"/>
      <c r="I37" s="55">
        <v>8.0</v>
      </c>
      <c r="J37" s="55" t="str">
        <f t="shared" si="1"/>
        <v>12026</v>
      </c>
      <c r="K37" s="67">
        <v>1.2026E7</v>
      </c>
      <c r="L37" s="55">
        <v>1.2026999E7</v>
      </c>
      <c r="M37" s="50">
        <f t="shared" si="2"/>
        <v>1000</v>
      </c>
      <c r="N37" s="50">
        <f t="shared" si="4"/>
        <v>1</v>
      </c>
      <c r="O37" s="90"/>
      <c r="P37" s="90"/>
      <c r="Q37" s="90"/>
      <c r="R37" s="90"/>
      <c r="S37" s="90"/>
      <c r="T37" s="90"/>
      <c r="U37" s="90"/>
      <c r="V37" s="90"/>
      <c r="W37" s="90"/>
      <c r="X37" s="90"/>
      <c r="Y37" s="90"/>
      <c r="Z37" s="90"/>
    </row>
    <row r="38" ht="15.75" customHeight="1">
      <c r="E38" s="59"/>
      <c r="F38" s="239" t="s">
        <v>4163</v>
      </c>
      <c r="G38" s="54" t="s">
        <v>165</v>
      </c>
      <c r="H38" s="55"/>
      <c r="I38" s="55">
        <v>8.0</v>
      </c>
      <c r="J38" s="55" t="str">
        <f t="shared" si="1"/>
        <v>12027</v>
      </c>
      <c r="K38" s="55">
        <v>1.2027E7</v>
      </c>
      <c r="L38" s="55">
        <v>1.2027999E7</v>
      </c>
      <c r="M38" s="50">
        <f t="shared" si="2"/>
        <v>1000</v>
      </c>
      <c r="N38" s="50">
        <f t="shared" si="4"/>
        <v>1</v>
      </c>
      <c r="O38" s="90"/>
      <c r="P38" s="90"/>
      <c r="Q38" s="90"/>
      <c r="R38" s="90"/>
      <c r="S38" s="90"/>
      <c r="T38" s="90"/>
      <c r="U38" s="90"/>
      <c r="V38" s="90"/>
      <c r="W38" s="90"/>
      <c r="X38" s="90"/>
      <c r="Y38" s="90"/>
      <c r="Z38" s="90"/>
    </row>
    <row r="39" ht="15.75" customHeight="1">
      <c r="E39" s="59"/>
      <c r="F39" s="239" t="s">
        <v>4164</v>
      </c>
      <c r="G39" s="54"/>
      <c r="H39" s="55"/>
      <c r="I39" s="55">
        <v>8.0</v>
      </c>
      <c r="J39" s="55" t="str">
        <f t="shared" si="1"/>
        <v>12028</v>
      </c>
      <c r="K39" s="67">
        <v>1.2028E7</v>
      </c>
      <c r="L39" s="55">
        <v>1.2028999E7</v>
      </c>
      <c r="M39" s="50">
        <f t="shared" si="2"/>
        <v>1000</v>
      </c>
      <c r="N39" s="50">
        <f t="shared" si="4"/>
        <v>1</v>
      </c>
      <c r="O39" s="90"/>
      <c r="P39" s="90"/>
      <c r="Q39" s="90"/>
      <c r="R39" s="90"/>
      <c r="S39" s="90"/>
      <c r="T39" s="90"/>
      <c r="U39" s="90"/>
      <c r="V39" s="90"/>
      <c r="W39" s="90"/>
      <c r="X39" s="90"/>
      <c r="Y39" s="90"/>
      <c r="Z39" s="90"/>
    </row>
    <row r="40" ht="15.75" customHeight="1">
      <c r="E40" s="59"/>
      <c r="F40" s="239" t="s">
        <v>4165</v>
      </c>
      <c r="G40" s="54"/>
      <c r="H40" s="55"/>
      <c r="I40" s="55">
        <v>8.0</v>
      </c>
      <c r="J40" s="55" t="str">
        <f t="shared" si="1"/>
        <v>12029</v>
      </c>
      <c r="K40" s="67">
        <v>1.2029E7</v>
      </c>
      <c r="L40" s="55">
        <v>1.2029999E7</v>
      </c>
      <c r="M40" s="50">
        <f t="shared" si="2"/>
        <v>1000</v>
      </c>
      <c r="N40" s="50">
        <f t="shared" si="4"/>
        <v>1</v>
      </c>
      <c r="O40" s="90"/>
      <c r="P40" s="90"/>
      <c r="Q40" s="90"/>
      <c r="R40" s="90"/>
      <c r="S40" s="90"/>
      <c r="T40" s="90"/>
      <c r="U40" s="90"/>
      <c r="V40" s="90"/>
      <c r="W40" s="90"/>
      <c r="X40" s="90"/>
      <c r="Y40" s="90"/>
      <c r="Z40" s="90"/>
    </row>
    <row r="41" ht="15.75" customHeight="1">
      <c r="E41" s="59"/>
      <c r="F41" s="239" t="s">
        <v>4166</v>
      </c>
      <c r="G41" s="54"/>
      <c r="H41" s="55"/>
      <c r="I41" s="55">
        <v>8.0</v>
      </c>
      <c r="J41" s="55" t="str">
        <f t="shared" si="1"/>
        <v>12030</v>
      </c>
      <c r="K41" s="67">
        <v>1.203E7</v>
      </c>
      <c r="L41" s="55">
        <v>1.2030999E7</v>
      </c>
      <c r="M41" s="50">
        <f t="shared" si="2"/>
        <v>1000</v>
      </c>
      <c r="N41" s="50">
        <f t="shared" si="4"/>
        <v>1</v>
      </c>
      <c r="O41" s="90"/>
      <c r="P41" s="90"/>
      <c r="Q41" s="90"/>
      <c r="R41" s="90"/>
      <c r="S41" s="90"/>
      <c r="T41" s="90"/>
      <c r="U41" s="90"/>
      <c r="V41" s="90"/>
      <c r="W41" s="90"/>
      <c r="X41" s="90"/>
      <c r="Y41" s="90"/>
      <c r="Z41" s="90"/>
    </row>
    <row r="42" ht="15.75" customHeight="1">
      <c r="E42" s="59"/>
      <c r="F42" s="239" t="s">
        <v>4167</v>
      </c>
      <c r="G42" s="54"/>
      <c r="H42" s="55"/>
      <c r="I42" s="55">
        <v>8.0</v>
      </c>
      <c r="J42" s="55" t="str">
        <f t="shared" si="1"/>
        <v>12031</v>
      </c>
      <c r="K42" s="67">
        <v>1.2031E7</v>
      </c>
      <c r="L42" s="55">
        <v>1.2031999E7</v>
      </c>
      <c r="M42" s="50">
        <f t="shared" si="2"/>
        <v>1000</v>
      </c>
      <c r="N42" s="50">
        <f t="shared" si="4"/>
        <v>1</v>
      </c>
      <c r="O42" s="90"/>
      <c r="P42" s="90"/>
      <c r="Q42" s="90"/>
      <c r="R42" s="90"/>
      <c r="S42" s="90"/>
      <c r="T42" s="90"/>
      <c r="U42" s="90"/>
      <c r="V42" s="90"/>
      <c r="W42" s="90"/>
      <c r="X42" s="90"/>
      <c r="Y42" s="90"/>
      <c r="Z42" s="90"/>
    </row>
    <row r="43" ht="15.75" customHeight="1">
      <c r="E43" s="59"/>
      <c r="F43" s="239" t="s">
        <v>4168</v>
      </c>
      <c r="G43" s="54"/>
      <c r="H43" s="55"/>
      <c r="I43" s="55">
        <v>8.0</v>
      </c>
      <c r="J43" s="55" t="str">
        <f t="shared" si="1"/>
        <v>12032</v>
      </c>
      <c r="K43" s="67">
        <v>1.2032E7</v>
      </c>
      <c r="L43" s="55">
        <v>1.2032999E7</v>
      </c>
      <c r="M43" s="50">
        <f t="shared" si="2"/>
        <v>1000</v>
      </c>
      <c r="N43" s="50">
        <f t="shared" si="4"/>
        <v>1</v>
      </c>
      <c r="O43" s="90"/>
      <c r="P43" s="90"/>
      <c r="Q43" s="90"/>
      <c r="R43" s="90"/>
      <c r="S43" s="90"/>
      <c r="T43" s="90"/>
      <c r="U43" s="90"/>
      <c r="V43" s="90"/>
      <c r="W43" s="90"/>
      <c r="X43" s="90"/>
      <c r="Y43" s="90"/>
      <c r="Z43" s="90"/>
    </row>
    <row r="44" ht="15.75" customHeight="1">
      <c r="E44" s="59"/>
      <c r="F44" s="240" t="s">
        <v>4169</v>
      </c>
      <c r="G44" s="54"/>
      <c r="H44" s="55"/>
      <c r="I44" s="55">
        <v>8.0</v>
      </c>
      <c r="J44" s="55" t="str">
        <f t="shared" si="1"/>
        <v>12033</v>
      </c>
      <c r="K44" s="67">
        <v>1.2033E7</v>
      </c>
      <c r="L44" s="55">
        <v>1.2033999E7</v>
      </c>
      <c r="M44" s="50">
        <f t="shared" si="2"/>
        <v>1000</v>
      </c>
      <c r="N44" s="50">
        <f t="shared" si="4"/>
        <v>1</v>
      </c>
      <c r="O44" s="90"/>
      <c r="P44" s="90"/>
      <c r="Q44" s="90"/>
      <c r="R44" s="90"/>
      <c r="S44" s="90"/>
      <c r="T44" s="90"/>
      <c r="U44" s="90"/>
      <c r="V44" s="90"/>
      <c r="W44" s="90"/>
      <c r="X44" s="90"/>
      <c r="Y44" s="90"/>
      <c r="Z44" s="90"/>
    </row>
    <row r="45" ht="15.75" customHeight="1">
      <c r="E45" s="59"/>
      <c r="F45" s="240" t="s">
        <v>4170</v>
      </c>
      <c r="G45" s="54"/>
      <c r="H45" s="55"/>
      <c r="I45" s="55">
        <v>8.0</v>
      </c>
      <c r="J45" s="55" t="str">
        <f t="shared" si="1"/>
        <v>12034</v>
      </c>
      <c r="K45" s="67">
        <v>1.2034E7</v>
      </c>
      <c r="L45" s="55">
        <v>1.2034999E7</v>
      </c>
      <c r="M45" s="50">
        <f t="shared" si="2"/>
        <v>1000</v>
      </c>
      <c r="N45" s="50">
        <f t="shared" si="4"/>
        <v>1</v>
      </c>
      <c r="O45" s="90"/>
      <c r="P45" s="90"/>
      <c r="Q45" s="90"/>
      <c r="R45" s="90"/>
      <c r="S45" s="90"/>
      <c r="T45" s="90"/>
      <c r="U45" s="90"/>
      <c r="V45" s="90"/>
      <c r="W45" s="90"/>
      <c r="X45" s="90"/>
      <c r="Y45" s="90"/>
      <c r="Z45" s="90"/>
    </row>
    <row r="46" ht="15.75" customHeight="1">
      <c r="E46" s="59"/>
      <c r="F46" s="240" t="s">
        <v>4171</v>
      </c>
      <c r="G46" s="54"/>
      <c r="H46" s="55"/>
      <c r="I46" s="55">
        <v>8.0</v>
      </c>
      <c r="J46" s="55" t="str">
        <f t="shared" si="1"/>
        <v>12035</v>
      </c>
      <c r="K46" s="67">
        <v>1.2035E7</v>
      </c>
      <c r="L46" s="55">
        <v>1.2035999E7</v>
      </c>
      <c r="M46" s="50">
        <f t="shared" si="2"/>
        <v>1000</v>
      </c>
      <c r="N46" s="50">
        <f t="shared" si="4"/>
        <v>1</v>
      </c>
      <c r="O46" s="90"/>
      <c r="P46" s="90"/>
      <c r="Q46" s="90"/>
      <c r="R46" s="90"/>
      <c r="S46" s="90"/>
      <c r="T46" s="90"/>
      <c r="U46" s="90"/>
      <c r="V46" s="90"/>
      <c r="W46" s="90"/>
      <c r="X46" s="90"/>
      <c r="Y46" s="90"/>
      <c r="Z46" s="90"/>
    </row>
    <row r="47" ht="15.75" customHeight="1">
      <c r="E47" s="59"/>
      <c r="F47" s="240" t="s">
        <v>4172</v>
      </c>
      <c r="G47" s="54"/>
      <c r="H47" s="55"/>
      <c r="I47" s="55">
        <v>8.0</v>
      </c>
      <c r="J47" s="55" t="str">
        <f t="shared" si="1"/>
        <v>12036</v>
      </c>
      <c r="K47" s="67">
        <v>1.2036E7</v>
      </c>
      <c r="L47" s="55">
        <v>1.2036999E7</v>
      </c>
      <c r="M47" s="50">
        <f t="shared" si="2"/>
        <v>1000</v>
      </c>
      <c r="N47" s="50">
        <f t="shared" si="4"/>
        <v>1</v>
      </c>
      <c r="O47" s="90"/>
      <c r="P47" s="90"/>
      <c r="Q47" s="90"/>
      <c r="R47" s="90"/>
      <c r="S47" s="90"/>
      <c r="T47" s="90"/>
      <c r="U47" s="90"/>
      <c r="V47" s="90"/>
      <c r="W47" s="90"/>
      <c r="X47" s="90"/>
      <c r="Y47" s="90"/>
      <c r="Z47" s="90"/>
    </row>
    <row r="48" ht="15.75" customHeight="1">
      <c r="E48" s="59"/>
      <c r="F48" s="240" t="s">
        <v>4173</v>
      </c>
      <c r="G48" s="54"/>
      <c r="H48" s="55"/>
      <c r="I48" s="55">
        <v>8.0</v>
      </c>
      <c r="J48" s="55" t="str">
        <f t="shared" si="1"/>
        <v>12037</v>
      </c>
      <c r="K48" s="67">
        <v>1.2037E7</v>
      </c>
      <c r="L48" s="55">
        <v>1.2037999E7</v>
      </c>
      <c r="M48" s="50">
        <f t="shared" si="2"/>
        <v>1000</v>
      </c>
      <c r="N48" s="50">
        <f t="shared" si="4"/>
        <v>1</v>
      </c>
      <c r="O48" s="90"/>
      <c r="P48" s="90"/>
      <c r="Q48" s="90"/>
      <c r="R48" s="90"/>
      <c r="S48" s="90"/>
      <c r="T48" s="90"/>
      <c r="U48" s="90"/>
      <c r="V48" s="90"/>
      <c r="W48" s="90"/>
      <c r="X48" s="90"/>
      <c r="Y48" s="90"/>
      <c r="Z48" s="90"/>
    </row>
    <row r="49" ht="15.75" customHeight="1">
      <c r="E49" s="59"/>
      <c r="F49" s="240" t="s">
        <v>4174</v>
      </c>
      <c r="G49" s="54"/>
      <c r="H49" s="55"/>
      <c r="I49" s="55">
        <v>8.0</v>
      </c>
      <c r="J49" s="55" t="str">
        <f t="shared" si="1"/>
        <v>12038</v>
      </c>
      <c r="K49" s="67">
        <v>1.2038E7</v>
      </c>
      <c r="L49" s="55">
        <v>1.2038999E7</v>
      </c>
      <c r="M49" s="50">
        <f t="shared" si="2"/>
        <v>1000</v>
      </c>
      <c r="N49" s="50">
        <f t="shared" si="4"/>
        <v>1</v>
      </c>
      <c r="O49" s="90"/>
      <c r="P49" s="90"/>
      <c r="Q49" s="90"/>
      <c r="R49" s="90"/>
      <c r="S49" s="90"/>
      <c r="T49" s="90"/>
      <c r="U49" s="90"/>
      <c r="V49" s="90"/>
      <c r="W49" s="90"/>
      <c r="X49" s="90"/>
      <c r="Y49" s="90"/>
      <c r="Z49" s="90"/>
    </row>
    <row r="50" ht="15.75" customHeight="1">
      <c r="E50" s="59"/>
      <c r="F50" s="240" t="s">
        <v>4175</v>
      </c>
      <c r="G50" s="54" t="s">
        <v>165</v>
      </c>
      <c r="H50" s="55"/>
      <c r="I50" s="55">
        <v>8.0</v>
      </c>
      <c r="J50" s="55" t="str">
        <f t="shared" si="1"/>
        <v>12039</v>
      </c>
      <c r="K50" s="55">
        <v>1.2039E7</v>
      </c>
      <c r="L50" s="55">
        <v>1.2039999E7</v>
      </c>
      <c r="M50" s="50">
        <f t="shared" si="2"/>
        <v>1000</v>
      </c>
      <c r="N50" s="50">
        <f t="shared" si="4"/>
        <v>1</v>
      </c>
      <c r="O50" s="90"/>
      <c r="P50" s="90"/>
      <c r="Q50" s="90"/>
      <c r="R50" s="90"/>
      <c r="S50" s="90"/>
      <c r="T50" s="90"/>
      <c r="U50" s="90"/>
      <c r="V50" s="90"/>
      <c r="W50" s="90"/>
      <c r="X50" s="90"/>
      <c r="Y50" s="90"/>
      <c r="Z50" s="90"/>
    </row>
    <row r="51" ht="15.75" customHeight="1">
      <c r="E51" s="59"/>
      <c r="F51" s="240" t="s">
        <v>4176</v>
      </c>
      <c r="G51" s="54"/>
      <c r="H51" s="55"/>
      <c r="I51" s="55">
        <v>8.0</v>
      </c>
      <c r="J51" s="55" t="str">
        <f t="shared" si="1"/>
        <v>12040</v>
      </c>
      <c r="K51" s="67">
        <v>1.204E7</v>
      </c>
      <c r="L51" s="55">
        <v>1.2040999E7</v>
      </c>
      <c r="M51" s="50">
        <f t="shared" si="2"/>
        <v>1000</v>
      </c>
      <c r="N51" s="50">
        <f t="shared" si="4"/>
        <v>1</v>
      </c>
      <c r="O51" s="90"/>
      <c r="P51" s="90"/>
      <c r="Q51" s="90"/>
      <c r="R51" s="90"/>
      <c r="S51" s="90"/>
      <c r="T51" s="90"/>
      <c r="U51" s="90"/>
      <c r="V51" s="90"/>
      <c r="W51" s="90"/>
      <c r="X51" s="90"/>
      <c r="Y51" s="90"/>
      <c r="Z51" s="90"/>
    </row>
    <row r="52" ht="15.75" customHeight="1">
      <c r="E52" s="59"/>
      <c r="F52" s="238" t="s">
        <v>4177</v>
      </c>
      <c r="G52" s="54"/>
      <c r="H52" s="55"/>
      <c r="I52" s="55">
        <v>8.0</v>
      </c>
      <c r="J52" s="55" t="str">
        <f t="shared" si="1"/>
        <v>12041</v>
      </c>
      <c r="K52" s="67">
        <v>1.2041E7</v>
      </c>
      <c r="L52" s="55">
        <v>1.2041999E7</v>
      </c>
      <c r="M52" s="50">
        <f t="shared" si="2"/>
        <v>1000</v>
      </c>
      <c r="N52" s="50">
        <f t="shared" si="4"/>
        <v>1</v>
      </c>
      <c r="O52" s="90"/>
      <c r="P52" s="90"/>
      <c r="Q52" s="90"/>
      <c r="R52" s="90"/>
      <c r="S52" s="90"/>
      <c r="T52" s="90"/>
      <c r="U52" s="90"/>
      <c r="V52" s="90"/>
      <c r="W52" s="90"/>
      <c r="X52" s="90"/>
      <c r="Y52" s="90"/>
      <c r="Z52" s="90"/>
    </row>
    <row r="53" ht="15.75" customHeight="1">
      <c r="E53" s="59"/>
      <c r="F53" s="239" t="s">
        <v>4178</v>
      </c>
      <c r="G53" s="54"/>
      <c r="H53" s="55"/>
      <c r="I53" s="55">
        <v>8.0</v>
      </c>
      <c r="J53" s="55" t="str">
        <f t="shared" si="1"/>
        <v>12042</v>
      </c>
      <c r="K53" s="67">
        <v>1.2042E7</v>
      </c>
      <c r="L53" s="55">
        <v>1.2042999E7</v>
      </c>
      <c r="M53" s="50">
        <f t="shared" si="2"/>
        <v>1000</v>
      </c>
      <c r="N53" s="50">
        <f t="shared" si="4"/>
        <v>1</v>
      </c>
      <c r="O53" s="90"/>
      <c r="P53" s="90"/>
      <c r="Q53" s="90"/>
      <c r="R53" s="90"/>
      <c r="S53" s="90"/>
      <c r="T53" s="90"/>
      <c r="U53" s="90"/>
      <c r="V53" s="90"/>
      <c r="W53" s="90"/>
      <c r="X53" s="90"/>
      <c r="Y53" s="90"/>
      <c r="Z53" s="90"/>
    </row>
    <row r="54" ht="15.75" customHeight="1">
      <c r="E54" s="59"/>
      <c r="F54" s="240" t="s">
        <v>4179</v>
      </c>
      <c r="G54" s="54"/>
      <c r="H54" s="55"/>
      <c r="I54" s="55">
        <v>8.0</v>
      </c>
      <c r="J54" s="55" t="str">
        <f t="shared" si="1"/>
        <v>12043</v>
      </c>
      <c r="K54" s="67">
        <v>1.2043E7</v>
      </c>
      <c r="L54" s="55">
        <v>1.2043999E7</v>
      </c>
      <c r="M54" s="50">
        <f t="shared" si="2"/>
        <v>1000</v>
      </c>
      <c r="N54" s="50">
        <f t="shared" si="4"/>
        <v>1</v>
      </c>
      <c r="O54" s="90"/>
      <c r="P54" s="90"/>
      <c r="Q54" s="90"/>
      <c r="R54" s="90"/>
      <c r="S54" s="90"/>
      <c r="T54" s="90"/>
      <c r="U54" s="90"/>
      <c r="V54" s="90"/>
      <c r="W54" s="90"/>
      <c r="X54" s="90"/>
      <c r="Y54" s="90"/>
      <c r="Z54" s="90"/>
    </row>
    <row r="55" ht="15.75" customHeight="1">
      <c r="E55" s="59"/>
      <c r="F55" s="238" t="s">
        <v>4180</v>
      </c>
      <c r="G55" s="54"/>
      <c r="H55" s="55"/>
      <c r="I55" s="55">
        <v>8.0</v>
      </c>
      <c r="J55" s="55" t="str">
        <f t="shared" si="1"/>
        <v>12044</v>
      </c>
      <c r="K55" s="67">
        <v>1.2044E7</v>
      </c>
      <c r="L55" s="55">
        <v>1.2044999E7</v>
      </c>
      <c r="M55" s="50">
        <f t="shared" si="2"/>
        <v>1000</v>
      </c>
      <c r="N55" s="50">
        <f t="shared" si="4"/>
        <v>1</v>
      </c>
      <c r="O55" s="90"/>
      <c r="P55" s="90"/>
      <c r="Q55" s="90"/>
      <c r="R55" s="90"/>
      <c r="S55" s="90"/>
      <c r="T55" s="90"/>
      <c r="U55" s="90"/>
      <c r="V55" s="90"/>
      <c r="W55" s="90"/>
      <c r="X55" s="90"/>
      <c r="Y55" s="90"/>
      <c r="Z55" s="90"/>
    </row>
    <row r="56" ht="15.75" customHeight="1">
      <c r="E56" s="59"/>
      <c r="F56" s="239" t="s">
        <v>4181</v>
      </c>
      <c r="G56" s="54"/>
      <c r="H56" s="55"/>
      <c r="I56" s="55">
        <v>8.0</v>
      </c>
      <c r="J56" s="55" t="str">
        <f t="shared" si="1"/>
        <v>12045</v>
      </c>
      <c r="K56" s="67">
        <v>1.2045E7</v>
      </c>
      <c r="L56" s="55">
        <v>1.2045999E7</v>
      </c>
      <c r="M56" s="50">
        <f t="shared" si="2"/>
        <v>1000</v>
      </c>
      <c r="N56" s="50">
        <f t="shared" si="4"/>
        <v>1</v>
      </c>
      <c r="O56" s="90"/>
      <c r="P56" s="90"/>
      <c r="Q56" s="90"/>
      <c r="R56" s="90"/>
      <c r="S56" s="90"/>
      <c r="T56" s="90"/>
      <c r="U56" s="90"/>
      <c r="V56" s="90"/>
      <c r="W56" s="90"/>
      <c r="X56" s="90"/>
      <c r="Y56" s="90"/>
      <c r="Z56" s="90"/>
    </row>
    <row r="57" ht="15.75" customHeight="1">
      <c r="E57" s="59"/>
      <c r="F57" s="240" t="s">
        <v>4182</v>
      </c>
      <c r="G57" s="54"/>
      <c r="H57" s="55"/>
      <c r="I57" s="55">
        <v>8.0</v>
      </c>
      <c r="J57" s="55" t="str">
        <f t="shared" si="1"/>
        <v>12046</v>
      </c>
      <c r="K57" s="67">
        <v>1.2046E7</v>
      </c>
      <c r="L57" s="55">
        <v>1.2046999E7</v>
      </c>
      <c r="M57" s="50">
        <f t="shared" si="2"/>
        <v>1000</v>
      </c>
      <c r="N57" s="50">
        <f t="shared" si="4"/>
        <v>3001</v>
      </c>
      <c r="O57" s="90"/>
      <c r="P57" s="90"/>
      <c r="Q57" s="90"/>
      <c r="R57" s="90"/>
      <c r="S57" s="90"/>
      <c r="T57" s="90"/>
      <c r="U57" s="90"/>
      <c r="V57" s="90"/>
      <c r="W57" s="90"/>
      <c r="X57" s="90"/>
      <c r="Y57" s="90"/>
      <c r="Z57" s="90"/>
    </row>
    <row r="58" ht="15.75" customHeight="1">
      <c r="E58" s="59"/>
      <c r="F58" s="53" t="s">
        <v>4183</v>
      </c>
      <c r="G58" s="54"/>
      <c r="H58" s="55"/>
      <c r="I58" s="55">
        <v>8.0</v>
      </c>
      <c r="J58" s="55" t="str">
        <f t="shared" si="1"/>
        <v>12050</v>
      </c>
      <c r="K58" s="67">
        <v>1.205E7</v>
      </c>
      <c r="L58" s="55">
        <v>1.2050999E7</v>
      </c>
      <c r="M58" s="50">
        <f t="shared" si="2"/>
        <v>1000</v>
      </c>
      <c r="N58" s="50">
        <f t="shared" si="4"/>
        <v>46001</v>
      </c>
      <c r="O58" s="90"/>
      <c r="P58" s="90"/>
      <c r="Q58" s="90"/>
      <c r="R58" s="90"/>
      <c r="S58" s="90"/>
      <c r="T58" s="90"/>
      <c r="U58" s="90"/>
      <c r="V58" s="90"/>
      <c r="W58" s="90"/>
      <c r="X58" s="90"/>
      <c r="Y58" s="90"/>
      <c r="Z58" s="90"/>
    </row>
    <row r="59" ht="15.75" customHeight="1">
      <c r="E59" s="59"/>
      <c r="F59" s="53" t="s">
        <v>181</v>
      </c>
      <c r="G59" s="54"/>
      <c r="H59" s="55"/>
      <c r="I59" s="55">
        <v>8.0</v>
      </c>
      <c r="J59" s="55" t="str">
        <f t="shared" si="1"/>
        <v>12097</v>
      </c>
      <c r="K59" s="67">
        <v>1.2097E7</v>
      </c>
      <c r="L59" s="55">
        <v>1.2097999E7</v>
      </c>
      <c r="M59" s="50">
        <f t="shared" si="2"/>
        <v>1000</v>
      </c>
      <c r="N59" s="50">
        <f t="shared" si="4"/>
        <v>1</v>
      </c>
      <c r="O59" s="90"/>
      <c r="P59" s="90"/>
      <c r="Q59" s="90"/>
      <c r="R59" s="90"/>
      <c r="S59" s="90"/>
      <c r="T59" s="90"/>
      <c r="U59" s="90"/>
      <c r="V59" s="90"/>
      <c r="W59" s="90"/>
      <c r="X59" s="90"/>
      <c r="Y59" s="90"/>
      <c r="Z59" s="90"/>
    </row>
    <row r="60" ht="15.75" customHeight="1">
      <c r="E60" s="59"/>
      <c r="F60" s="53" t="s">
        <v>182</v>
      </c>
      <c r="G60" s="54"/>
      <c r="H60" s="55"/>
      <c r="I60" s="55">
        <v>8.0</v>
      </c>
      <c r="J60" s="55" t="str">
        <f t="shared" si="1"/>
        <v>12098</v>
      </c>
      <c r="K60" s="67">
        <v>1.2098E7</v>
      </c>
      <c r="L60" s="55">
        <v>1.2098099E7</v>
      </c>
      <c r="M60" s="50">
        <f t="shared" si="2"/>
        <v>100</v>
      </c>
      <c r="N60" s="50">
        <f t="shared" si="4"/>
        <v>901</v>
      </c>
      <c r="O60" s="90"/>
      <c r="P60" s="90"/>
      <c r="Q60" s="90"/>
      <c r="R60" s="90"/>
      <c r="S60" s="90"/>
      <c r="T60" s="90"/>
      <c r="U60" s="90"/>
      <c r="V60" s="90"/>
      <c r="W60" s="90"/>
      <c r="X60" s="90"/>
      <c r="Y60" s="90"/>
      <c r="Z60" s="90"/>
    </row>
    <row r="61" ht="15.75" customHeight="1">
      <c r="E61" s="59"/>
      <c r="F61" s="53" t="s">
        <v>183</v>
      </c>
      <c r="G61" s="54"/>
      <c r="H61" s="55"/>
      <c r="I61" s="55">
        <v>8.0</v>
      </c>
      <c r="J61" s="55" t="str">
        <f t="shared" si="1"/>
        <v>12099</v>
      </c>
      <c r="K61" s="67">
        <v>1.2099E7</v>
      </c>
      <c r="L61" s="55">
        <v>1.2099099E7</v>
      </c>
      <c r="M61" s="50">
        <f t="shared" si="2"/>
        <v>100</v>
      </c>
      <c r="N61" s="50">
        <f t="shared" si="4"/>
        <v>7910901</v>
      </c>
      <c r="O61" s="90"/>
      <c r="P61" s="90"/>
      <c r="Q61" s="90"/>
      <c r="R61" s="90"/>
      <c r="S61" s="90"/>
      <c r="T61" s="90"/>
      <c r="U61" s="90"/>
      <c r="V61" s="90"/>
      <c r="W61" s="90"/>
      <c r="X61" s="90"/>
      <c r="Y61" s="90"/>
      <c r="Z61" s="90"/>
    </row>
    <row r="62" ht="15.75" customHeight="1">
      <c r="E62" s="241" t="s">
        <v>185</v>
      </c>
      <c r="F62" s="242" t="s">
        <v>186</v>
      </c>
      <c r="G62" s="243"/>
      <c r="H62" s="244"/>
      <c r="I62" s="244" t="s">
        <v>4121</v>
      </c>
      <c r="J62" s="244" t="str">
        <f t="shared" si="1"/>
        <v>20010</v>
      </c>
      <c r="K62" s="245">
        <v>2.001E7</v>
      </c>
      <c r="L62" s="244">
        <v>2.0010999E7</v>
      </c>
      <c r="M62" s="246">
        <f t="shared" si="2"/>
        <v>1000</v>
      </c>
      <c r="N62" s="246">
        <f t="shared" si="4"/>
        <v>4001</v>
      </c>
      <c r="O62" s="90"/>
      <c r="P62" s="90"/>
      <c r="Q62" s="90"/>
      <c r="R62" s="90"/>
      <c r="S62" s="90"/>
      <c r="T62" s="90"/>
      <c r="U62" s="90"/>
      <c r="V62" s="90"/>
      <c r="W62" s="90"/>
      <c r="X62" s="90"/>
      <c r="Y62" s="90"/>
      <c r="Z62" s="90"/>
      <c r="AB62" s="84"/>
    </row>
    <row r="63" ht="15.75" customHeight="1">
      <c r="E63" s="59"/>
      <c r="F63" s="242" t="s">
        <v>187</v>
      </c>
      <c r="G63" s="243"/>
      <c r="H63" s="244"/>
      <c r="I63" s="244" t="s">
        <v>4121</v>
      </c>
      <c r="J63" s="244" t="str">
        <f t="shared" si="1"/>
        <v>20015</v>
      </c>
      <c r="K63" s="245">
        <v>2.0015E7</v>
      </c>
      <c r="L63" s="244">
        <v>2.0015999E7</v>
      </c>
      <c r="M63" s="246">
        <f t="shared" si="2"/>
        <v>1000</v>
      </c>
      <c r="N63" s="246">
        <f t="shared" si="4"/>
        <v>4001</v>
      </c>
      <c r="O63" s="90"/>
      <c r="P63" s="90"/>
      <c r="Q63" s="90"/>
      <c r="R63" s="90"/>
      <c r="S63" s="90"/>
      <c r="T63" s="90"/>
      <c r="U63" s="90"/>
      <c r="V63" s="90"/>
      <c r="W63" s="90"/>
      <c r="X63" s="90"/>
      <c r="Y63" s="90"/>
      <c r="Z63" s="90"/>
      <c r="AB63" s="84"/>
    </row>
    <row r="64" ht="15.75" customHeight="1">
      <c r="E64" s="59"/>
      <c r="F64" s="242" t="s">
        <v>188</v>
      </c>
      <c r="G64" s="243"/>
      <c r="H64" s="244"/>
      <c r="I64" s="244" t="s">
        <v>4121</v>
      </c>
      <c r="J64" s="244" t="str">
        <f t="shared" si="1"/>
        <v>20020</v>
      </c>
      <c r="K64" s="245">
        <v>2.002E7</v>
      </c>
      <c r="L64" s="244">
        <v>2.0020999E7</v>
      </c>
      <c r="M64" s="246">
        <f t="shared" si="2"/>
        <v>1000</v>
      </c>
      <c r="N64" s="246">
        <f t="shared" si="4"/>
        <v>4001</v>
      </c>
      <c r="O64" s="90"/>
      <c r="P64" s="90"/>
      <c r="Q64" s="90"/>
      <c r="R64" s="90"/>
      <c r="S64" s="90"/>
      <c r="T64" s="90"/>
      <c r="U64" s="90"/>
      <c r="V64" s="90"/>
      <c r="W64" s="90"/>
      <c r="X64" s="90"/>
      <c r="Y64" s="90"/>
      <c r="Z64" s="90"/>
      <c r="AB64" s="84"/>
    </row>
    <row r="65" ht="15.75" customHeight="1">
      <c r="E65" s="59"/>
      <c r="F65" s="242" t="s">
        <v>189</v>
      </c>
      <c r="G65" s="243"/>
      <c r="H65" s="244"/>
      <c r="I65" s="244" t="s">
        <v>4121</v>
      </c>
      <c r="J65" s="244" t="str">
        <f t="shared" si="1"/>
        <v>20025</v>
      </c>
      <c r="K65" s="245">
        <v>2.0025E7</v>
      </c>
      <c r="L65" s="244">
        <v>2.0025999E7</v>
      </c>
      <c r="M65" s="246">
        <f t="shared" si="2"/>
        <v>1000</v>
      </c>
      <c r="N65" s="246">
        <f t="shared" si="4"/>
        <v>4001</v>
      </c>
      <c r="O65" s="90"/>
      <c r="P65" s="90"/>
      <c r="Q65" s="90"/>
      <c r="R65" s="90"/>
      <c r="S65" s="90"/>
      <c r="T65" s="90"/>
      <c r="U65" s="90"/>
      <c r="V65" s="90"/>
      <c r="W65" s="90"/>
      <c r="X65" s="90"/>
      <c r="Y65" s="90"/>
      <c r="Z65" s="90"/>
      <c r="AB65" s="84"/>
    </row>
    <row r="66" ht="15.75" customHeight="1">
      <c r="E66" s="59"/>
      <c r="F66" s="242" t="s">
        <v>190</v>
      </c>
      <c r="G66" s="243"/>
      <c r="H66" s="244"/>
      <c r="I66" s="244" t="s">
        <v>4121</v>
      </c>
      <c r="J66" s="244" t="str">
        <f t="shared" si="1"/>
        <v>20030</v>
      </c>
      <c r="K66" s="245">
        <v>2.003E7</v>
      </c>
      <c r="L66" s="244">
        <v>2.0030999E7</v>
      </c>
      <c r="M66" s="246">
        <f t="shared" si="2"/>
        <v>1000</v>
      </c>
      <c r="N66" s="246">
        <f t="shared" si="4"/>
        <v>4001</v>
      </c>
      <c r="O66" s="90"/>
      <c r="P66" s="90"/>
      <c r="Q66" s="90"/>
      <c r="R66" s="90"/>
      <c r="S66" s="90"/>
      <c r="T66" s="90"/>
      <c r="U66" s="90"/>
      <c r="V66" s="90"/>
      <c r="W66" s="90"/>
      <c r="X66" s="90"/>
      <c r="Y66" s="90"/>
      <c r="Z66" s="90"/>
      <c r="AB66" s="84"/>
    </row>
    <row r="67" ht="15.75" customHeight="1">
      <c r="E67" s="59"/>
      <c r="F67" s="242" t="s">
        <v>191</v>
      </c>
      <c r="G67" s="243"/>
      <c r="H67" s="244"/>
      <c r="I67" s="244" t="s">
        <v>4121</v>
      </c>
      <c r="J67" s="244" t="str">
        <f t="shared" si="1"/>
        <v>20035</v>
      </c>
      <c r="K67" s="245">
        <v>2.0035E7</v>
      </c>
      <c r="L67" s="244">
        <v>2.0035999E7</v>
      </c>
      <c r="M67" s="246">
        <f t="shared" si="2"/>
        <v>1000</v>
      </c>
      <c r="N67" s="246">
        <f t="shared" si="4"/>
        <v>4001</v>
      </c>
      <c r="O67" s="90"/>
      <c r="P67" s="90"/>
      <c r="Q67" s="90"/>
      <c r="R67" s="90"/>
      <c r="S67" s="90"/>
      <c r="T67" s="90"/>
      <c r="U67" s="90"/>
      <c r="V67" s="90"/>
      <c r="W67" s="90"/>
      <c r="X67" s="90"/>
      <c r="Y67" s="90"/>
      <c r="Z67" s="90"/>
      <c r="AB67" s="84"/>
    </row>
    <row r="68" ht="15.75" customHeight="1">
      <c r="E68" s="59"/>
      <c r="F68" s="242" t="s">
        <v>192</v>
      </c>
      <c r="G68" s="243"/>
      <c r="H68" s="244"/>
      <c r="I68" s="244" t="s">
        <v>4121</v>
      </c>
      <c r="J68" s="244" t="str">
        <f t="shared" si="1"/>
        <v>20040</v>
      </c>
      <c r="K68" s="245">
        <v>2.004E7</v>
      </c>
      <c r="L68" s="244">
        <v>2.0040999E7</v>
      </c>
      <c r="M68" s="246">
        <f t="shared" si="2"/>
        <v>1000</v>
      </c>
      <c r="N68" s="246">
        <f t="shared" si="4"/>
        <v>9969001</v>
      </c>
      <c r="O68" s="90"/>
      <c r="P68" s="90"/>
      <c r="Q68" s="90"/>
      <c r="R68" s="90"/>
      <c r="S68" s="90"/>
      <c r="T68" s="90"/>
      <c r="U68" s="90"/>
      <c r="V68" s="90"/>
      <c r="W68" s="90"/>
      <c r="X68" s="90"/>
      <c r="Y68" s="90"/>
      <c r="Z68" s="90"/>
      <c r="AB68" s="84"/>
    </row>
    <row r="69" ht="15.75" customHeight="1">
      <c r="E69" s="232" t="s">
        <v>207</v>
      </c>
      <c r="F69" s="53" t="s">
        <v>210</v>
      </c>
      <c r="G69" s="54"/>
      <c r="H69" s="55"/>
      <c r="I69" s="55">
        <v>8.0</v>
      </c>
      <c r="J69" s="55" t="str">
        <f t="shared" si="1"/>
        <v>30010</v>
      </c>
      <c r="K69" s="67">
        <v>3.001E7</v>
      </c>
      <c r="L69" s="55">
        <v>3.0010999E7</v>
      </c>
      <c r="M69" s="50">
        <f t="shared" si="2"/>
        <v>1000</v>
      </c>
      <c r="N69" s="247">
        <f t="shared" si="4"/>
        <v>4001</v>
      </c>
      <c r="O69" s="90"/>
      <c r="P69" s="90"/>
      <c r="Q69" s="90"/>
      <c r="R69" s="90"/>
      <c r="S69" s="90"/>
      <c r="T69" s="90"/>
      <c r="U69" s="90"/>
      <c r="V69" s="90"/>
      <c r="W69" s="90"/>
      <c r="X69" s="90"/>
      <c r="Y69" s="90"/>
      <c r="Z69" s="90"/>
      <c r="AB69" s="84"/>
    </row>
    <row r="70" ht="15.75" customHeight="1">
      <c r="E70" s="59"/>
      <c r="F70" s="53" t="s">
        <v>211</v>
      </c>
      <c r="G70" s="54"/>
      <c r="H70" s="55"/>
      <c r="I70" s="55" t="s">
        <v>4121</v>
      </c>
      <c r="J70" s="55" t="str">
        <f t="shared" si="1"/>
        <v>30015</v>
      </c>
      <c r="K70" s="67">
        <v>3.0015E7</v>
      </c>
      <c r="L70" s="55">
        <v>3.0015999E7</v>
      </c>
      <c r="M70" s="50">
        <f t="shared" si="2"/>
        <v>1000</v>
      </c>
      <c r="N70" s="50">
        <f t="shared" si="4"/>
        <v>4001</v>
      </c>
      <c r="O70" s="90"/>
      <c r="P70" s="90"/>
      <c r="Q70" s="90"/>
      <c r="R70" s="90"/>
      <c r="S70" s="90"/>
      <c r="T70" s="90"/>
      <c r="U70" s="90"/>
      <c r="V70" s="90"/>
      <c r="W70" s="90"/>
      <c r="X70" s="90"/>
      <c r="Y70" s="90"/>
      <c r="Z70" s="90"/>
      <c r="AB70" s="84"/>
    </row>
    <row r="71" ht="15.75" customHeight="1">
      <c r="D71" s="51"/>
      <c r="E71" s="59"/>
      <c r="F71" s="53" t="s">
        <v>212</v>
      </c>
      <c r="G71" s="54"/>
      <c r="H71" s="55"/>
      <c r="I71" s="55" t="s">
        <v>4121</v>
      </c>
      <c r="J71" s="55" t="str">
        <f t="shared" si="1"/>
        <v>30020</v>
      </c>
      <c r="K71" s="67">
        <v>3.002E7</v>
      </c>
      <c r="L71" s="55">
        <v>3.0020999E7</v>
      </c>
      <c r="M71" s="50">
        <f t="shared" si="2"/>
        <v>1000</v>
      </c>
      <c r="N71" s="50">
        <f t="shared" si="4"/>
        <v>4001</v>
      </c>
      <c r="O71" s="90"/>
      <c r="P71" s="90"/>
      <c r="Q71" s="90"/>
      <c r="R71" s="90"/>
      <c r="S71" s="90"/>
      <c r="T71" s="90"/>
      <c r="U71" s="90"/>
      <c r="V71" s="90"/>
      <c r="W71" s="90"/>
      <c r="X71" s="90"/>
      <c r="Y71" s="90"/>
      <c r="Z71" s="90"/>
      <c r="AB71" s="84"/>
    </row>
    <row r="72" ht="15.75" customHeight="1">
      <c r="E72" s="59"/>
      <c r="F72" s="53" t="s">
        <v>213</v>
      </c>
      <c r="G72" s="54"/>
      <c r="H72" s="55"/>
      <c r="I72" s="55" t="s">
        <v>4121</v>
      </c>
      <c r="J72" s="55" t="str">
        <f t="shared" si="1"/>
        <v>30025</v>
      </c>
      <c r="K72" s="67">
        <v>3.0025E7</v>
      </c>
      <c r="L72" s="55">
        <v>3.0025999E7</v>
      </c>
      <c r="M72" s="50">
        <f t="shared" si="2"/>
        <v>1000</v>
      </c>
      <c r="N72" s="50">
        <f t="shared" si="4"/>
        <v>9974001</v>
      </c>
      <c r="O72" s="90"/>
      <c r="P72" s="90"/>
      <c r="Q72" s="90"/>
      <c r="R72" s="90"/>
      <c r="S72" s="90"/>
      <c r="T72" s="90"/>
      <c r="U72" s="90"/>
      <c r="V72" s="90"/>
      <c r="W72" s="90"/>
      <c r="X72" s="90"/>
      <c r="Y72" s="90"/>
      <c r="Z72" s="90"/>
      <c r="AB72" s="84"/>
    </row>
    <row r="73" ht="15.75" customHeight="1">
      <c r="E73" s="241" t="s">
        <v>214</v>
      </c>
      <c r="F73" s="242" t="s">
        <v>215</v>
      </c>
      <c r="G73" s="243"/>
      <c r="H73" s="244"/>
      <c r="I73" s="244"/>
      <c r="J73" s="244" t="str">
        <f t="shared" si="1"/>
        <v>40000</v>
      </c>
      <c r="K73" s="245">
        <v>4.0E7</v>
      </c>
      <c r="L73" s="244">
        <v>4.05E7</v>
      </c>
      <c r="M73" s="246">
        <f t="shared" si="2"/>
        <v>500001</v>
      </c>
      <c r="N73" s="246">
        <f t="shared" si="4"/>
        <v>500000</v>
      </c>
      <c r="O73" s="90"/>
      <c r="P73" s="90"/>
      <c r="Q73" s="90"/>
      <c r="R73" s="90"/>
      <c r="S73" s="90"/>
      <c r="T73" s="90"/>
      <c r="U73" s="90"/>
      <c r="V73" s="90"/>
      <c r="W73" s="90"/>
      <c r="X73" s="90"/>
      <c r="Y73" s="90"/>
      <c r="Z73" s="90"/>
      <c r="AB73" s="84"/>
    </row>
    <row r="74" ht="15.75" customHeight="1">
      <c r="E74" s="59"/>
      <c r="F74" s="242" t="s">
        <v>216</v>
      </c>
      <c r="G74" s="243"/>
      <c r="H74" s="244"/>
      <c r="I74" s="244"/>
      <c r="J74" s="244" t="str">
        <f t="shared" si="1"/>
        <v>41000</v>
      </c>
      <c r="K74" s="245">
        <v>4.1E7</v>
      </c>
      <c r="L74" s="244">
        <v>4.15E7</v>
      </c>
      <c r="M74" s="246">
        <f t="shared" si="2"/>
        <v>500001</v>
      </c>
      <c r="N74" s="246">
        <f t="shared" si="4"/>
        <v>500000</v>
      </c>
      <c r="O74" s="90"/>
      <c r="P74" s="90"/>
      <c r="Q74" s="90"/>
      <c r="R74" s="90"/>
      <c r="S74" s="90"/>
      <c r="T74" s="90"/>
      <c r="U74" s="90"/>
      <c r="V74" s="90"/>
      <c r="W74" s="90"/>
      <c r="X74" s="90"/>
      <c r="Y74" s="90"/>
      <c r="Z74" s="90"/>
      <c r="AB74" s="84"/>
    </row>
    <row r="75" ht="15.75" customHeight="1">
      <c r="E75" s="59"/>
      <c r="F75" s="242" t="s">
        <v>217</v>
      </c>
      <c r="G75" s="243"/>
      <c r="H75" s="244"/>
      <c r="I75" s="244"/>
      <c r="J75" s="244" t="str">
        <f t="shared" si="1"/>
        <v>42000</v>
      </c>
      <c r="K75" s="245">
        <v>4.2E7</v>
      </c>
      <c r="L75" s="244">
        <v>4.25E7</v>
      </c>
      <c r="M75" s="246">
        <f t="shared" si="2"/>
        <v>500001</v>
      </c>
      <c r="N75" s="246">
        <f t="shared" si="4"/>
        <v>500000</v>
      </c>
      <c r="O75" s="90"/>
      <c r="P75" s="90"/>
      <c r="Q75" s="90"/>
      <c r="R75" s="90"/>
      <c r="S75" s="90"/>
      <c r="T75" s="90"/>
      <c r="U75" s="90"/>
      <c r="V75" s="90"/>
      <c r="W75" s="90"/>
      <c r="X75" s="90"/>
      <c r="Y75" s="90"/>
      <c r="Z75" s="90"/>
      <c r="AB75" s="84"/>
    </row>
    <row r="76" ht="15.75" customHeight="1">
      <c r="A76" s="84"/>
      <c r="E76" s="73"/>
      <c r="F76" s="242" t="s">
        <v>218</v>
      </c>
      <c r="G76" s="243"/>
      <c r="H76" s="244"/>
      <c r="I76" s="244"/>
      <c r="J76" s="244" t="str">
        <f t="shared" si="1"/>
        <v>43000</v>
      </c>
      <c r="K76" s="245">
        <v>4.3E7</v>
      </c>
      <c r="L76" s="244">
        <v>4.35E7</v>
      </c>
      <c r="M76" s="246">
        <f t="shared" si="2"/>
        <v>500001</v>
      </c>
      <c r="N76" s="246">
        <f t="shared" si="4"/>
        <v>-43500000</v>
      </c>
      <c r="O76" s="90"/>
      <c r="P76" s="90"/>
      <c r="Q76" s="90"/>
      <c r="R76" s="90"/>
      <c r="S76" s="90"/>
      <c r="T76" s="90"/>
      <c r="U76" s="90"/>
      <c r="V76" s="90"/>
      <c r="W76" s="90"/>
      <c r="X76" s="90"/>
      <c r="Y76" s="90"/>
      <c r="Z76" s="90"/>
      <c r="AB76" s="84"/>
    </row>
    <row r="77" ht="15.75" customHeight="1">
      <c r="A77" s="84"/>
      <c r="E77" s="248"/>
      <c r="F77" s="249"/>
      <c r="G77" s="250"/>
      <c r="H77" s="251"/>
      <c r="I77" s="251"/>
      <c r="J77" s="251"/>
      <c r="K77" s="251"/>
      <c r="L77" s="252"/>
      <c r="M77" s="253"/>
      <c r="N77" s="252"/>
      <c r="O77" s="90"/>
      <c r="P77" s="90"/>
      <c r="Q77" s="90"/>
      <c r="R77" s="90"/>
      <c r="S77" s="90"/>
      <c r="T77" s="90"/>
      <c r="U77" s="90"/>
      <c r="V77" s="90"/>
      <c r="W77" s="90"/>
      <c r="X77" s="90"/>
      <c r="Y77" s="90"/>
      <c r="Z77" s="90"/>
      <c r="AB77" s="84"/>
    </row>
    <row r="78" ht="15.75" customHeight="1">
      <c r="A78" s="84"/>
      <c r="E78" s="248"/>
      <c r="F78" s="249"/>
      <c r="G78" s="250"/>
      <c r="H78" s="251"/>
      <c r="I78" s="251"/>
      <c r="J78" s="251"/>
      <c r="K78" s="251"/>
      <c r="L78" s="252"/>
      <c r="M78" s="253"/>
      <c r="N78" s="252"/>
      <c r="O78" s="90"/>
      <c r="P78" s="90"/>
      <c r="Q78" s="90"/>
      <c r="R78" s="90"/>
      <c r="S78" s="90"/>
      <c r="T78" s="90"/>
      <c r="U78" s="90"/>
      <c r="V78" s="90"/>
      <c r="W78" s="90"/>
      <c r="X78" s="90"/>
      <c r="Y78" s="90"/>
      <c r="Z78" s="90"/>
      <c r="AB78" s="84"/>
    </row>
    <row r="79" ht="15.75" customHeight="1">
      <c r="A79" s="84"/>
      <c r="E79" s="248"/>
      <c r="F79" s="249"/>
      <c r="G79" s="250"/>
      <c r="H79" s="251"/>
      <c r="I79" s="251"/>
      <c r="J79" s="251"/>
      <c r="K79" s="251"/>
      <c r="L79" s="252"/>
      <c r="M79" s="253"/>
      <c r="N79" s="252"/>
      <c r="O79" s="90"/>
      <c r="P79" s="90"/>
      <c r="Q79" s="90"/>
      <c r="R79" s="90"/>
      <c r="S79" s="90"/>
      <c r="T79" s="90"/>
      <c r="U79" s="90"/>
      <c r="V79" s="90"/>
      <c r="W79" s="90"/>
      <c r="X79" s="90"/>
      <c r="Y79" s="90"/>
      <c r="Z79" s="90"/>
      <c r="AB79" s="84"/>
    </row>
    <row r="80" ht="15.75" customHeight="1">
      <c r="A80" s="84"/>
      <c r="E80" s="248"/>
      <c r="F80" s="249"/>
      <c r="G80" s="250"/>
      <c r="H80" s="251"/>
      <c r="I80" s="251"/>
      <c r="J80" s="251"/>
      <c r="K80" s="251"/>
      <c r="L80" s="252"/>
      <c r="M80" s="253"/>
      <c r="N80" s="252"/>
      <c r="O80" s="90"/>
      <c r="P80" s="90"/>
      <c r="Q80" s="90"/>
      <c r="R80" s="90"/>
      <c r="S80" s="90"/>
      <c r="T80" s="90"/>
      <c r="U80" s="90"/>
      <c r="V80" s="90"/>
      <c r="W80" s="90"/>
      <c r="X80" s="90"/>
      <c r="Y80" s="90"/>
      <c r="Z80" s="90"/>
      <c r="AB80" s="84"/>
    </row>
    <row r="81" ht="15.75" customHeight="1">
      <c r="A81" s="84"/>
      <c r="D81" s="51"/>
      <c r="E81" s="248"/>
      <c r="F81" s="249"/>
      <c r="G81" s="250"/>
      <c r="H81" s="251"/>
      <c r="I81" s="251"/>
      <c r="J81" s="251"/>
      <c r="K81" s="251"/>
      <c r="L81" s="252"/>
      <c r="M81" s="253"/>
      <c r="N81" s="252"/>
      <c r="O81" s="90"/>
      <c r="P81" s="90"/>
      <c r="Q81" s="90"/>
      <c r="R81" s="90"/>
      <c r="S81" s="90"/>
      <c r="T81" s="90"/>
      <c r="U81" s="90"/>
      <c r="V81" s="90"/>
      <c r="W81" s="90"/>
      <c r="X81" s="90"/>
      <c r="Y81" s="90"/>
      <c r="Z81" s="90"/>
      <c r="AB81" s="84"/>
    </row>
    <row r="82" ht="15.75" customHeight="1">
      <c r="A82" s="84"/>
      <c r="E82" s="248"/>
      <c r="F82" s="254"/>
      <c r="G82" s="255"/>
      <c r="H82" s="256"/>
      <c r="I82" s="256"/>
      <c r="J82" s="256"/>
      <c r="K82" s="256"/>
      <c r="L82" s="257"/>
      <c r="M82" s="258"/>
      <c r="N82" s="259"/>
      <c r="O82" s="90"/>
      <c r="P82" s="90"/>
      <c r="Q82" s="90"/>
      <c r="R82" s="90"/>
      <c r="S82" s="90"/>
      <c r="T82" s="90"/>
      <c r="U82" s="90"/>
      <c r="V82" s="90"/>
      <c r="W82" s="90"/>
      <c r="X82" s="90"/>
      <c r="Y82" s="90"/>
      <c r="Z82" s="90"/>
      <c r="AB82" s="84"/>
    </row>
    <row r="83" ht="15.75" customHeight="1">
      <c r="A83" s="84"/>
      <c r="E83" s="248"/>
      <c r="F83" s="254"/>
      <c r="G83" s="255"/>
      <c r="H83" s="256"/>
      <c r="I83" s="256"/>
      <c r="J83" s="256"/>
      <c r="K83" s="256"/>
      <c r="L83" s="257"/>
      <c r="M83" s="258"/>
      <c r="N83" s="260"/>
      <c r="O83" s="90"/>
      <c r="P83" s="90"/>
      <c r="Q83" s="90"/>
      <c r="R83" s="90"/>
      <c r="S83" s="90"/>
      <c r="T83" s="90"/>
      <c r="U83" s="90"/>
      <c r="V83" s="90"/>
      <c r="W83" s="90"/>
      <c r="X83" s="90"/>
      <c r="Y83" s="90"/>
      <c r="Z83" s="90"/>
      <c r="AB83" s="84"/>
    </row>
    <row r="84" ht="15.75" customHeight="1">
      <c r="A84" s="84"/>
      <c r="E84" s="248"/>
      <c r="F84" s="254"/>
      <c r="G84" s="255"/>
      <c r="H84" s="256"/>
      <c r="I84" s="256"/>
      <c r="J84" s="256"/>
      <c r="K84" s="256"/>
      <c r="L84" s="257"/>
      <c r="M84" s="258"/>
      <c r="N84" s="260"/>
      <c r="O84" s="90"/>
      <c r="P84" s="90"/>
      <c r="Q84" s="90"/>
      <c r="R84" s="90"/>
      <c r="S84" s="90"/>
      <c r="T84" s="90"/>
      <c r="U84" s="90"/>
      <c r="V84" s="90"/>
      <c r="W84" s="90"/>
      <c r="X84" s="90"/>
      <c r="Y84" s="90"/>
      <c r="Z84" s="90"/>
      <c r="AB84" s="84"/>
    </row>
    <row r="85" ht="15.75" customHeight="1">
      <c r="A85" s="84"/>
      <c r="E85" s="248"/>
      <c r="F85" s="254"/>
      <c r="G85" s="255"/>
      <c r="H85" s="256"/>
      <c r="I85" s="256"/>
      <c r="J85" s="256"/>
      <c r="K85" s="256"/>
      <c r="L85" s="257"/>
      <c r="M85" s="258"/>
      <c r="N85" s="260"/>
      <c r="O85" s="90"/>
      <c r="P85" s="90"/>
      <c r="Q85" s="90"/>
      <c r="R85" s="90"/>
      <c r="S85" s="90"/>
      <c r="T85" s="90"/>
      <c r="U85" s="90"/>
      <c r="V85" s="90"/>
      <c r="W85" s="90"/>
      <c r="X85" s="90"/>
      <c r="Y85" s="90"/>
      <c r="Z85" s="90"/>
      <c r="AB85" s="84"/>
    </row>
    <row r="86" ht="15.75" customHeight="1">
      <c r="A86" s="84"/>
      <c r="F86" s="261"/>
      <c r="G86" s="84"/>
      <c r="H86" s="262"/>
      <c r="I86" s="262"/>
      <c r="J86" s="262"/>
      <c r="K86" s="262"/>
      <c r="L86" s="262"/>
      <c r="M86" s="260"/>
      <c r="N86" s="260"/>
      <c r="O86" s="90"/>
      <c r="P86" s="90"/>
      <c r="Q86" s="90"/>
      <c r="R86" s="90"/>
      <c r="S86" s="90"/>
      <c r="T86" s="90"/>
      <c r="U86" s="90"/>
      <c r="V86" s="90"/>
      <c r="W86" s="90"/>
      <c r="X86" s="90"/>
      <c r="Y86" s="90"/>
      <c r="Z86" s="90"/>
      <c r="AB86" s="84"/>
    </row>
    <row r="87" ht="15.75" customHeight="1">
      <c r="A87" s="84"/>
      <c r="F87" s="261"/>
      <c r="G87" s="84"/>
      <c r="H87" s="262"/>
      <c r="I87" s="262"/>
      <c r="J87" s="262"/>
      <c r="K87" s="262"/>
      <c r="L87" s="262"/>
      <c r="M87" s="260"/>
      <c r="N87" s="260"/>
      <c r="O87" s="90"/>
      <c r="P87" s="90"/>
      <c r="Q87" s="90"/>
      <c r="R87" s="90"/>
      <c r="S87" s="90"/>
      <c r="T87" s="90"/>
      <c r="U87" s="90"/>
      <c r="V87" s="90"/>
      <c r="W87" s="90"/>
      <c r="X87" s="90"/>
      <c r="Y87" s="90"/>
      <c r="Z87" s="90"/>
      <c r="AB87" s="84"/>
    </row>
    <row r="88" ht="15.75" customHeight="1">
      <c r="A88" s="84"/>
      <c r="F88" s="261"/>
      <c r="G88" s="84"/>
      <c r="H88" s="262"/>
      <c r="I88" s="262"/>
      <c r="J88" s="262"/>
      <c r="K88" s="262"/>
      <c r="L88" s="262"/>
      <c r="M88" s="260"/>
      <c r="N88" s="260"/>
      <c r="O88" s="90"/>
      <c r="P88" s="90"/>
      <c r="Q88" s="90"/>
      <c r="R88" s="90"/>
      <c r="S88" s="90"/>
      <c r="T88" s="90"/>
      <c r="U88" s="90"/>
      <c r="V88" s="90"/>
      <c r="W88" s="90"/>
      <c r="X88" s="90"/>
      <c r="Y88" s="90"/>
      <c r="Z88" s="90"/>
      <c r="AB88" s="84"/>
    </row>
    <row r="89" ht="15.75" customHeight="1">
      <c r="A89" s="84"/>
      <c r="F89" s="261"/>
      <c r="G89" s="84"/>
      <c r="H89" s="262"/>
      <c r="I89" s="262"/>
      <c r="J89" s="262"/>
      <c r="K89" s="262"/>
      <c r="L89" s="262"/>
      <c r="M89" s="260"/>
      <c r="N89" s="260"/>
      <c r="O89" s="90"/>
      <c r="P89" s="90"/>
      <c r="Q89" s="90"/>
      <c r="R89" s="90"/>
      <c r="S89" s="90"/>
      <c r="T89" s="90"/>
      <c r="U89" s="90"/>
      <c r="V89" s="90"/>
      <c r="W89" s="90"/>
      <c r="X89" s="90"/>
      <c r="Y89" s="90"/>
      <c r="Z89" s="90"/>
      <c r="AB89" s="84"/>
    </row>
    <row r="90" ht="15.75" customHeight="1">
      <c r="A90" s="84"/>
      <c r="F90" s="261"/>
      <c r="G90" s="84"/>
      <c r="H90" s="262"/>
      <c r="I90" s="262"/>
      <c r="J90" s="262"/>
      <c r="K90" s="262"/>
      <c r="L90" s="262"/>
      <c r="M90" s="260"/>
      <c r="N90" s="260"/>
      <c r="O90" s="263"/>
      <c r="P90" s="263"/>
      <c r="Q90" s="263"/>
      <c r="R90" s="263"/>
      <c r="S90" s="263"/>
      <c r="T90" s="263"/>
      <c r="U90" s="263"/>
      <c r="V90" s="263"/>
      <c r="W90" s="263"/>
      <c r="X90" s="263"/>
      <c r="Y90" s="263"/>
      <c r="Z90" s="263"/>
      <c r="AB90" s="84"/>
    </row>
    <row r="91" ht="15.75" customHeight="1">
      <c r="A91" s="84"/>
      <c r="F91" s="261"/>
      <c r="G91" s="84"/>
      <c r="H91" s="262"/>
      <c r="I91" s="262"/>
      <c r="J91" s="262"/>
      <c r="K91" s="262"/>
      <c r="L91" s="262"/>
      <c r="M91" s="260"/>
      <c r="N91" s="260"/>
      <c r="AB91" s="84"/>
      <c r="AC91" s="84"/>
    </row>
    <row r="92" ht="15.75" customHeight="1">
      <c r="A92" s="84"/>
      <c r="F92" s="261"/>
      <c r="G92" s="84"/>
      <c r="H92" s="262"/>
      <c r="I92" s="262"/>
      <c r="J92" s="262"/>
      <c r="K92" s="262"/>
      <c r="L92" s="262"/>
      <c r="M92" s="260"/>
      <c r="N92" s="260"/>
      <c r="O92" s="99"/>
      <c r="P92" s="99"/>
      <c r="Q92" s="99"/>
      <c r="R92" s="99"/>
      <c r="S92" s="99"/>
      <c r="T92" s="99"/>
      <c r="U92" s="99"/>
      <c r="V92" s="99"/>
      <c r="W92" s="99"/>
      <c r="X92" s="99"/>
      <c r="Y92" s="99"/>
      <c r="Z92" s="99"/>
      <c r="AB92" s="84"/>
      <c r="AC92" s="84"/>
    </row>
    <row r="93" ht="15.75" customHeight="1">
      <c r="A93" s="84"/>
      <c r="F93" s="261"/>
      <c r="G93" s="84"/>
      <c r="H93" s="262"/>
      <c r="I93" s="262"/>
      <c r="J93" s="262"/>
      <c r="K93" s="262"/>
      <c r="L93" s="262"/>
      <c r="M93" s="260"/>
      <c r="N93" s="260"/>
      <c r="O93" s="99"/>
      <c r="P93" s="99"/>
      <c r="Q93" s="99"/>
      <c r="R93" s="99"/>
      <c r="S93" s="99"/>
      <c r="T93" s="99"/>
      <c r="U93" s="99"/>
      <c r="V93" s="99"/>
      <c r="W93" s="99"/>
      <c r="X93" s="99"/>
      <c r="Y93" s="99"/>
      <c r="Z93" s="99"/>
      <c r="AB93" s="84"/>
      <c r="AC93" s="84"/>
    </row>
    <row r="94" ht="15.75" customHeight="1">
      <c r="A94" s="84"/>
      <c r="F94" s="261"/>
      <c r="G94" s="84"/>
      <c r="H94" s="262"/>
      <c r="I94" s="262"/>
      <c r="J94" s="262"/>
      <c r="K94" s="262"/>
      <c r="L94" s="262"/>
      <c r="M94" s="260"/>
      <c r="N94" s="260"/>
      <c r="O94" s="99"/>
      <c r="P94" s="99"/>
      <c r="Q94" s="99"/>
      <c r="R94" s="99"/>
      <c r="S94" s="99"/>
      <c r="T94" s="99"/>
      <c r="U94" s="99"/>
      <c r="V94" s="99"/>
      <c r="W94" s="99"/>
      <c r="X94" s="99"/>
      <c r="Y94" s="99"/>
      <c r="Z94" s="99"/>
      <c r="AB94" s="84"/>
      <c r="AC94" s="84"/>
    </row>
    <row r="95" ht="15.75" customHeight="1">
      <c r="A95" s="84"/>
      <c r="F95" s="261"/>
      <c r="G95" s="84"/>
      <c r="H95" s="262"/>
      <c r="I95" s="262"/>
      <c r="J95" s="262"/>
      <c r="K95" s="262"/>
      <c r="L95" s="262"/>
      <c r="M95" s="260"/>
      <c r="N95" s="260"/>
      <c r="O95" s="99"/>
      <c r="P95" s="99"/>
      <c r="Q95" s="99"/>
      <c r="R95" s="99"/>
      <c r="S95" s="99"/>
      <c r="T95" s="99"/>
      <c r="U95" s="99"/>
      <c r="V95" s="99"/>
      <c r="W95" s="99"/>
      <c r="X95" s="99"/>
      <c r="Y95" s="99"/>
      <c r="Z95" s="99"/>
      <c r="AB95" s="84"/>
      <c r="AC95" s="84"/>
    </row>
    <row r="96" ht="15.75" customHeight="1">
      <c r="A96" s="84"/>
      <c r="F96" s="261"/>
      <c r="G96" s="84"/>
      <c r="H96" s="262"/>
      <c r="I96" s="262"/>
      <c r="J96" s="262"/>
      <c r="K96" s="262"/>
      <c r="L96" s="262"/>
      <c r="M96" s="260"/>
      <c r="N96" s="260"/>
      <c r="O96" s="99"/>
      <c r="P96" s="99"/>
      <c r="Q96" s="99"/>
      <c r="R96" s="99"/>
      <c r="S96" s="99"/>
      <c r="T96" s="99"/>
      <c r="U96" s="99"/>
      <c r="V96" s="99"/>
      <c r="W96" s="99"/>
      <c r="X96" s="99"/>
      <c r="Y96" s="99"/>
      <c r="Z96" s="99"/>
      <c r="AB96" s="84"/>
      <c r="AC96" s="84"/>
    </row>
    <row r="97" ht="15.75" customHeight="1">
      <c r="A97" s="84"/>
      <c r="F97" s="261"/>
      <c r="G97" s="84"/>
      <c r="H97" s="262"/>
      <c r="I97" s="262"/>
      <c r="J97" s="262"/>
      <c r="K97" s="262"/>
      <c r="L97" s="262"/>
      <c r="M97" s="260"/>
      <c r="N97" s="260"/>
      <c r="O97" s="99"/>
      <c r="P97" s="99"/>
      <c r="Q97" s="99"/>
      <c r="R97" s="99"/>
      <c r="S97" s="99"/>
      <c r="T97" s="99"/>
      <c r="U97" s="99"/>
      <c r="V97" s="99"/>
      <c r="W97" s="99"/>
      <c r="X97" s="99"/>
      <c r="Y97" s="99"/>
      <c r="Z97" s="99"/>
      <c r="AB97" s="84"/>
      <c r="AC97" s="84"/>
    </row>
    <row r="98" ht="15.75" customHeight="1">
      <c r="A98" s="84"/>
      <c r="F98" s="261"/>
      <c r="G98" s="84"/>
      <c r="H98" s="262"/>
      <c r="I98" s="262"/>
      <c r="J98" s="262"/>
      <c r="K98" s="262"/>
      <c r="L98" s="262"/>
      <c r="M98" s="260"/>
      <c r="N98" s="260"/>
      <c r="O98" s="99"/>
      <c r="P98" s="99"/>
      <c r="Q98" s="99"/>
      <c r="R98" s="99"/>
      <c r="S98" s="99"/>
      <c r="T98" s="99"/>
      <c r="U98" s="99"/>
      <c r="V98" s="99"/>
      <c r="W98" s="99"/>
      <c r="X98" s="99"/>
      <c r="Y98" s="99"/>
      <c r="Z98" s="99"/>
      <c r="AB98" s="84"/>
      <c r="AC98" s="84"/>
    </row>
    <row r="99" ht="15.75" customHeight="1">
      <c r="A99" s="84"/>
      <c r="F99" s="261"/>
      <c r="G99" s="84"/>
      <c r="H99" s="262"/>
      <c r="I99" s="262"/>
      <c r="J99" s="262"/>
      <c r="K99" s="262"/>
      <c r="L99" s="262"/>
      <c r="M99" s="260"/>
      <c r="N99" s="260"/>
      <c r="O99" s="99"/>
      <c r="P99" s="99"/>
      <c r="Q99" s="99"/>
      <c r="R99" s="99"/>
      <c r="S99" s="99"/>
      <c r="T99" s="99"/>
      <c r="U99" s="99"/>
      <c r="V99" s="99"/>
      <c r="W99" s="99"/>
      <c r="X99" s="99"/>
      <c r="Y99" s="99"/>
      <c r="Z99" s="99"/>
      <c r="AB99" s="84"/>
      <c r="AC99" s="84"/>
    </row>
    <row r="100" ht="15.75" customHeight="1">
      <c r="A100" s="84"/>
      <c r="F100" s="261"/>
      <c r="G100" s="84"/>
      <c r="H100" s="262"/>
      <c r="I100" s="262"/>
      <c r="J100" s="262"/>
      <c r="K100" s="262"/>
      <c r="L100" s="262"/>
      <c r="M100" s="260"/>
      <c r="N100" s="260"/>
      <c r="O100" s="99"/>
      <c r="P100" s="99"/>
      <c r="Q100" s="99"/>
      <c r="R100" s="99"/>
      <c r="S100" s="99"/>
      <c r="T100" s="99"/>
      <c r="U100" s="99"/>
      <c r="V100" s="99"/>
      <c r="W100" s="99"/>
      <c r="X100" s="99"/>
      <c r="Y100" s="99"/>
      <c r="Z100" s="99"/>
      <c r="AB100" s="84"/>
      <c r="AC100" s="84"/>
    </row>
    <row r="101" ht="15.75" customHeight="1">
      <c r="A101" s="84"/>
      <c r="F101" s="261"/>
      <c r="G101" s="84"/>
      <c r="H101" s="262"/>
      <c r="I101" s="262"/>
      <c r="J101" s="262"/>
      <c r="K101" s="262"/>
      <c r="L101" s="262"/>
      <c r="M101" s="260"/>
      <c r="N101" s="260"/>
      <c r="O101" s="99"/>
      <c r="P101" s="99"/>
      <c r="Q101" s="99"/>
      <c r="R101" s="99"/>
      <c r="S101" s="99"/>
      <c r="T101" s="99"/>
      <c r="U101" s="99"/>
      <c r="V101" s="99"/>
      <c r="W101" s="99"/>
      <c r="X101" s="99"/>
      <c r="Y101" s="99"/>
      <c r="Z101" s="99"/>
      <c r="AB101" s="84"/>
      <c r="AC101" s="84"/>
    </row>
    <row r="102" ht="15.75" customHeight="1">
      <c r="A102" s="84"/>
      <c r="F102" s="261"/>
      <c r="G102" s="84"/>
      <c r="H102" s="262"/>
      <c r="I102" s="262"/>
      <c r="J102" s="262"/>
      <c r="K102" s="262"/>
      <c r="L102" s="262"/>
      <c r="M102" s="260"/>
      <c r="N102" s="260"/>
      <c r="O102" s="99"/>
      <c r="P102" s="99"/>
      <c r="Q102" s="99"/>
      <c r="R102" s="99"/>
      <c r="S102" s="99"/>
      <c r="T102" s="99"/>
      <c r="U102" s="99"/>
      <c r="V102" s="99"/>
      <c r="W102" s="99"/>
      <c r="X102" s="99"/>
      <c r="Y102" s="99"/>
      <c r="Z102" s="99"/>
      <c r="AB102" s="84"/>
      <c r="AC102" s="84"/>
    </row>
    <row r="103" ht="15.75" customHeight="1">
      <c r="A103" s="84"/>
      <c r="F103" s="261"/>
      <c r="G103" s="84"/>
      <c r="H103" s="262"/>
      <c r="I103" s="262"/>
      <c r="J103" s="262"/>
      <c r="K103" s="262"/>
      <c r="L103" s="262"/>
      <c r="M103" s="260"/>
      <c r="N103" s="260"/>
      <c r="O103" s="99"/>
      <c r="P103" s="99"/>
      <c r="Q103" s="99"/>
      <c r="R103" s="99"/>
      <c r="S103" s="99"/>
      <c r="T103" s="99"/>
      <c r="U103" s="99"/>
      <c r="V103" s="99"/>
      <c r="W103" s="99"/>
      <c r="X103" s="99"/>
      <c r="Y103" s="99"/>
      <c r="Z103" s="99"/>
      <c r="AB103" s="84"/>
      <c r="AC103" s="84"/>
    </row>
    <row r="104" ht="15.75" customHeight="1">
      <c r="A104" s="84"/>
      <c r="F104" s="261"/>
      <c r="G104" s="84"/>
      <c r="H104" s="262"/>
      <c r="I104" s="262"/>
      <c r="J104" s="262"/>
      <c r="K104" s="262"/>
      <c r="L104" s="262"/>
      <c r="M104" s="260"/>
      <c r="N104" s="260"/>
      <c r="O104" s="99"/>
      <c r="P104" s="99"/>
      <c r="Q104" s="99"/>
      <c r="R104" s="99"/>
      <c r="S104" s="99"/>
      <c r="T104" s="99"/>
      <c r="U104" s="99"/>
      <c r="V104" s="99"/>
      <c r="W104" s="99"/>
      <c r="X104" s="99"/>
      <c r="Y104" s="99"/>
      <c r="Z104" s="99"/>
      <c r="AB104" s="84"/>
      <c r="AC104" s="84"/>
    </row>
    <row r="105" ht="15.75" customHeight="1">
      <c r="A105" s="84"/>
      <c r="F105" s="261"/>
      <c r="G105" s="84"/>
      <c r="H105" s="262"/>
      <c r="I105" s="262"/>
      <c r="J105" s="262"/>
      <c r="K105" s="262"/>
      <c r="L105" s="262"/>
      <c r="M105" s="260"/>
      <c r="N105" s="260"/>
      <c r="O105" s="99"/>
      <c r="P105" s="99"/>
      <c r="Q105" s="99"/>
      <c r="R105" s="99"/>
      <c r="S105" s="99"/>
      <c r="T105" s="99"/>
      <c r="U105" s="99"/>
      <c r="V105" s="99"/>
      <c r="W105" s="99"/>
      <c r="X105" s="99"/>
      <c r="Y105" s="99"/>
      <c r="Z105" s="99"/>
      <c r="AB105" s="84"/>
      <c r="AC105" s="84"/>
    </row>
    <row r="106" ht="15.75" customHeight="1">
      <c r="A106" s="84"/>
      <c r="F106" s="261"/>
      <c r="G106" s="84"/>
      <c r="H106" s="262"/>
      <c r="I106" s="262"/>
      <c r="J106" s="262"/>
      <c r="K106" s="262"/>
      <c r="L106" s="262"/>
      <c r="M106" s="260"/>
      <c r="N106" s="260"/>
      <c r="O106" s="99"/>
      <c r="P106" s="99"/>
      <c r="Q106" s="99"/>
      <c r="R106" s="99"/>
      <c r="S106" s="99"/>
      <c r="T106" s="99"/>
      <c r="U106" s="99"/>
      <c r="V106" s="99"/>
      <c r="W106" s="99"/>
      <c r="X106" s="99"/>
      <c r="Y106" s="99"/>
      <c r="Z106" s="99"/>
      <c r="AB106" s="84"/>
      <c r="AC106" s="84"/>
    </row>
    <row r="107" ht="15.75" customHeight="1">
      <c r="A107" s="84"/>
      <c r="F107" s="261"/>
      <c r="G107" s="84"/>
      <c r="H107" s="262"/>
      <c r="I107" s="262"/>
      <c r="J107" s="262"/>
      <c r="K107" s="262"/>
      <c r="L107" s="262"/>
      <c r="M107" s="260"/>
      <c r="N107" s="260"/>
      <c r="O107" s="99"/>
      <c r="P107" s="99"/>
      <c r="Q107" s="99"/>
      <c r="R107" s="99"/>
      <c r="S107" s="99"/>
      <c r="T107" s="99"/>
      <c r="U107" s="99"/>
      <c r="V107" s="99"/>
      <c r="W107" s="99"/>
      <c r="X107" s="99"/>
      <c r="Y107" s="99"/>
      <c r="Z107" s="99"/>
      <c r="AB107" s="84"/>
      <c r="AC107" s="84"/>
    </row>
    <row r="108" ht="15.75" customHeight="1">
      <c r="A108" s="84"/>
      <c r="F108" s="261"/>
      <c r="G108" s="84"/>
      <c r="H108" s="262"/>
      <c r="I108" s="262"/>
      <c r="J108" s="262"/>
      <c r="K108" s="262"/>
      <c r="L108" s="262"/>
      <c r="M108" s="260"/>
      <c r="N108" s="260"/>
      <c r="O108" s="99"/>
      <c r="P108" s="99"/>
      <c r="Q108" s="99"/>
      <c r="R108" s="99"/>
      <c r="S108" s="99"/>
      <c r="T108" s="99"/>
      <c r="U108" s="99"/>
      <c r="V108" s="99"/>
      <c r="W108" s="99"/>
      <c r="X108" s="99"/>
      <c r="Y108" s="99"/>
      <c r="Z108" s="99"/>
      <c r="AB108" s="84"/>
      <c r="AC108" s="84"/>
    </row>
    <row r="109" ht="15.75" customHeight="1">
      <c r="A109" s="84"/>
      <c r="F109" s="261"/>
      <c r="G109" s="84"/>
      <c r="H109" s="262"/>
      <c r="I109" s="262"/>
      <c r="J109" s="262"/>
      <c r="K109" s="262"/>
      <c r="L109" s="262"/>
      <c r="M109" s="260"/>
      <c r="N109" s="260"/>
      <c r="O109" s="99"/>
      <c r="P109" s="99"/>
      <c r="Q109" s="99"/>
      <c r="R109" s="99"/>
      <c r="S109" s="99"/>
      <c r="T109" s="99"/>
      <c r="U109" s="99"/>
      <c r="V109" s="99"/>
      <c r="W109" s="99"/>
      <c r="X109" s="99"/>
      <c r="Y109" s="99"/>
      <c r="Z109" s="99"/>
      <c r="AB109" s="84"/>
      <c r="AC109" s="84"/>
    </row>
    <row r="110" ht="15.75" customHeight="1">
      <c r="A110" s="84"/>
      <c r="F110" s="261"/>
      <c r="G110" s="84"/>
      <c r="H110" s="262"/>
      <c r="I110" s="262"/>
      <c r="J110" s="262"/>
      <c r="K110" s="262"/>
      <c r="L110" s="262"/>
      <c r="M110" s="260"/>
      <c r="N110" s="260"/>
      <c r="O110" s="99"/>
      <c r="P110" s="99"/>
      <c r="Q110" s="99"/>
      <c r="R110" s="99"/>
      <c r="S110" s="99"/>
      <c r="T110" s="99"/>
      <c r="U110" s="99"/>
      <c r="V110" s="99"/>
      <c r="W110" s="99"/>
      <c r="X110" s="99"/>
      <c r="Y110" s="99"/>
      <c r="Z110" s="99"/>
      <c r="AB110" s="84"/>
      <c r="AC110" s="84"/>
    </row>
    <row r="111" ht="15.75" customHeight="1">
      <c r="A111" s="84"/>
      <c r="F111" s="261"/>
      <c r="G111" s="84"/>
      <c r="H111" s="262"/>
      <c r="I111" s="262"/>
      <c r="J111" s="262"/>
      <c r="K111" s="262"/>
      <c r="L111" s="262"/>
      <c r="M111" s="260"/>
      <c r="N111" s="260"/>
      <c r="O111" s="99"/>
      <c r="P111" s="99"/>
      <c r="Q111" s="99"/>
      <c r="R111" s="99"/>
      <c r="S111" s="99"/>
      <c r="T111" s="99"/>
      <c r="U111" s="99"/>
      <c r="V111" s="99"/>
      <c r="W111" s="99"/>
      <c r="X111" s="99"/>
      <c r="Y111" s="99"/>
      <c r="Z111" s="99"/>
      <c r="AB111" s="84"/>
      <c r="AC111" s="84"/>
    </row>
    <row r="112" ht="15.75" customHeight="1">
      <c r="A112" s="84"/>
      <c r="F112" s="261"/>
      <c r="G112" s="84"/>
      <c r="H112" s="262"/>
      <c r="I112" s="262"/>
      <c r="J112" s="262"/>
      <c r="K112" s="262"/>
      <c r="L112" s="262"/>
      <c r="M112" s="260"/>
      <c r="N112" s="260"/>
      <c r="O112" s="99"/>
      <c r="P112" s="99"/>
      <c r="Q112" s="99"/>
      <c r="R112" s="99"/>
      <c r="S112" s="99"/>
      <c r="T112" s="99"/>
      <c r="U112" s="99"/>
      <c r="V112" s="99"/>
      <c r="W112" s="99"/>
      <c r="X112" s="99"/>
      <c r="Y112" s="99"/>
      <c r="Z112" s="99"/>
      <c r="AB112" s="84"/>
      <c r="AC112" s="84"/>
    </row>
    <row r="113" ht="15.75" customHeight="1">
      <c r="A113" s="84"/>
      <c r="E113" s="84"/>
      <c r="F113" s="261"/>
      <c r="G113" s="84"/>
      <c r="H113" s="262"/>
      <c r="I113" s="262"/>
      <c r="J113" s="262"/>
      <c r="K113" s="262"/>
      <c r="L113" s="262"/>
      <c r="M113" s="260"/>
      <c r="N113" s="260"/>
      <c r="O113" s="99"/>
      <c r="P113" s="99"/>
      <c r="Q113" s="99"/>
      <c r="R113" s="99"/>
      <c r="S113" s="99"/>
      <c r="T113" s="99"/>
      <c r="U113" s="99"/>
      <c r="V113" s="99"/>
      <c r="W113" s="99"/>
      <c r="X113" s="99"/>
      <c r="Y113" s="99"/>
      <c r="Z113" s="99"/>
      <c r="AB113" s="84"/>
      <c r="AC113" s="84"/>
    </row>
    <row r="114" ht="15.75" customHeight="1">
      <c r="A114" s="84"/>
      <c r="E114" s="84"/>
      <c r="F114" s="261"/>
      <c r="G114" s="84"/>
      <c r="H114" s="262"/>
      <c r="I114" s="262"/>
      <c r="J114" s="262"/>
      <c r="K114" s="262"/>
      <c r="L114" s="262"/>
      <c r="M114" s="260"/>
      <c r="N114" s="260"/>
      <c r="O114" s="99"/>
      <c r="P114" s="99"/>
      <c r="Q114" s="99"/>
      <c r="R114" s="99"/>
      <c r="S114" s="99"/>
      <c r="T114" s="99"/>
      <c r="U114" s="99"/>
      <c r="V114" s="99"/>
      <c r="W114" s="99"/>
      <c r="X114" s="99"/>
      <c r="Y114" s="99"/>
      <c r="Z114" s="99"/>
      <c r="AB114" s="84"/>
      <c r="AC114" s="84"/>
    </row>
    <row r="115" ht="15.75" customHeight="1">
      <c r="A115" s="84"/>
      <c r="E115" s="84"/>
      <c r="F115" s="261"/>
      <c r="G115" s="84"/>
      <c r="H115" s="262"/>
      <c r="I115" s="262"/>
      <c r="J115" s="262"/>
      <c r="K115" s="262"/>
      <c r="L115" s="262"/>
      <c r="M115" s="260"/>
      <c r="N115" s="260"/>
      <c r="O115" s="99"/>
      <c r="P115" s="99"/>
      <c r="Q115" s="99"/>
      <c r="R115" s="99"/>
      <c r="S115" s="99"/>
      <c r="T115" s="99"/>
      <c r="U115" s="99"/>
      <c r="V115" s="99"/>
      <c r="W115" s="99"/>
      <c r="X115" s="99"/>
      <c r="Y115" s="99"/>
      <c r="Z115" s="99"/>
      <c r="AB115" s="84"/>
      <c r="AC115" s="84"/>
    </row>
    <row r="116" ht="15.75" customHeight="1">
      <c r="A116" s="84"/>
      <c r="E116" s="84"/>
      <c r="F116" s="261"/>
      <c r="G116" s="84"/>
      <c r="H116" s="262"/>
      <c r="I116" s="262"/>
      <c r="J116" s="262"/>
      <c r="K116" s="262"/>
      <c r="L116" s="262"/>
      <c r="M116" s="260"/>
      <c r="N116" s="260"/>
      <c r="O116" s="99"/>
      <c r="P116" s="99"/>
      <c r="Q116" s="99"/>
      <c r="R116" s="99"/>
      <c r="S116" s="99"/>
      <c r="T116" s="99"/>
      <c r="U116" s="99"/>
      <c r="V116" s="99"/>
      <c r="W116" s="99"/>
      <c r="X116" s="99"/>
      <c r="Y116" s="99"/>
      <c r="Z116" s="99"/>
      <c r="AB116" s="84"/>
      <c r="AC116" s="84"/>
    </row>
    <row r="117" ht="15.75" customHeight="1">
      <c r="A117" s="84"/>
      <c r="E117" s="84"/>
      <c r="F117" s="261"/>
      <c r="G117" s="84"/>
      <c r="H117" s="262"/>
      <c r="I117" s="262"/>
      <c r="J117" s="262"/>
      <c r="K117" s="262"/>
      <c r="L117" s="262"/>
      <c r="M117" s="260"/>
      <c r="N117" s="260"/>
      <c r="O117" s="99"/>
      <c r="P117" s="99"/>
      <c r="Q117" s="99"/>
      <c r="R117" s="99"/>
      <c r="S117" s="99"/>
      <c r="T117" s="99"/>
      <c r="U117" s="99"/>
      <c r="V117" s="99"/>
      <c r="W117" s="99"/>
      <c r="X117" s="99"/>
      <c r="Y117" s="99"/>
      <c r="Z117" s="99"/>
      <c r="AB117" s="84"/>
      <c r="AC117" s="84"/>
    </row>
    <row r="118" ht="15.75" customHeight="1">
      <c r="A118" s="84"/>
      <c r="E118" s="84"/>
      <c r="F118" s="261"/>
      <c r="G118" s="84"/>
      <c r="H118" s="262"/>
      <c r="I118" s="262"/>
      <c r="J118" s="262"/>
      <c r="K118" s="262"/>
      <c r="L118" s="262"/>
      <c r="M118" s="260"/>
      <c r="N118" s="260"/>
      <c r="O118" s="99"/>
      <c r="P118" s="99"/>
      <c r="Q118" s="99"/>
      <c r="R118" s="99"/>
      <c r="S118" s="99"/>
      <c r="T118" s="99"/>
      <c r="U118" s="99"/>
      <c r="V118" s="99"/>
      <c r="W118" s="99"/>
      <c r="X118" s="99"/>
      <c r="Y118" s="99"/>
      <c r="Z118" s="99"/>
      <c r="AB118" s="84"/>
      <c r="AC118" s="84"/>
    </row>
    <row r="119" ht="15.75" customHeight="1">
      <c r="A119" s="84"/>
      <c r="D119" s="84"/>
      <c r="E119" s="84"/>
      <c r="F119" s="261"/>
      <c r="G119" s="84"/>
      <c r="H119" s="262"/>
      <c r="I119" s="262"/>
      <c r="J119" s="262"/>
      <c r="K119" s="262"/>
      <c r="L119" s="262"/>
      <c r="M119" s="260"/>
      <c r="N119" s="260"/>
      <c r="O119" s="99"/>
      <c r="P119" s="99"/>
      <c r="Q119" s="99"/>
      <c r="R119" s="99"/>
      <c r="S119" s="99"/>
      <c r="T119" s="99"/>
      <c r="U119" s="99"/>
      <c r="V119" s="99"/>
      <c r="W119" s="99"/>
      <c r="X119" s="99"/>
      <c r="Y119" s="99"/>
      <c r="Z119" s="99"/>
      <c r="AB119" s="84"/>
      <c r="AC119" s="84"/>
    </row>
    <row r="120" ht="15.75" customHeight="1">
      <c r="A120" s="84"/>
      <c r="D120" s="84"/>
      <c r="E120" s="84"/>
      <c r="F120" s="261"/>
      <c r="G120" s="84"/>
      <c r="H120" s="262"/>
      <c r="I120" s="262"/>
      <c r="J120" s="262"/>
      <c r="K120" s="262"/>
      <c r="L120" s="262"/>
      <c r="M120" s="260"/>
      <c r="N120" s="260"/>
      <c r="O120" s="99"/>
      <c r="P120" s="99"/>
      <c r="Q120" s="99"/>
      <c r="R120" s="99"/>
      <c r="S120" s="99"/>
      <c r="T120" s="99"/>
      <c r="U120" s="99"/>
      <c r="V120" s="99"/>
      <c r="W120" s="99"/>
      <c r="X120" s="99"/>
      <c r="Y120" s="99"/>
      <c r="Z120" s="99"/>
      <c r="AB120" s="84"/>
      <c r="AC120" s="84"/>
    </row>
    <row r="121" ht="15.75" customHeight="1">
      <c r="A121" s="84"/>
      <c r="D121" s="84"/>
      <c r="E121" s="84"/>
      <c r="F121" s="261"/>
      <c r="G121" s="84"/>
      <c r="H121" s="262"/>
      <c r="I121" s="262"/>
      <c r="J121" s="262"/>
      <c r="K121" s="262"/>
      <c r="L121" s="262"/>
      <c r="M121" s="260"/>
      <c r="N121" s="260"/>
      <c r="O121" s="99"/>
      <c r="P121" s="99"/>
      <c r="Q121" s="99"/>
      <c r="R121" s="99"/>
      <c r="S121" s="99"/>
      <c r="T121" s="99"/>
      <c r="U121" s="99"/>
      <c r="V121" s="99"/>
      <c r="W121" s="99"/>
      <c r="X121" s="99"/>
      <c r="Y121" s="99"/>
      <c r="Z121" s="99"/>
      <c r="AB121" s="84"/>
      <c r="AC121" s="84"/>
    </row>
    <row r="122" ht="15.75" customHeight="1">
      <c r="A122" s="84"/>
      <c r="D122" s="84"/>
      <c r="E122" s="84"/>
      <c r="F122" s="261"/>
      <c r="G122" s="84"/>
      <c r="H122" s="262"/>
      <c r="I122" s="262"/>
      <c r="J122" s="262"/>
      <c r="K122" s="262"/>
      <c r="L122" s="262"/>
      <c r="M122" s="260"/>
      <c r="N122" s="260"/>
      <c r="O122" s="99"/>
      <c r="P122" s="99"/>
      <c r="Q122" s="99"/>
      <c r="R122" s="99"/>
      <c r="S122" s="99"/>
      <c r="T122" s="99"/>
      <c r="U122" s="99"/>
      <c r="V122" s="99"/>
      <c r="W122" s="99"/>
      <c r="X122" s="99"/>
      <c r="Y122" s="99"/>
      <c r="Z122" s="99"/>
      <c r="AB122" s="84"/>
      <c r="AC122" s="84"/>
    </row>
    <row r="123" ht="15.75" customHeight="1">
      <c r="A123" s="84"/>
      <c r="D123" s="84"/>
      <c r="E123" s="84"/>
      <c r="F123" s="261"/>
      <c r="G123" s="84"/>
      <c r="H123" s="262"/>
      <c r="I123" s="262"/>
      <c r="J123" s="262"/>
      <c r="K123" s="262"/>
      <c r="L123" s="262"/>
      <c r="M123" s="260"/>
      <c r="N123" s="260"/>
      <c r="O123" s="99"/>
      <c r="P123" s="99"/>
      <c r="Q123" s="99"/>
      <c r="R123" s="99"/>
      <c r="S123" s="99"/>
      <c r="T123" s="99"/>
      <c r="U123" s="99"/>
      <c r="V123" s="99"/>
      <c r="W123" s="99"/>
      <c r="X123" s="99"/>
      <c r="Y123" s="99"/>
      <c r="Z123" s="99"/>
      <c r="AB123" s="84"/>
      <c r="AC123" s="84"/>
    </row>
    <row r="124" ht="15.75" customHeight="1">
      <c r="A124" s="84"/>
      <c r="D124" s="84"/>
      <c r="E124" s="84"/>
      <c r="F124" s="261"/>
      <c r="G124" s="84"/>
      <c r="H124" s="262"/>
      <c r="I124" s="262"/>
      <c r="J124" s="262"/>
      <c r="K124" s="262"/>
      <c r="L124" s="262"/>
      <c r="M124" s="260"/>
      <c r="N124" s="260"/>
      <c r="O124" s="99"/>
      <c r="P124" s="99"/>
      <c r="Q124" s="99"/>
      <c r="R124" s="99"/>
      <c r="S124" s="99"/>
      <c r="T124" s="99"/>
      <c r="U124" s="99"/>
      <c r="V124" s="99"/>
      <c r="W124" s="99"/>
      <c r="X124" s="99"/>
      <c r="Y124" s="99"/>
      <c r="Z124" s="99"/>
      <c r="AB124" s="84"/>
      <c r="AC124" s="84"/>
    </row>
    <row r="125" ht="15.75" customHeight="1">
      <c r="A125" s="84"/>
      <c r="D125" s="84"/>
      <c r="E125" s="84"/>
      <c r="F125" s="261"/>
      <c r="G125" s="84"/>
      <c r="H125" s="262"/>
      <c r="I125" s="262"/>
      <c r="J125" s="262"/>
      <c r="K125" s="262"/>
      <c r="L125" s="262"/>
      <c r="M125" s="260"/>
      <c r="N125" s="260"/>
      <c r="O125" s="99"/>
      <c r="P125" s="99"/>
      <c r="Q125" s="99"/>
      <c r="R125" s="99"/>
      <c r="S125" s="99"/>
      <c r="T125" s="99"/>
      <c r="U125" s="99"/>
      <c r="V125" s="99"/>
      <c r="W125" s="99"/>
      <c r="X125" s="99"/>
      <c r="Y125" s="99"/>
      <c r="Z125" s="99"/>
      <c r="AB125" s="84"/>
      <c r="AC125" s="84"/>
    </row>
    <row r="126" ht="15.75" customHeight="1">
      <c r="A126" s="84"/>
      <c r="D126" s="84"/>
      <c r="E126" s="84"/>
      <c r="F126" s="261"/>
      <c r="G126" s="84"/>
      <c r="H126" s="262"/>
      <c r="I126" s="262"/>
      <c r="J126" s="262"/>
      <c r="K126" s="262"/>
      <c r="L126" s="262"/>
      <c r="M126" s="260"/>
      <c r="N126" s="260"/>
      <c r="O126" s="99"/>
      <c r="P126" s="99"/>
      <c r="Q126" s="99"/>
      <c r="R126" s="99"/>
      <c r="S126" s="99"/>
      <c r="T126" s="99"/>
      <c r="U126" s="99"/>
      <c r="V126" s="99"/>
      <c r="W126" s="99"/>
      <c r="X126" s="99"/>
      <c r="Y126" s="99"/>
      <c r="Z126" s="99"/>
      <c r="AB126" s="84"/>
      <c r="AC126" s="84"/>
    </row>
    <row r="127" ht="15.75" customHeight="1">
      <c r="A127" s="84"/>
      <c r="D127" s="84"/>
      <c r="E127" s="84"/>
      <c r="F127" s="261"/>
      <c r="G127" s="84"/>
      <c r="H127" s="262"/>
      <c r="I127" s="262"/>
      <c r="J127" s="262"/>
      <c r="K127" s="262"/>
      <c r="L127" s="262"/>
      <c r="M127" s="260"/>
      <c r="N127" s="260"/>
      <c r="O127" s="99"/>
      <c r="P127" s="99"/>
      <c r="Q127" s="99"/>
      <c r="R127" s="99"/>
      <c r="S127" s="99"/>
      <c r="T127" s="99"/>
      <c r="U127" s="99"/>
      <c r="V127" s="99"/>
      <c r="W127" s="99"/>
      <c r="X127" s="99"/>
      <c r="Y127" s="99"/>
      <c r="Z127" s="99"/>
      <c r="AB127" s="84"/>
      <c r="AC127" s="84"/>
    </row>
    <row r="128" ht="15.75" customHeight="1">
      <c r="A128" s="84"/>
      <c r="D128" s="84"/>
      <c r="E128" s="84"/>
      <c r="F128" s="261"/>
      <c r="G128" s="84"/>
      <c r="H128" s="262"/>
      <c r="I128" s="262"/>
      <c r="J128" s="262"/>
      <c r="K128" s="262"/>
      <c r="L128" s="262"/>
      <c r="M128" s="260"/>
      <c r="N128" s="260"/>
      <c r="O128" s="99"/>
      <c r="P128" s="99"/>
      <c r="Q128" s="99"/>
      <c r="R128" s="99"/>
      <c r="S128" s="99"/>
      <c r="T128" s="99"/>
      <c r="U128" s="99"/>
      <c r="V128" s="99"/>
      <c r="W128" s="99"/>
      <c r="X128" s="99"/>
      <c r="Y128" s="99"/>
      <c r="Z128" s="99"/>
      <c r="AB128" s="84"/>
      <c r="AC128" s="84"/>
    </row>
    <row r="129" ht="15.75" customHeight="1">
      <c r="A129" s="84"/>
      <c r="D129" s="84"/>
      <c r="E129" s="84"/>
      <c r="F129" s="261"/>
      <c r="G129" s="84"/>
      <c r="H129" s="262"/>
      <c r="I129" s="262"/>
      <c r="J129" s="262"/>
      <c r="K129" s="262"/>
      <c r="L129" s="262"/>
      <c r="M129" s="260"/>
      <c r="N129" s="260"/>
      <c r="O129" s="99"/>
      <c r="P129" s="99"/>
      <c r="Q129" s="99"/>
      <c r="R129" s="99"/>
      <c r="S129" s="99"/>
      <c r="T129" s="99"/>
      <c r="U129" s="99"/>
      <c r="V129" s="99"/>
      <c r="W129" s="99"/>
      <c r="X129" s="99"/>
      <c r="Y129" s="99"/>
      <c r="Z129" s="99"/>
      <c r="AB129" s="84"/>
      <c r="AC129" s="84"/>
    </row>
    <row r="130" ht="15.75" customHeight="1">
      <c r="A130" s="84"/>
      <c r="B130" s="84"/>
      <c r="C130" s="84"/>
      <c r="D130" s="84"/>
      <c r="E130" s="84"/>
      <c r="F130" s="261"/>
      <c r="G130" s="84"/>
      <c r="H130" s="262"/>
      <c r="I130" s="262"/>
      <c r="J130" s="262"/>
      <c r="K130" s="262"/>
      <c r="L130" s="262"/>
      <c r="M130" s="260"/>
      <c r="N130" s="260"/>
      <c r="O130" s="99"/>
      <c r="P130" s="99"/>
      <c r="Q130" s="99"/>
      <c r="R130" s="99"/>
      <c r="S130" s="99"/>
      <c r="T130" s="99"/>
      <c r="U130" s="99"/>
      <c r="V130" s="99"/>
      <c r="W130" s="99"/>
      <c r="X130" s="99"/>
      <c r="Y130" s="99"/>
      <c r="Z130" s="99"/>
      <c r="AB130" s="84"/>
      <c r="AC130" s="84"/>
      <c r="AD130" s="84"/>
      <c r="AE130" s="84"/>
      <c r="AF130" s="84"/>
      <c r="AG130" s="84"/>
      <c r="AH130" s="84"/>
      <c r="AI130" s="84"/>
    </row>
    <row r="131" ht="15.75" customHeight="1">
      <c r="A131" s="84"/>
      <c r="B131" s="84"/>
      <c r="C131" s="84"/>
      <c r="D131" s="84"/>
      <c r="E131" s="84"/>
      <c r="F131" s="261"/>
      <c r="G131" s="84"/>
      <c r="H131" s="262"/>
      <c r="I131" s="262"/>
      <c r="J131" s="262"/>
      <c r="K131" s="262"/>
      <c r="L131" s="262"/>
      <c r="M131" s="260"/>
      <c r="N131" s="260"/>
      <c r="O131" s="99"/>
      <c r="P131" s="99"/>
      <c r="Q131" s="99"/>
      <c r="R131" s="99"/>
      <c r="S131" s="99"/>
      <c r="T131" s="99"/>
      <c r="U131" s="99"/>
      <c r="V131" s="99"/>
      <c r="W131" s="99"/>
      <c r="X131" s="99"/>
      <c r="Y131" s="99"/>
      <c r="Z131" s="99"/>
      <c r="AB131" s="84"/>
      <c r="AC131" s="84"/>
      <c r="AD131" s="84"/>
      <c r="AE131" s="84"/>
      <c r="AF131" s="84"/>
      <c r="AG131" s="84"/>
      <c r="AH131" s="84"/>
      <c r="AI131" s="84"/>
    </row>
    <row r="132" ht="15.75" customHeight="1">
      <c r="A132" s="84"/>
      <c r="B132" s="84"/>
      <c r="C132" s="84"/>
      <c r="D132" s="84"/>
      <c r="E132" s="84"/>
      <c r="F132" s="261"/>
      <c r="G132" s="84"/>
      <c r="H132" s="262"/>
      <c r="I132" s="262"/>
      <c r="J132" s="262"/>
      <c r="K132" s="262"/>
      <c r="L132" s="262"/>
      <c r="M132" s="260"/>
      <c r="N132" s="260"/>
      <c r="O132" s="99"/>
      <c r="P132" s="99"/>
      <c r="Q132" s="99"/>
      <c r="R132" s="99"/>
      <c r="S132" s="99"/>
      <c r="T132" s="99"/>
      <c r="U132" s="99"/>
      <c r="V132" s="99"/>
      <c r="W132" s="99"/>
      <c r="X132" s="99"/>
      <c r="Y132" s="99"/>
      <c r="Z132" s="99"/>
      <c r="AB132" s="84"/>
      <c r="AC132" s="84"/>
      <c r="AD132" s="84"/>
      <c r="AE132" s="84"/>
      <c r="AF132" s="84"/>
      <c r="AG132" s="84"/>
      <c r="AH132" s="84"/>
      <c r="AI132" s="84"/>
    </row>
    <row r="133" ht="15.75" customHeight="1">
      <c r="A133" s="84"/>
      <c r="B133" s="84"/>
      <c r="C133" s="84"/>
      <c r="D133" s="84"/>
      <c r="E133" s="84"/>
      <c r="F133" s="261"/>
      <c r="G133" s="84"/>
      <c r="H133" s="262"/>
      <c r="I133" s="262"/>
      <c r="J133" s="262"/>
      <c r="K133" s="262"/>
      <c r="L133" s="262"/>
      <c r="M133" s="260"/>
      <c r="N133" s="260"/>
      <c r="O133" s="99"/>
      <c r="P133" s="99"/>
      <c r="Q133" s="99"/>
      <c r="R133" s="99"/>
      <c r="S133" s="99"/>
      <c r="T133" s="99"/>
      <c r="U133" s="99"/>
      <c r="V133" s="99"/>
      <c r="W133" s="99"/>
      <c r="X133" s="99"/>
      <c r="Y133" s="99"/>
      <c r="Z133" s="99"/>
      <c r="AB133" s="84"/>
      <c r="AC133" s="84"/>
      <c r="AD133" s="84"/>
      <c r="AE133" s="84"/>
      <c r="AF133" s="84"/>
      <c r="AG133" s="84"/>
      <c r="AH133" s="84"/>
      <c r="AI133" s="84"/>
    </row>
    <row r="134" ht="15.75" customHeight="1">
      <c r="A134" s="84"/>
      <c r="B134" s="84"/>
      <c r="C134" s="84"/>
      <c r="D134" s="84"/>
      <c r="E134" s="84"/>
      <c r="F134" s="261"/>
      <c r="G134" s="84"/>
      <c r="H134" s="262"/>
      <c r="I134" s="262"/>
      <c r="J134" s="262"/>
      <c r="K134" s="262"/>
      <c r="L134" s="262"/>
      <c r="M134" s="260"/>
      <c r="N134" s="260"/>
      <c r="O134" s="99"/>
      <c r="P134" s="99"/>
      <c r="Q134" s="99"/>
      <c r="R134" s="99"/>
      <c r="S134" s="99"/>
      <c r="T134" s="99"/>
      <c r="U134" s="99"/>
      <c r="V134" s="99"/>
      <c r="W134" s="99"/>
      <c r="X134" s="99"/>
      <c r="Y134" s="99"/>
      <c r="Z134" s="99"/>
      <c r="AB134" s="84"/>
      <c r="AC134" s="84"/>
      <c r="AD134" s="84"/>
      <c r="AE134" s="84"/>
      <c r="AF134" s="84"/>
      <c r="AG134" s="84"/>
      <c r="AH134" s="84"/>
      <c r="AI134" s="84"/>
    </row>
    <row r="135" ht="15.75" customHeight="1">
      <c r="A135" s="84"/>
      <c r="B135" s="84"/>
      <c r="C135" s="84"/>
      <c r="D135" s="84"/>
      <c r="E135" s="264"/>
      <c r="F135" s="261"/>
      <c r="G135" s="84"/>
      <c r="H135" s="262"/>
      <c r="I135" s="262"/>
      <c r="J135" s="262"/>
      <c r="K135" s="262"/>
      <c r="L135" s="262"/>
      <c r="M135" s="260"/>
      <c r="N135" s="260"/>
      <c r="O135" s="99"/>
      <c r="P135" s="99"/>
      <c r="Q135" s="99"/>
      <c r="R135" s="99"/>
      <c r="S135" s="99"/>
      <c r="T135" s="99"/>
      <c r="U135" s="99"/>
      <c r="V135" s="99"/>
      <c r="W135" s="99"/>
      <c r="X135" s="99"/>
      <c r="Y135" s="99"/>
      <c r="Z135" s="99"/>
      <c r="AB135" s="84"/>
      <c r="AC135" s="84"/>
      <c r="AD135" s="84"/>
      <c r="AE135" s="84"/>
      <c r="AF135" s="84"/>
      <c r="AG135" s="84"/>
      <c r="AH135" s="84"/>
      <c r="AI135" s="84"/>
    </row>
    <row r="136" ht="15.75" customHeight="1">
      <c r="A136" s="84"/>
      <c r="B136" s="84"/>
      <c r="C136" s="84"/>
      <c r="D136" s="84"/>
      <c r="E136" s="233"/>
      <c r="F136" s="261"/>
      <c r="G136" s="84"/>
      <c r="H136" s="262"/>
      <c r="I136" s="262"/>
      <c r="J136" s="262"/>
      <c r="K136" s="262"/>
      <c r="L136" s="262"/>
      <c r="M136" s="260"/>
      <c r="N136" s="260"/>
      <c r="O136" s="99"/>
      <c r="P136" s="99"/>
      <c r="Q136" s="99"/>
      <c r="R136" s="99"/>
      <c r="S136" s="99"/>
      <c r="T136" s="99"/>
      <c r="U136" s="99"/>
      <c r="V136" s="99"/>
      <c r="W136" s="99"/>
      <c r="X136" s="99"/>
      <c r="Y136" s="99"/>
      <c r="Z136" s="99"/>
      <c r="AB136" s="84"/>
      <c r="AC136" s="84"/>
      <c r="AD136" s="84"/>
      <c r="AE136" s="84"/>
      <c r="AF136" s="84"/>
      <c r="AG136" s="84"/>
      <c r="AH136" s="84"/>
      <c r="AI136" s="84"/>
    </row>
    <row r="137" ht="15.75" customHeight="1">
      <c r="A137" s="84"/>
      <c r="B137" s="84"/>
      <c r="C137" s="84"/>
      <c r="D137" s="84"/>
      <c r="E137" s="265"/>
      <c r="F137" s="261"/>
      <c r="G137" s="84"/>
      <c r="H137" s="262"/>
      <c r="I137" s="262"/>
      <c r="J137" s="262"/>
      <c r="K137" s="262"/>
      <c r="L137" s="262"/>
      <c r="M137" s="260"/>
      <c r="N137" s="260"/>
      <c r="O137" s="99"/>
      <c r="P137" s="99"/>
      <c r="Q137" s="99"/>
      <c r="R137" s="99"/>
      <c r="S137" s="99"/>
      <c r="T137" s="99"/>
      <c r="U137" s="99"/>
      <c r="V137" s="99"/>
      <c r="W137" s="99"/>
      <c r="X137" s="99"/>
      <c r="Y137" s="99"/>
      <c r="Z137" s="99"/>
      <c r="AB137" s="84"/>
      <c r="AC137" s="84"/>
      <c r="AD137" s="84"/>
      <c r="AE137" s="84"/>
      <c r="AF137" s="84"/>
      <c r="AG137" s="84"/>
      <c r="AH137" s="84"/>
      <c r="AI137" s="84"/>
    </row>
    <row r="138" ht="15.75" customHeight="1">
      <c r="A138" s="84"/>
      <c r="B138" s="84"/>
      <c r="C138" s="84"/>
      <c r="D138" s="84"/>
      <c r="E138" s="265"/>
      <c r="F138" s="261"/>
      <c r="G138" s="84"/>
      <c r="H138" s="262"/>
      <c r="I138" s="262"/>
      <c r="J138" s="262"/>
      <c r="K138" s="262"/>
      <c r="L138" s="262"/>
      <c r="M138" s="260"/>
      <c r="N138" s="260"/>
      <c r="O138" s="99"/>
      <c r="P138" s="99"/>
      <c r="Q138" s="99"/>
      <c r="R138" s="99"/>
      <c r="S138" s="99"/>
      <c r="T138" s="99"/>
      <c r="U138" s="99"/>
      <c r="V138" s="99"/>
      <c r="W138" s="99"/>
      <c r="X138" s="99"/>
      <c r="Y138" s="99"/>
      <c r="Z138" s="99"/>
      <c r="AB138" s="84"/>
      <c r="AC138" s="84"/>
      <c r="AD138" s="84"/>
      <c r="AE138" s="84"/>
      <c r="AF138" s="84"/>
      <c r="AG138" s="84"/>
      <c r="AH138" s="84"/>
      <c r="AI138" s="84"/>
    </row>
    <row r="139" ht="15.75" customHeight="1">
      <c r="A139" s="84"/>
      <c r="B139" s="84"/>
      <c r="C139" s="84"/>
      <c r="D139" s="84"/>
      <c r="E139" s="265"/>
      <c r="F139" s="261"/>
      <c r="G139" s="84"/>
      <c r="H139" s="262"/>
      <c r="I139" s="262"/>
      <c r="J139" s="262"/>
      <c r="K139" s="262"/>
      <c r="L139" s="262"/>
      <c r="M139" s="260"/>
      <c r="N139" s="260"/>
      <c r="O139" s="99"/>
      <c r="P139" s="99"/>
      <c r="Q139" s="99"/>
      <c r="R139" s="99"/>
      <c r="S139" s="99"/>
      <c r="T139" s="99"/>
      <c r="U139" s="99"/>
      <c r="V139" s="99"/>
      <c r="W139" s="99"/>
      <c r="X139" s="99"/>
      <c r="Y139" s="99"/>
      <c r="Z139" s="99"/>
      <c r="AB139" s="84"/>
      <c r="AC139" s="84"/>
      <c r="AD139" s="84"/>
      <c r="AE139" s="84"/>
      <c r="AF139" s="84"/>
      <c r="AG139" s="84"/>
      <c r="AH139" s="84"/>
      <c r="AI139" s="84"/>
    </row>
    <row r="140" ht="15.75" customHeight="1">
      <c r="A140" s="84"/>
      <c r="B140" s="84"/>
      <c r="C140" s="84"/>
      <c r="D140" s="84"/>
      <c r="E140" s="265"/>
      <c r="F140" s="261"/>
      <c r="G140" s="84"/>
      <c r="H140" s="262"/>
      <c r="I140" s="262"/>
      <c r="J140" s="262"/>
      <c r="K140" s="262"/>
      <c r="L140" s="262"/>
      <c r="M140" s="260"/>
      <c r="N140" s="260"/>
      <c r="O140" s="99"/>
      <c r="P140" s="99"/>
      <c r="Q140" s="99"/>
      <c r="R140" s="99"/>
      <c r="S140" s="99"/>
      <c r="T140" s="99"/>
      <c r="U140" s="99"/>
      <c r="V140" s="99"/>
      <c r="W140" s="99"/>
      <c r="X140" s="99"/>
      <c r="Y140" s="99"/>
      <c r="Z140" s="99"/>
      <c r="AB140" s="84"/>
      <c r="AC140" s="84"/>
      <c r="AD140" s="84"/>
      <c r="AE140" s="84"/>
      <c r="AF140" s="84"/>
      <c r="AG140" s="84"/>
      <c r="AH140" s="84"/>
      <c r="AI140" s="84"/>
    </row>
    <row r="141" ht="15.75" customHeight="1">
      <c r="A141" s="84"/>
      <c r="B141" s="84"/>
      <c r="C141" s="84"/>
      <c r="D141" s="264"/>
      <c r="E141" s="265"/>
      <c r="F141" s="261"/>
      <c r="G141" s="84"/>
      <c r="H141" s="262"/>
      <c r="I141" s="262"/>
      <c r="J141" s="262"/>
      <c r="K141" s="262"/>
      <c r="L141" s="262"/>
      <c r="M141" s="260"/>
      <c r="N141" s="260"/>
      <c r="O141" s="99"/>
      <c r="P141" s="99"/>
      <c r="Q141" s="99"/>
      <c r="R141" s="99"/>
      <c r="S141" s="99"/>
      <c r="T141" s="99"/>
      <c r="U141" s="99"/>
      <c r="V141" s="99"/>
      <c r="W141" s="99"/>
      <c r="X141" s="99"/>
      <c r="Y141" s="99"/>
      <c r="Z141" s="99"/>
      <c r="AB141" s="84"/>
      <c r="AC141" s="84"/>
      <c r="AD141" s="84"/>
      <c r="AE141" s="84"/>
      <c r="AF141" s="84"/>
      <c r="AG141" s="84"/>
      <c r="AH141" s="84"/>
      <c r="AI141" s="84"/>
    </row>
    <row r="142" ht="15.75" customHeight="1">
      <c r="A142" s="84"/>
      <c r="B142" s="84"/>
      <c r="C142" s="84"/>
      <c r="D142" s="233"/>
      <c r="E142" s="265"/>
      <c r="F142" s="261"/>
      <c r="G142" s="84"/>
      <c r="H142" s="262"/>
      <c r="I142" s="262"/>
      <c r="J142" s="262"/>
      <c r="K142" s="262"/>
      <c r="L142" s="262"/>
      <c r="M142" s="260"/>
      <c r="N142" s="260"/>
      <c r="O142" s="99"/>
      <c r="P142" s="99"/>
      <c r="Q142" s="99"/>
      <c r="R142" s="99"/>
      <c r="S142" s="99"/>
      <c r="T142" s="99"/>
      <c r="U142" s="99"/>
      <c r="V142" s="99"/>
      <c r="W142" s="99"/>
      <c r="X142" s="99"/>
      <c r="Y142" s="99"/>
      <c r="Z142" s="99"/>
      <c r="AB142" s="84"/>
      <c r="AC142" s="84"/>
      <c r="AD142" s="84"/>
      <c r="AE142" s="84"/>
      <c r="AF142" s="84"/>
      <c r="AG142" s="84"/>
      <c r="AH142" s="84"/>
      <c r="AI142" s="84"/>
    </row>
    <row r="143" ht="15.75" customHeight="1">
      <c r="A143" s="84"/>
      <c r="B143" s="84"/>
      <c r="C143" s="84"/>
      <c r="D143" s="265"/>
      <c r="E143" s="265"/>
      <c r="F143" s="261"/>
      <c r="G143" s="84"/>
      <c r="H143" s="262"/>
      <c r="I143" s="262"/>
      <c r="J143" s="262"/>
      <c r="K143" s="262"/>
      <c r="L143" s="262"/>
      <c r="M143" s="260"/>
      <c r="N143" s="260"/>
      <c r="O143" s="99"/>
      <c r="P143" s="99"/>
      <c r="Q143" s="99"/>
      <c r="R143" s="99"/>
      <c r="S143" s="99"/>
      <c r="T143" s="99"/>
      <c r="U143" s="99"/>
      <c r="V143" s="99"/>
      <c r="W143" s="99"/>
      <c r="X143" s="99"/>
      <c r="Y143" s="99"/>
      <c r="Z143" s="99"/>
      <c r="AB143" s="84"/>
      <c r="AC143" s="84"/>
      <c r="AD143" s="84"/>
      <c r="AE143" s="84"/>
      <c r="AF143" s="84"/>
      <c r="AG143" s="84"/>
      <c r="AH143" s="84"/>
      <c r="AI143" s="84"/>
    </row>
    <row r="144" ht="15.75" customHeight="1">
      <c r="A144" s="84"/>
      <c r="B144" s="84"/>
      <c r="C144" s="84"/>
      <c r="D144" s="265"/>
      <c r="E144" s="265"/>
      <c r="F144" s="261"/>
      <c r="G144" s="84"/>
      <c r="H144" s="262"/>
      <c r="I144" s="262"/>
      <c r="J144" s="262"/>
      <c r="K144" s="262"/>
      <c r="L144" s="262"/>
      <c r="M144" s="260"/>
      <c r="N144" s="260"/>
      <c r="O144" s="99"/>
      <c r="P144" s="99"/>
      <c r="Q144" s="99"/>
      <c r="R144" s="99"/>
      <c r="S144" s="99"/>
      <c r="T144" s="99"/>
      <c r="U144" s="99"/>
      <c r="V144" s="99"/>
      <c r="W144" s="99"/>
      <c r="X144" s="99"/>
      <c r="Y144" s="99"/>
      <c r="Z144" s="99"/>
      <c r="AB144" s="84"/>
      <c r="AC144" s="84"/>
      <c r="AD144" s="84"/>
      <c r="AE144" s="84"/>
      <c r="AF144" s="84"/>
      <c r="AG144" s="84"/>
      <c r="AH144" s="84"/>
      <c r="AI144" s="84"/>
    </row>
    <row r="145" ht="15.75" customHeight="1">
      <c r="A145" s="84"/>
      <c r="B145" s="84"/>
      <c r="C145" s="84"/>
      <c r="D145" s="265"/>
      <c r="E145" s="265"/>
      <c r="F145" s="261"/>
      <c r="G145" s="84"/>
      <c r="H145" s="262"/>
      <c r="I145" s="262"/>
      <c r="J145" s="262"/>
      <c r="K145" s="262"/>
      <c r="L145" s="262"/>
      <c r="M145" s="260"/>
      <c r="N145" s="260"/>
      <c r="O145" s="99"/>
      <c r="P145" s="99"/>
      <c r="Q145" s="99"/>
      <c r="R145" s="99"/>
      <c r="S145" s="99"/>
      <c r="T145" s="99"/>
      <c r="U145" s="99"/>
      <c r="V145" s="99"/>
      <c r="W145" s="99"/>
      <c r="X145" s="99"/>
      <c r="Y145" s="99"/>
      <c r="Z145" s="99"/>
      <c r="AB145" s="84"/>
      <c r="AC145" s="84"/>
      <c r="AD145" s="84"/>
      <c r="AE145" s="84"/>
      <c r="AF145" s="84"/>
      <c r="AG145" s="84"/>
      <c r="AH145" s="84"/>
      <c r="AI145" s="84"/>
    </row>
    <row r="146" ht="15.75" customHeight="1">
      <c r="A146" s="84"/>
      <c r="B146" s="84"/>
      <c r="C146" s="84"/>
      <c r="D146" s="265"/>
      <c r="F146" s="261"/>
      <c r="G146" s="84"/>
      <c r="H146" s="262"/>
      <c r="I146" s="262"/>
      <c r="J146" s="262"/>
      <c r="K146" s="262"/>
      <c r="L146" s="262"/>
      <c r="M146" s="260"/>
      <c r="N146" s="260"/>
      <c r="O146" s="99"/>
      <c r="P146" s="99"/>
      <c r="Q146" s="99"/>
      <c r="R146" s="99"/>
      <c r="S146" s="99"/>
      <c r="T146" s="99"/>
      <c r="U146" s="99"/>
      <c r="V146" s="99"/>
      <c r="W146" s="99"/>
      <c r="X146" s="99"/>
      <c r="Y146" s="99"/>
      <c r="Z146" s="99"/>
      <c r="AB146" s="84"/>
      <c r="AC146" s="84"/>
      <c r="AD146" s="84"/>
      <c r="AE146" s="84"/>
      <c r="AF146" s="84"/>
      <c r="AG146" s="84"/>
      <c r="AH146" s="84"/>
      <c r="AI146" s="84"/>
    </row>
    <row r="147" ht="15.75" customHeight="1">
      <c r="A147" s="84"/>
      <c r="B147" s="84"/>
      <c r="C147" s="84"/>
      <c r="D147" s="265"/>
      <c r="E147" s="265"/>
      <c r="F147" s="261"/>
      <c r="G147" s="84"/>
      <c r="H147" s="262"/>
      <c r="I147" s="262"/>
      <c r="J147" s="262"/>
      <c r="K147" s="262"/>
      <c r="L147" s="262"/>
      <c r="M147" s="260"/>
      <c r="N147" s="260"/>
      <c r="O147" s="99"/>
      <c r="P147" s="99"/>
      <c r="Q147" s="99"/>
      <c r="R147" s="99"/>
      <c r="S147" s="99"/>
      <c r="T147" s="99"/>
      <c r="U147" s="99"/>
      <c r="V147" s="99"/>
      <c r="W147" s="99"/>
      <c r="X147" s="99"/>
      <c r="Y147" s="99"/>
      <c r="Z147" s="99"/>
      <c r="AB147" s="84"/>
      <c r="AD147" s="84"/>
      <c r="AE147" s="84"/>
      <c r="AF147" s="84"/>
      <c r="AG147" s="84"/>
      <c r="AH147" s="84"/>
      <c r="AI147" s="84"/>
    </row>
    <row r="148" ht="15.75" customHeight="1">
      <c r="A148" s="84"/>
      <c r="B148" s="84"/>
      <c r="C148" s="84"/>
      <c r="D148" s="265"/>
      <c r="E148" s="265"/>
      <c r="F148" s="261"/>
      <c r="G148" s="84"/>
      <c r="H148" s="262"/>
      <c r="I148" s="262"/>
      <c r="J148" s="262"/>
      <c r="K148" s="262"/>
      <c r="L148" s="262"/>
      <c r="M148" s="260"/>
      <c r="N148" s="260"/>
      <c r="O148" s="99"/>
      <c r="P148" s="99"/>
      <c r="Q148" s="99"/>
      <c r="R148" s="99"/>
      <c r="S148" s="99"/>
      <c r="T148" s="99"/>
      <c r="U148" s="99"/>
      <c r="V148" s="99"/>
      <c r="W148" s="99"/>
      <c r="X148" s="99"/>
      <c r="Y148" s="99"/>
      <c r="Z148" s="99"/>
      <c r="AB148" s="84"/>
      <c r="AD148" s="84"/>
      <c r="AE148" s="84"/>
      <c r="AF148" s="84"/>
      <c r="AG148" s="84"/>
      <c r="AH148" s="84"/>
      <c r="AI148" s="84"/>
    </row>
    <row r="149" ht="15.75" customHeight="1">
      <c r="A149" s="84"/>
      <c r="B149" s="84"/>
      <c r="C149" s="84"/>
      <c r="D149" s="265"/>
      <c r="E149" s="265"/>
      <c r="F149" s="261"/>
      <c r="G149" s="84"/>
      <c r="H149" s="262"/>
      <c r="I149" s="262"/>
      <c r="J149" s="262"/>
      <c r="K149" s="262"/>
      <c r="L149" s="262"/>
      <c r="M149" s="260"/>
      <c r="N149" s="260"/>
      <c r="O149" s="99"/>
      <c r="P149" s="99"/>
      <c r="Q149" s="99"/>
      <c r="R149" s="99"/>
      <c r="S149" s="99"/>
      <c r="T149" s="99"/>
      <c r="U149" s="99"/>
      <c r="V149" s="99"/>
      <c r="W149" s="99"/>
      <c r="X149" s="99"/>
      <c r="Y149" s="99"/>
      <c r="Z149" s="99"/>
      <c r="AB149" s="84"/>
      <c r="AD149" s="84"/>
      <c r="AE149" s="84"/>
      <c r="AF149" s="84"/>
      <c r="AG149" s="84"/>
      <c r="AH149" s="84"/>
      <c r="AI149" s="84"/>
    </row>
    <row r="150" ht="15.75" customHeight="1">
      <c r="A150" s="84"/>
      <c r="B150" s="84"/>
      <c r="C150" s="84"/>
      <c r="D150" s="265"/>
      <c r="E150" s="265"/>
      <c r="F150" s="261"/>
      <c r="G150" s="84"/>
      <c r="H150" s="262"/>
      <c r="I150" s="262"/>
      <c r="J150" s="262"/>
      <c r="K150" s="262"/>
      <c r="L150" s="262"/>
      <c r="M150" s="260"/>
      <c r="N150" s="260"/>
      <c r="O150" s="99"/>
      <c r="P150" s="99"/>
      <c r="Q150" s="99"/>
      <c r="R150" s="99"/>
      <c r="S150" s="99"/>
      <c r="T150" s="99"/>
      <c r="U150" s="99"/>
      <c r="V150" s="99"/>
      <c r="W150" s="99"/>
      <c r="X150" s="99"/>
      <c r="Y150" s="99"/>
      <c r="Z150" s="99"/>
      <c r="AB150" s="84"/>
      <c r="AD150" s="84"/>
      <c r="AE150" s="84"/>
      <c r="AF150" s="84"/>
      <c r="AG150" s="84"/>
      <c r="AH150" s="84"/>
      <c r="AI150" s="84"/>
    </row>
    <row r="151" ht="15.75" customHeight="1">
      <c r="A151" s="84"/>
      <c r="B151" s="84"/>
      <c r="C151" s="84"/>
      <c r="D151" s="265"/>
      <c r="E151" s="265"/>
      <c r="F151" s="261"/>
      <c r="G151" s="84"/>
      <c r="H151" s="262"/>
      <c r="I151" s="262"/>
      <c r="J151" s="262"/>
      <c r="K151" s="262"/>
      <c r="L151" s="262"/>
      <c r="M151" s="260"/>
      <c r="N151" s="260"/>
      <c r="O151" s="99"/>
      <c r="P151" s="99"/>
      <c r="Q151" s="99"/>
      <c r="R151" s="99"/>
      <c r="S151" s="99"/>
      <c r="T151" s="99"/>
      <c r="U151" s="99"/>
      <c r="V151" s="99"/>
      <c r="W151" s="99"/>
      <c r="X151" s="99"/>
      <c r="Y151" s="99"/>
      <c r="Z151" s="99"/>
      <c r="AB151" s="84"/>
      <c r="AD151" s="84"/>
      <c r="AE151" s="84"/>
      <c r="AF151" s="84"/>
      <c r="AG151" s="84"/>
      <c r="AH151" s="84"/>
      <c r="AI151" s="84"/>
    </row>
    <row r="152" ht="15.75" customHeight="1">
      <c r="A152" s="84"/>
      <c r="B152" s="264"/>
      <c r="C152" s="264"/>
      <c r="E152" s="265"/>
      <c r="F152" s="261"/>
      <c r="G152" s="84"/>
      <c r="H152" s="262"/>
      <c r="I152" s="262"/>
      <c r="J152" s="262"/>
      <c r="K152" s="262"/>
      <c r="L152" s="262"/>
      <c r="M152" s="260"/>
      <c r="N152" s="260"/>
      <c r="O152" s="99"/>
      <c r="P152" s="99"/>
      <c r="Q152" s="99"/>
      <c r="R152" s="99"/>
      <c r="S152" s="99"/>
      <c r="T152" s="99"/>
      <c r="U152" s="99"/>
      <c r="V152" s="99"/>
      <c r="W152" s="99"/>
      <c r="X152" s="99"/>
      <c r="Y152" s="99"/>
      <c r="Z152" s="99"/>
      <c r="AB152" s="84"/>
      <c r="AD152" s="84"/>
      <c r="AE152" s="84"/>
      <c r="AF152" s="84"/>
      <c r="AG152" s="84"/>
      <c r="AH152" s="84"/>
      <c r="AI152" s="84"/>
    </row>
    <row r="153" ht="15.75" customHeight="1">
      <c r="A153" s="84"/>
      <c r="B153" s="266"/>
      <c r="C153" s="267"/>
      <c r="D153" s="265"/>
      <c r="E153" s="265"/>
      <c r="F153" s="261"/>
      <c r="G153" s="84"/>
      <c r="H153" s="262"/>
      <c r="I153" s="262"/>
      <c r="J153" s="262"/>
      <c r="K153" s="262"/>
      <c r="L153" s="262"/>
      <c r="M153" s="260"/>
      <c r="N153" s="260"/>
      <c r="O153" s="99"/>
      <c r="P153" s="99"/>
      <c r="Q153" s="99"/>
      <c r="R153" s="99"/>
      <c r="S153" s="99"/>
      <c r="T153" s="99"/>
      <c r="U153" s="99"/>
      <c r="V153" s="99"/>
      <c r="W153" s="99"/>
      <c r="X153" s="99"/>
      <c r="Y153" s="99"/>
      <c r="Z153" s="99"/>
      <c r="AB153" s="84"/>
      <c r="AD153" s="84"/>
      <c r="AE153" s="84"/>
      <c r="AF153" s="84"/>
      <c r="AG153" s="84"/>
      <c r="AH153" s="84"/>
      <c r="AI153" s="84"/>
    </row>
    <row r="154" ht="15.75" customHeight="1">
      <c r="B154" s="266"/>
      <c r="C154" s="268"/>
      <c r="D154" s="265"/>
      <c r="E154" s="265"/>
      <c r="F154" s="261"/>
      <c r="G154" s="84"/>
      <c r="H154" s="262"/>
      <c r="I154" s="262"/>
      <c r="J154" s="262"/>
      <c r="K154" s="262"/>
      <c r="L154" s="262"/>
      <c r="M154" s="260"/>
      <c r="N154" s="260"/>
      <c r="O154" s="99"/>
      <c r="P154" s="99"/>
      <c r="Q154" s="99"/>
      <c r="R154" s="99"/>
      <c r="S154" s="99"/>
      <c r="T154" s="99"/>
      <c r="U154" s="99"/>
      <c r="V154" s="99"/>
      <c r="W154" s="99"/>
      <c r="X154" s="99"/>
      <c r="Y154" s="99"/>
      <c r="Z154" s="99"/>
      <c r="AB154" s="84"/>
      <c r="AD154" s="84"/>
      <c r="AE154" s="84"/>
      <c r="AF154" s="84"/>
      <c r="AG154" s="84"/>
      <c r="AH154" s="84"/>
      <c r="AI154" s="84"/>
    </row>
    <row r="155" ht="15.75" customHeight="1">
      <c r="B155" s="266"/>
      <c r="C155" s="268"/>
      <c r="D155" s="265"/>
      <c r="E155" s="265"/>
      <c r="F155" s="261"/>
      <c r="G155" s="84"/>
      <c r="H155" s="262"/>
      <c r="I155" s="262"/>
      <c r="J155" s="262"/>
      <c r="K155" s="262"/>
      <c r="L155" s="262"/>
      <c r="M155" s="260"/>
      <c r="N155" s="260"/>
      <c r="O155" s="99"/>
      <c r="P155" s="99"/>
      <c r="Q155" s="99"/>
      <c r="R155" s="99"/>
      <c r="S155" s="99"/>
      <c r="T155" s="99"/>
      <c r="U155" s="99"/>
      <c r="V155" s="99"/>
      <c r="W155" s="99"/>
      <c r="X155" s="99"/>
      <c r="Y155" s="99"/>
      <c r="Z155" s="99"/>
      <c r="AB155" s="84"/>
      <c r="AD155" s="84"/>
      <c r="AE155" s="84"/>
      <c r="AF155" s="84"/>
      <c r="AG155" s="84"/>
      <c r="AH155" s="84"/>
      <c r="AI155" s="84"/>
    </row>
    <row r="156" ht="15.75" customHeight="1">
      <c r="A156" s="84"/>
      <c r="B156" s="266"/>
      <c r="C156" s="233"/>
      <c r="D156" s="265"/>
      <c r="E156" s="265"/>
      <c r="F156" s="261"/>
      <c r="G156" s="84"/>
      <c r="H156" s="262"/>
      <c r="I156" s="262"/>
      <c r="J156" s="262"/>
      <c r="K156" s="262"/>
      <c r="L156" s="262"/>
      <c r="M156" s="260"/>
      <c r="N156" s="260"/>
      <c r="O156" s="99"/>
      <c r="P156" s="99"/>
      <c r="Q156" s="99"/>
      <c r="R156" s="99"/>
      <c r="S156" s="99"/>
      <c r="T156" s="99"/>
      <c r="U156" s="99"/>
      <c r="V156" s="99"/>
      <c r="W156" s="99"/>
      <c r="X156" s="99"/>
      <c r="Y156" s="99"/>
      <c r="Z156" s="99"/>
      <c r="AB156" s="84"/>
      <c r="AD156" s="84"/>
      <c r="AE156" s="84"/>
      <c r="AF156" s="84"/>
      <c r="AG156" s="84"/>
      <c r="AH156" s="84"/>
      <c r="AI156" s="84"/>
    </row>
    <row r="157" ht="15.75" customHeight="1">
      <c r="A157" s="84"/>
      <c r="B157" s="266"/>
      <c r="C157" s="233"/>
      <c r="D157" s="265"/>
      <c r="E157" s="265"/>
      <c r="F157" s="261"/>
      <c r="G157" s="84"/>
      <c r="H157" s="262"/>
      <c r="I157" s="262"/>
      <c r="J157" s="262"/>
      <c r="K157" s="262"/>
      <c r="L157" s="262"/>
      <c r="M157" s="260"/>
      <c r="N157" s="260"/>
      <c r="O157" s="99"/>
      <c r="P157" s="99"/>
      <c r="Q157" s="99"/>
      <c r="R157" s="99"/>
      <c r="S157" s="99"/>
      <c r="T157" s="99"/>
      <c r="U157" s="99"/>
      <c r="V157" s="99"/>
      <c r="W157" s="99"/>
      <c r="X157" s="99"/>
      <c r="Y157" s="99"/>
      <c r="Z157" s="99"/>
      <c r="AB157" s="84"/>
      <c r="AD157" s="84"/>
      <c r="AE157" s="84"/>
      <c r="AF157" s="84"/>
      <c r="AG157" s="84"/>
      <c r="AH157" s="84"/>
      <c r="AI157" s="84"/>
    </row>
    <row r="158" ht="15.75" customHeight="1">
      <c r="A158" s="84"/>
      <c r="B158" s="266"/>
      <c r="C158" s="233"/>
      <c r="D158" s="265"/>
      <c r="E158" s="265"/>
      <c r="F158" s="261"/>
      <c r="G158" s="84"/>
      <c r="H158" s="262"/>
      <c r="I158" s="262"/>
      <c r="J158" s="262"/>
      <c r="K158" s="262"/>
      <c r="L158" s="262"/>
      <c r="M158" s="260"/>
      <c r="N158" s="260"/>
      <c r="O158" s="99"/>
      <c r="P158" s="99"/>
      <c r="Q158" s="99"/>
      <c r="R158" s="99"/>
      <c r="S158" s="99"/>
      <c r="T158" s="99"/>
      <c r="U158" s="99"/>
      <c r="V158" s="99"/>
      <c r="W158" s="99"/>
      <c r="X158" s="99"/>
      <c r="Y158" s="99"/>
      <c r="Z158" s="99"/>
      <c r="AC158" s="84"/>
    </row>
    <row r="159" ht="15.75" customHeight="1">
      <c r="A159" s="84"/>
      <c r="B159" s="264"/>
      <c r="C159" s="264"/>
      <c r="D159" s="265"/>
      <c r="E159" s="265"/>
      <c r="F159" s="261"/>
      <c r="G159" s="84"/>
      <c r="H159" s="262"/>
      <c r="I159" s="262"/>
      <c r="J159" s="262"/>
      <c r="K159" s="262"/>
      <c r="L159" s="262"/>
      <c r="M159" s="260"/>
      <c r="N159" s="260"/>
      <c r="O159" s="99"/>
      <c r="P159" s="99"/>
      <c r="Q159" s="99"/>
      <c r="R159" s="99"/>
      <c r="S159" s="99"/>
      <c r="T159" s="99"/>
      <c r="U159" s="99"/>
      <c r="V159" s="99"/>
      <c r="W159" s="99"/>
      <c r="X159" s="99"/>
      <c r="Y159" s="99"/>
      <c r="Z159" s="99"/>
      <c r="AC159" s="84"/>
    </row>
    <row r="160" ht="15.75" customHeight="1">
      <c r="A160" s="84"/>
      <c r="B160" s="233"/>
      <c r="C160" s="233"/>
      <c r="D160" s="265"/>
      <c r="E160" s="265"/>
      <c r="F160" s="261"/>
      <c r="G160" s="84"/>
      <c r="H160" s="262"/>
      <c r="I160" s="262"/>
      <c r="J160" s="262"/>
      <c r="K160" s="262"/>
      <c r="L160" s="262"/>
      <c r="M160" s="260"/>
      <c r="N160" s="260"/>
      <c r="O160" s="99"/>
      <c r="P160" s="99"/>
      <c r="Q160" s="99"/>
      <c r="R160" s="99"/>
      <c r="S160" s="99"/>
      <c r="T160" s="99"/>
      <c r="U160" s="99"/>
      <c r="V160" s="99"/>
      <c r="W160" s="99"/>
      <c r="X160" s="99"/>
      <c r="Y160" s="99"/>
      <c r="Z160" s="99"/>
      <c r="AC160" s="84"/>
    </row>
    <row r="161" ht="15.75" customHeight="1">
      <c r="A161" s="84"/>
      <c r="B161" s="266"/>
      <c r="C161" s="269"/>
      <c r="D161" s="265"/>
      <c r="E161" s="265"/>
      <c r="F161" s="261"/>
      <c r="G161" s="84"/>
      <c r="H161" s="262"/>
      <c r="I161" s="262"/>
      <c r="J161" s="262"/>
      <c r="K161" s="262"/>
      <c r="L161" s="262"/>
      <c r="M161" s="260"/>
      <c r="N161" s="260"/>
      <c r="O161" s="99"/>
      <c r="P161" s="99"/>
      <c r="Q161" s="99"/>
      <c r="R161" s="99"/>
      <c r="S161" s="99"/>
      <c r="T161" s="99"/>
      <c r="U161" s="99"/>
      <c r="V161" s="99"/>
      <c r="W161" s="99"/>
      <c r="X161" s="99"/>
      <c r="Y161" s="99"/>
      <c r="Z161" s="99"/>
      <c r="AC161" s="84"/>
    </row>
    <row r="162" ht="15.75" customHeight="1">
      <c r="A162" s="84"/>
      <c r="B162" s="270"/>
      <c r="C162" s="271"/>
      <c r="D162" s="265"/>
      <c r="E162" s="265"/>
      <c r="F162" s="261"/>
      <c r="G162" s="84"/>
      <c r="H162" s="262"/>
      <c r="I162" s="262"/>
      <c r="J162" s="262"/>
      <c r="K162" s="262"/>
      <c r="L162" s="262"/>
      <c r="M162" s="260"/>
      <c r="N162" s="260"/>
      <c r="O162" s="99"/>
      <c r="P162" s="99"/>
      <c r="Q162" s="99"/>
      <c r="R162" s="99"/>
      <c r="S162" s="99"/>
      <c r="T162" s="99"/>
      <c r="U162" s="99"/>
      <c r="V162" s="99"/>
      <c r="W162" s="99"/>
      <c r="X162" s="99"/>
      <c r="Y162" s="99"/>
      <c r="Z162" s="99"/>
      <c r="AC162" s="84"/>
    </row>
    <row r="163" ht="15.75" customHeight="1">
      <c r="A163" s="84"/>
      <c r="B163" s="270"/>
      <c r="C163" s="271"/>
      <c r="D163" s="265"/>
      <c r="E163" s="265"/>
      <c r="F163" s="261"/>
      <c r="G163" s="84"/>
      <c r="H163" s="262"/>
      <c r="I163" s="262"/>
      <c r="J163" s="262"/>
      <c r="K163" s="262"/>
      <c r="L163" s="262"/>
      <c r="M163" s="260"/>
      <c r="N163" s="260"/>
      <c r="O163" s="99"/>
      <c r="P163" s="99"/>
      <c r="Q163" s="99"/>
      <c r="R163" s="99"/>
      <c r="S163" s="99"/>
      <c r="T163" s="99"/>
      <c r="U163" s="99"/>
      <c r="V163" s="99"/>
      <c r="W163" s="99"/>
      <c r="X163" s="99"/>
      <c r="Y163" s="99"/>
      <c r="Z163" s="99"/>
      <c r="AC163" s="84"/>
    </row>
    <row r="164" ht="15.75" customHeight="1">
      <c r="A164" s="84"/>
      <c r="B164" s="265"/>
      <c r="C164" s="272"/>
      <c r="D164" s="265"/>
      <c r="E164" s="265"/>
      <c r="F164" s="261"/>
      <c r="G164" s="84"/>
      <c r="H164" s="262"/>
      <c r="I164" s="262"/>
      <c r="J164" s="262"/>
      <c r="K164" s="262"/>
      <c r="L164" s="262"/>
      <c r="M164" s="260"/>
      <c r="N164" s="260"/>
      <c r="O164" s="99"/>
      <c r="P164" s="99"/>
      <c r="Q164" s="99"/>
      <c r="R164" s="99"/>
      <c r="S164" s="99"/>
      <c r="T164" s="99"/>
      <c r="U164" s="99"/>
      <c r="V164" s="99"/>
      <c r="W164" s="99"/>
      <c r="X164" s="99"/>
      <c r="Y164" s="99"/>
      <c r="Z164" s="99"/>
      <c r="AC164" s="84"/>
    </row>
    <row r="165" ht="15.75" customHeight="1">
      <c r="A165" s="84"/>
      <c r="B165" s="265"/>
      <c r="C165" s="272"/>
      <c r="D165" s="265"/>
      <c r="E165" s="265"/>
      <c r="F165" s="261"/>
      <c r="G165" s="84"/>
      <c r="H165" s="262"/>
      <c r="I165" s="262"/>
      <c r="J165" s="262"/>
      <c r="K165" s="262"/>
      <c r="L165" s="262"/>
      <c r="M165" s="260"/>
      <c r="N165" s="260"/>
      <c r="O165" s="99"/>
      <c r="P165" s="99"/>
      <c r="Q165" s="99"/>
      <c r="R165" s="99"/>
      <c r="S165" s="99"/>
      <c r="T165" s="99"/>
      <c r="U165" s="99"/>
      <c r="V165" s="99"/>
      <c r="W165" s="99"/>
      <c r="X165" s="99"/>
      <c r="Y165" s="99"/>
      <c r="Z165" s="99"/>
      <c r="AC165" s="84"/>
    </row>
    <row r="166" ht="15.75" customHeight="1">
      <c r="A166" s="84"/>
      <c r="B166" s="265"/>
      <c r="C166" s="272"/>
      <c r="D166" s="265"/>
      <c r="E166" s="265"/>
      <c r="F166" s="261"/>
      <c r="G166" s="84"/>
      <c r="H166" s="262"/>
      <c r="I166" s="262"/>
      <c r="J166" s="262"/>
      <c r="K166" s="262"/>
      <c r="L166" s="262"/>
      <c r="M166" s="260"/>
      <c r="N166" s="260"/>
      <c r="O166" s="99"/>
      <c r="P166" s="99"/>
      <c r="Q166" s="99"/>
      <c r="R166" s="99"/>
      <c r="S166" s="99"/>
      <c r="T166" s="99"/>
      <c r="U166" s="99"/>
      <c r="V166" s="99"/>
      <c r="W166" s="99"/>
      <c r="X166" s="99"/>
      <c r="Y166" s="99"/>
      <c r="Z166" s="99"/>
      <c r="AC166" s="84"/>
    </row>
    <row r="167" ht="15.75" customHeight="1">
      <c r="A167" s="84"/>
      <c r="B167" s="265"/>
      <c r="C167" s="272"/>
      <c r="D167" s="265"/>
      <c r="E167" s="265"/>
      <c r="F167" s="261"/>
      <c r="G167" s="84"/>
      <c r="H167" s="262"/>
      <c r="I167" s="262"/>
      <c r="J167" s="262"/>
      <c r="K167" s="262"/>
      <c r="L167" s="262"/>
      <c r="M167" s="260"/>
      <c r="N167" s="260"/>
      <c r="O167" s="99"/>
      <c r="P167" s="99"/>
      <c r="Q167" s="99"/>
      <c r="R167" s="99"/>
      <c r="S167" s="99"/>
      <c r="T167" s="99"/>
      <c r="U167" s="99"/>
      <c r="V167" s="99"/>
      <c r="W167" s="99"/>
      <c r="X167" s="99"/>
      <c r="Y167" s="99"/>
      <c r="Z167" s="99"/>
      <c r="AC167" s="84"/>
    </row>
    <row r="168" ht="15.75" customHeight="1">
      <c r="A168" s="84"/>
      <c r="B168" s="265"/>
      <c r="C168" s="272"/>
      <c r="D168" s="265"/>
      <c r="E168" s="265"/>
      <c r="F168" s="261"/>
      <c r="G168" s="84"/>
      <c r="H168" s="262"/>
      <c r="I168" s="262"/>
      <c r="J168" s="262"/>
      <c r="K168" s="262"/>
      <c r="L168" s="262"/>
      <c r="M168" s="260"/>
      <c r="N168" s="260"/>
      <c r="O168" s="99"/>
      <c r="P168" s="99"/>
      <c r="Q168" s="99"/>
      <c r="R168" s="99"/>
      <c r="S168" s="99"/>
      <c r="T168" s="99"/>
      <c r="U168" s="99"/>
      <c r="V168" s="99"/>
      <c r="W168" s="99"/>
      <c r="X168" s="99"/>
      <c r="Y168" s="99"/>
      <c r="Z168" s="99"/>
      <c r="AC168" s="84"/>
    </row>
    <row r="169" ht="15.75" customHeight="1">
      <c r="A169" s="84"/>
      <c r="B169" s="265"/>
      <c r="C169" s="272"/>
      <c r="D169" s="265"/>
      <c r="E169" s="265"/>
      <c r="F169" s="261"/>
      <c r="G169" s="84"/>
      <c r="H169" s="262"/>
      <c r="I169" s="262"/>
      <c r="J169" s="262"/>
      <c r="K169" s="262"/>
      <c r="L169" s="262"/>
      <c r="M169" s="260"/>
      <c r="N169" s="260"/>
      <c r="O169" s="99"/>
      <c r="P169" s="99"/>
      <c r="Q169" s="99"/>
      <c r="R169" s="99"/>
      <c r="S169" s="99"/>
      <c r="T169" s="99"/>
      <c r="U169" s="99"/>
      <c r="V169" s="99"/>
      <c r="W169" s="99"/>
      <c r="X169" s="99"/>
      <c r="Y169" s="99"/>
      <c r="Z169" s="99"/>
      <c r="AB169" s="84"/>
      <c r="AC169" s="84"/>
      <c r="AD169" s="84"/>
      <c r="AE169" s="84"/>
      <c r="AF169" s="84"/>
      <c r="AG169" s="84"/>
      <c r="AH169" s="84"/>
      <c r="AI169" s="84"/>
    </row>
    <row r="170" ht="15.75" customHeight="1">
      <c r="A170" s="84"/>
      <c r="B170" s="265"/>
      <c r="C170" s="272"/>
      <c r="D170" s="265"/>
      <c r="E170" s="265"/>
      <c r="F170" s="261"/>
      <c r="G170" s="84"/>
      <c r="H170" s="262"/>
      <c r="I170" s="262"/>
      <c r="J170" s="262"/>
      <c r="K170" s="262"/>
      <c r="L170" s="262"/>
      <c r="M170" s="260"/>
      <c r="N170" s="260"/>
      <c r="O170" s="99"/>
      <c r="P170" s="99"/>
      <c r="Q170" s="99"/>
      <c r="R170" s="99"/>
      <c r="S170" s="99"/>
      <c r="T170" s="99"/>
      <c r="U170" s="99"/>
      <c r="V170" s="99"/>
      <c r="W170" s="99"/>
      <c r="X170" s="99"/>
      <c r="Y170" s="99"/>
      <c r="Z170" s="99"/>
      <c r="AB170" s="84"/>
      <c r="AC170" s="84"/>
      <c r="AD170" s="84"/>
      <c r="AE170" s="84"/>
      <c r="AF170" s="84"/>
      <c r="AG170" s="84"/>
      <c r="AH170" s="84"/>
      <c r="AI170" s="84"/>
    </row>
    <row r="171" ht="15.75" customHeight="1">
      <c r="A171" s="84"/>
      <c r="B171" s="265"/>
      <c r="C171" s="272"/>
      <c r="D171" s="265"/>
      <c r="E171" s="265"/>
      <c r="F171" s="261"/>
      <c r="G171" s="84"/>
      <c r="H171" s="262"/>
      <c r="I171" s="262"/>
      <c r="J171" s="262"/>
      <c r="K171" s="262"/>
      <c r="L171" s="262"/>
      <c r="M171" s="260"/>
      <c r="N171" s="260"/>
      <c r="O171" s="99"/>
      <c r="P171" s="99"/>
      <c r="Q171" s="99"/>
      <c r="R171" s="99"/>
      <c r="S171" s="99"/>
      <c r="T171" s="99"/>
      <c r="U171" s="99"/>
      <c r="V171" s="99"/>
      <c r="W171" s="99"/>
      <c r="X171" s="99"/>
      <c r="Y171" s="99"/>
      <c r="Z171" s="99"/>
      <c r="AB171" s="84"/>
      <c r="AC171" s="84"/>
      <c r="AD171" s="84"/>
      <c r="AE171" s="84"/>
      <c r="AF171" s="84"/>
      <c r="AG171" s="84"/>
      <c r="AH171" s="84"/>
      <c r="AI171" s="84"/>
    </row>
    <row r="172" ht="15.75" customHeight="1">
      <c r="A172" s="84"/>
      <c r="B172" s="265"/>
      <c r="C172" s="272"/>
      <c r="D172" s="265"/>
      <c r="E172" s="265"/>
      <c r="F172" s="261"/>
      <c r="G172" s="84"/>
      <c r="H172" s="262"/>
      <c r="I172" s="262"/>
      <c r="J172" s="262"/>
      <c r="K172" s="262"/>
      <c r="L172" s="262"/>
      <c r="M172" s="260"/>
      <c r="N172" s="260"/>
      <c r="O172" s="99"/>
      <c r="P172" s="99"/>
      <c r="Q172" s="99"/>
      <c r="R172" s="99"/>
      <c r="S172" s="99"/>
      <c r="T172" s="99"/>
      <c r="U172" s="99"/>
      <c r="V172" s="99"/>
      <c r="W172" s="99"/>
      <c r="X172" s="99"/>
      <c r="Y172" s="99"/>
      <c r="Z172" s="99"/>
      <c r="AB172" s="84"/>
      <c r="AC172" s="84"/>
      <c r="AD172" s="84"/>
      <c r="AE172" s="84"/>
      <c r="AF172" s="84"/>
      <c r="AG172" s="84"/>
      <c r="AH172" s="84"/>
      <c r="AI172" s="84"/>
    </row>
    <row r="173" ht="15.75" customHeight="1">
      <c r="A173" s="84"/>
      <c r="B173" s="265"/>
      <c r="C173" s="272"/>
      <c r="D173" s="265"/>
      <c r="E173" s="265"/>
      <c r="F173" s="261"/>
      <c r="G173" s="84"/>
      <c r="H173" s="262"/>
      <c r="I173" s="262"/>
      <c r="J173" s="262"/>
      <c r="K173" s="262"/>
      <c r="L173" s="262"/>
      <c r="M173" s="260"/>
      <c r="N173" s="260"/>
      <c r="O173" s="99"/>
      <c r="P173" s="99"/>
      <c r="Q173" s="99"/>
      <c r="R173" s="99"/>
      <c r="S173" s="99"/>
      <c r="T173" s="99"/>
      <c r="U173" s="99"/>
      <c r="V173" s="99"/>
      <c r="W173" s="99"/>
      <c r="X173" s="99"/>
      <c r="Y173" s="99"/>
      <c r="Z173" s="99"/>
      <c r="AB173" s="84"/>
      <c r="AC173" s="84"/>
      <c r="AD173" s="84"/>
      <c r="AE173" s="84"/>
      <c r="AF173" s="84"/>
      <c r="AG173" s="84"/>
      <c r="AH173" s="84"/>
      <c r="AI173" s="84"/>
    </row>
    <row r="174" ht="15.75" customHeight="1">
      <c r="A174" s="84"/>
      <c r="B174" s="265"/>
      <c r="C174" s="272"/>
      <c r="D174" s="265"/>
      <c r="E174" s="265"/>
      <c r="F174" s="261"/>
      <c r="G174" s="84"/>
      <c r="H174" s="262"/>
      <c r="I174" s="262"/>
      <c r="J174" s="262"/>
      <c r="K174" s="262"/>
      <c r="L174" s="262"/>
      <c r="M174" s="260"/>
      <c r="N174" s="260"/>
      <c r="O174" s="99"/>
      <c r="P174" s="99"/>
      <c r="Q174" s="99"/>
      <c r="R174" s="99"/>
      <c r="S174" s="99"/>
      <c r="T174" s="99"/>
      <c r="U174" s="99"/>
      <c r="V174" s="99"/>
      <c r="W174" s="99"/>
      <c r="X174" s="99"/>
      <c r="Y174" s="99"/>
      <c r="Z174" s="99"/>
      <c r="AB174" s="84"/>
      <c r="AC174" s="84"/>
      <c r="AD174" s="84"/>
      <c r="AE174" s="84"/>
      <c r="AF174" s="84"/>
      <c r="AG174" s="84"/>
      <c r="AH174" s="84"/>
      <c r="AI174" s="84"/>
    </row>
    <row r="175" ht="15.75" customHeight="1">
      <c r="A175" s="84"/>
      <c r="B175" s="265"/>
      <c r="C175" s="272"/>
      <c r="D175" s="265"/>
      <c r="E175" s="265"/>
      <c r="F175" s="261"/>
      <c r="G175" s="84"/>
      <c r="H175" s="262"/>
      <c r="I175" s="262"/>
      <c r="J175" s="262"/>
      <c r="K175" s="262"/>
      <c r="L175" s="262"/>
      <c r="M175" s="260"/>
      <c r="N175" s="260"/>
      <c r="O175" s="99"/>
      <c r="P175" s="99"/>
      <c r="Q175" s="99"/>
      <c r="R175" s="99"/>
      <c r="S175" s="99"/>
      <c r="T175" s="99"/>
      <c r="U175" s="99"/>
      <c r="V175" s="99"/>
      <c r="W175" s="99"/>
      <c r="X175" s="99"/>
      <c r="Y175" s="99"/>
      <c r="Z175" s="99"/>
      <c r="AB175" s="84"/>
      <c r="AC175" s="84"/>
      <c r="AD175" s="84"/>
      <c r="AE175" s="84"/>
      <c r="AF175" s="84"/>
      <c r="AG175" s="84"/>
      <c r="AH175" s="84"/>
      <c r="AI175" s="84"/>
    </row>
    <row r="176" ht="15.75" customHeight="1">
      <c r="A176" s="84"/>
      <c r="B176" s="265"/>
      <c r="C176" s="272"/>
      <c r="D176" s="265"/>
      <c r="E176" s="265"/>
      <c r="F176" s="261"/>
      <c r="G176" s="84"/>
      <c r="H176" s="262"/>
      <c r="I176" s="262"/>
      <c r="J176" s="262"/>
      <c r="K176" s="262"/>
      <c r="L176" s="262"/>
      <c r="M176" s="260"/>
      <c r="N176" s="260"/>
      <c r="O176" s="99"/>
      <c r="P176" s="99"/>
      <c r="Q176" s="99"/>
      <c r="R176" s="99"/>
      <c r="S176" s="99"/>
      <c r="T176" s="99"/>
      <c r="U176" s="99"/>
      <c r="V176" s="99"/>
      <c r="W176" s="99"/>
      <c r="X176" s="99"/>
      <c r="Y176" s="99"/>
      <c r="Z176" s="99"/>
      <c r="AB176" s="84"/>
      <c r="AC176" s="84"/>
      <c r="AD176" s="84"/>
      <c r="AE176" s="84"/>
      <c r="AF176" s="84"/>
      <c r="AG176" s="84"/>
      <c r="AH176" s="84"/>
      <c r="AI176" s="84"/>
    </row>
    <row r="177" ht="15.75" customHeight="1">
      <c r="A177" s="84"/>
      <c r="B177" s="265"/>
      <c r="C177" s="272"/>
      <c r="D177" s="265"/>
      <c r="E177" s="233"/>
      <c r="F177" s="261"/>
      <c r="G177" s="84"/>
      <c r="H177" s="262"/>
      <c r="I177" s="262"/>
      <c r="J177" s="262"/>
      <c r="K177" s="262"/>
      <c r="L177" s="262"/>
      <c r="M177" s="260"/>
      <c r="N177" s="260"/>
      <c r="O177" s="99"/>
      <c r="P177" s="99"/>
      <c r="Q177" s="99"/>
      <c r="R177" s="99"/>
      <c r="S177" s="99"/>
      <c r="T177" s="99"/>
      <c r="U177" s="99"/>
      <c r="V177" s="99"/>
      <c r="W177" s="99"/>
      <c r="X177" s="99"/>
      <c r="Y177" s="99"/>
      <c r="Z177" s="99"/>
      <c r="AB177" s="84"/>
      <c r="AC177" s="84"/>
      <c r="AD177" s="84"/>
      <c r="AE177" s="84"/>
      <c r="AF177" s="84"/>
      <c r="AG177" s="84"/>
      <c r="AH177" s="84"/>
      <c r="AI177" s="84"/>
    </row>
    <row r="178" ht="15.75" customHeight="1">
      <c r="A178" s="84"/>
      <c r="B178" s="265"/>
      <c r="C178" s="272"/>
      <c r="D178" s="265"/>
      <c r="E178" s="84"/>
      <c r="F178" s="261"/>
      <c r="G178" s="84"/>
      <c r="H178" s="262"/>
      <c r="I178" s="262"/>
      <c r="J178" s="262"/>
      <c r="K178" s="262"/>
      <c r="L178" s="262"/>
      <c r="M178" s="260"/>
      <c r="N178" s="260"/>
      <c r="O178" s="99"/>
      <c r="P178" s="99"/>
      <c r="Q178" s="99"/>
      <c r="R178" s="99"/>
      <c r="S178" s="99"/>
      <c r="T178" s="99"/>
      <c r="U178" s="99"/>
      <c r="V178" s="99"/>
      <c r="W178" s="99"/>
      <c r="X178" s="99"/>
      <c r="Y178" s="99"/>
      <c r="Z178" s="99"/>
      <c r="AB178" s="84"/>
      <c r="AC178" s="84"/>
      <c r="AD178" s="84"/>
      <c r="AE178" s="84"/>
      <c r="AF178" s="84"/>
      <c r="AG178" s="84"/>
      <c r="AH178" s="84"/>
      <c r="AI178" s="84"/>
    </row>
    <row r="179" ht="15.75" customHeight="1">
      <c r="A179" s="84"/>
      <c r="B179" s="265"/>
      <c r="C179" s="272"/>
      <c r="D179" s="265"/>
      <c r="E179" s="84"/>
      <c r="F179" s="261"/>
      <c r="G179" s="84"/>
      <c r="H179" s="262"/>
      <c r="I179" s="262"/>
      <c r="J179" s="262"/>
      <c r="K179" s="262"/>
      <c r="L179" s="262"/>
      <c r="M179" s="260"/>
      <c r="N179" s="260"/>
      <c r="O179" s="99"/>
      <c r="P179" s="99"/>
      <c r="Q179" s="99"/>
      <c r="R179" s="99"/>
      <c r="S179" s="99"/>
      <c r="T179" s="99"/>
      <c r="U179" s="99"/>
      <c r="V179" s="99"/>
      <c r="W179" s="99"/>
      <c r="X179" s="99"/>
      <c r="Y179" s="99"/>
      <c r="Z179" s="99"/>
      <c r="AB179" s="84"/>
      <c r="AC179" s="84"/>
      <c r="AD179" s="84"/>
      <c r="AE179" s="84"/>
      <c r="AF179" s="84"/>
      <c r="AG179" s="84"/>
      <c r="AH179" s="84"/>
      <c r="AI179" s="84"/>
    </row>
    <row r="180" ht="15.75" customHeight="1">
      <c r="A180" s="84"/>
      <c r="B180" s="265"/>
      <c r="C180" s="272"/>
      <c r="D180" s="265"/>
      <c r="E180" s="84"/>
      <c r="F180" s="261"/>
      <c r="G180" s="84"/>
      <c r="H180" s="262"/>
      <c r="I180" s="262"/>
      <c r="J180" s="262"/>
      <c r="K180" s="262"/>
      <c r="L180" s="262"/>
      <c r="M180" s="260"/>
      <c r="N180" s="260"/>
      <c r="O180" s="99"/>
      <c r="P180" s="99"/>
      <c r="Q180" s="99"/>
      <c r="R180" s="99"/>
      <c r="S180" s="99"/>
      <c r="T180" s="99"/>
      <c r="U180" s="99"/>
      <c r="V180" s="99"/>
      <c r="W180" s="99"/>
      <c r="X180" s="99"/>
      <c r="Y180" s="99"/>
      <c r="Z180" s="99"/>
      <c r="AB180" s="84"/>
      <c r="AC180" s="84"/>
      <c r="AD180" s="84"/>
      <c r="AE180" s="84"/>
      <c r="AF180" s="84"/>
      <c r="AG180" s="84"/>
      <c r="AH180" s="84"/>
      <c r="AI180" s="84"/>
    </row>
    <row r="181" ht="15.75" customHeight="1">
      <c r="A181" s="84"/>
      <c r="B181" s="265"/>
      <c r="C181" s="272"/>
      <c r="D181" s="265"/>
      <c r="E181" s="84"/>
      <c r="F181" s="261"/>
      <c r="G181" s="84"/>
      <c r="H181" s="262"/>
      <c r="I181" s="262"/>
      <c r="J181" s="262"/>
      <c r="K181" s="262"/>
      <c r="L181" s="262"/>
      <c r="M181" s="260"/>
      <c r="N181" s="260"/>
      <c r="O181" s="99"/>
      <c r="P181" s="99"/>
      <c r="Q181" s="99"/>
      <c r="R181" s="99"/>
      <c r="S181" s="99"/>
      <c r="T181" s="99"/>
      <c r="U181" s="99"/>
      <c r="V181" s="99"/>
      <c r="W181" s="99"/>
      <c r="X181" s="99"/>
      <c r="Y181" s="99"/>
      <c r="Z181" s="99"/>
      <c r="AB181" s="84"/>
      <c r="AC181" s="84"/>
      <c r="AD181" s="84"/>
      <c r="AE181" s="84"/>
      <c r="AF181" s="84"/>
      <c r="AG181" s="84"/>
      <c r="AH181" s="84"/>
      <c r="AI181" s="84"/>
    </row>
    <row r="182" ht="15.75" customHeight="1">
      <c r="A182" s="84"/>
      <c r="B182" s="265"/>
      <c r="C182" s="272"/>
      <c r="D182" s="265"/>
      <c r="E182" s="84"/>
      <c r="F182" s="261"/>
      <c r="G182" s="84"/>
      <c r="H182" s="262"/>
      <c r="I182" s="262"/>
      <c r="J182" s="262"/>
      <c r="K182" s="262"/>
      <c r="L182" s="262"/>
      <c r="M182" s="260"/>
      <c r="N182" s="260"/>
      <c r="O182" s="99"/>
      <c r="P182" s="99"/>
      <c r="Q182" s="99"/>
      <c r="R182" s="99"/>
      <c r="S182" s="99"/>
      <c r="T182" s="99"/>
      <c r="U182" s="99"/>
      <c r="V182" s="99"/>
      <c r="W182" s="99"/>
      <c r="X182" s="99"/>
      <c r="Y182" s="99"/>
      <c r="Z182" s="99"/>
      <c r="AB182" s="84"/>
      <c r="AC182" s="84"/>
      <c r="AD182" s="84"/>
      <c r="AE182" s="84"/>
      <c r="AF182" s="84"/>
      <c r="AG182" s="84"/>
      <c r="AH182" s="84"/>
      <c r="AI182" s="84"/>
    </row>
    <row r="183" ht="15.75" customHeight="1">
      <c r="A183" s="84"/>
      <c r="B183" s="265"/>
      <c r="C183" s="272"/>
      <c r="D183" s="233"/>
      <c r="E183" s="84"/>
      <c r="F183" s="261"/>
      <c r="G183" s="84"/>
      <c r="H183" s="262"/>
      <c r="I183" s="262"/>
      <c r="J183" s="262"/>
      <c r="K183" s="262"/>
      <c r="L183" s="262"/>
      <c r="M183" s="260"/>
      <c r="N183" s="260"/>
      <c r="O183" s="99"/>
      <c r="P183" s="99"/>
      <c r="Q183" s="99"/>
      <c r="R183" s="99"/>
      <c r="S183" s="99"/>
      <c r="T183" s="99"/>
      <c r="U183" s="99"/>
      <c r="V183" s="99"/>
      <c r="W183" s="99"/>
      <c r="X183" s="99"/>
      <c r="Y183" s="99"/>
      <c r="Z183" s="99"/>
      <c r="AB183" s="84"/>
      <c r="AC183" s="84"/>
      <c r="AD183" s="84"/>
      <c r="AE183" s="84"/>
      <c r="AF183" s="84"/>
      <c r="AG183" s="84"/>
      <c r="AH183" s="84"/>
      <c r="AI183" s="84"/>
    </row>
    <row r="184" ht="15.75" customHeight="1">
      <c r="A184" s="84"/>
      <c r="B184" s="265"/>
      <c r="C184" s="272"/>
      <c r="D184" s="84"/>
      <c r="E184" s="84"/>
      <c r="F184" s="261"/>
      <c r="G184" s="84"/>
      <c r="H184" s="262"/>
      <c r="I184" s="262"/>
      <c r="J184" s="262"/>
      <c r="K184" s="262"/>
      <c r="L184" s="262"/>
      <c r="M184" s="260"/>
      <c r="N184" s="260"/>
      <c r="O184" s="99"/>
      <c r="P184" s="99"/>
      <c r="Q184" s="99"/>
      <c r="R184" s="99"/>
      <c r="S184" s="99"/>
      <c r="T184" s="99"/>
      <c r="U184" s="99"/>
      <c r="V184" s="99"/>
      <c r="W184" s="99"/>
      <c r="X184" s="99"/>
      <c r="Y184" s="99"/>
      <c r="Z184" s="99"/>
      <c r="AB184" s="84"/>
      <c r="AC184" s="84"/>
      <c r="AD184" s="84"/>
      <c r="AE184" s="84"/>
      <c r="AF184" s="84"/>
      <c r="AG184" s="84"/>
      <c r="AH184" s="84"/>
      <c r="AI184" s="84"/>
    </row>
    <row r="185" ht="15.75" customHeight="1">
      <c r="A185" s="84"/>
      <c r="B185" s="265"/>
      <c r="C185" s="272"/>
      <c r="D185" s="84"/>
      <c r="E185" s="84"/>
      <c r="F185" s="261"/>
      <c r="G185" s="84"/>
      <c r="H185" s="262"/>
      <c r="I185" s="262"/>
      <c r="J185" s="262"/>
      <c r="K185" s="262"/>
      <c r="L185" s="262"/>
      <c r="M185" s="260"/>
      <c r="N185" s="260"/>
      <c r="O185" s="99"/>
      <c r="P185" s="99"/>
      <c r="Q185" s="99"/>
      <c r="R185" s="99"/>
      <c r="S185" s="99"/>
      <c r="T185" s="99"/>
      <c r="U185" s="99"/>
      <c r="V185" s="99"/>
      <c r="W185" s="99"/>
      <c r="X185" s="99"/>
      <c r="Y185" s="99"/>
      <c r="Z185" s="99"/>
      <c r="AB185" s="84"/>
      <c r="AC185" s="84"/>
      <c r="AD185" s="84"/>
      <c r="AE185" s="84"/>
      <c r="AF185" s="84"/>
      <c r="AG185" s="84"/>
      <c r="AH185" s="84"/>
      <c r="AI185" s="84"/>
    </row>
    <row r="186" ht="15.75" customHeight="1">
      <c r="A186" s="84"/>
      <c r="B186" s="265"/>
      <c r="C186" s="272"/>
      <c r="D186" s="84"/>
      <c r="E186" s="84"/>
      <c r="F186" s="261"/>
      <c r="G186" s="84"/>
      <c r="H186" s="262"/>
      <c r="I186" s="262"/>
      <c r="J186" s="262"/>
      <c r="K186" s="262"/>
      <c r="L186" s="262"/>
      <c r="M186" s="260"/>
      <c r="N186" s="260"/>
      <c r="O186" s="99"/>
      <c r="P186" s="99"/>
      <c r="Q186" s="99"/>
      <c r="R186" s="99"/>
      <c r="S186" s="99"/>
      <c r="T186" s="99"/>
      <c r="U186" s="99"/>
      <c r="V186" s="99"/>
      <c r="W186" s="99"/>
      <c r="X186" s="99"/>
      <c r="Y186" s="99"/>
      <c r="Z186" s="99"/>
      <c r="AB186" s="84"/>
      <c r="AC186" s="84"/>
      <c r="AD186" s="84"/>
      <c r="AE186" s="84"/>
      <c r="AF186" s="84"/>
      <c r="AG186" s="84"/>
      <c r="AH186" s="84"/>
      <c r="AI186" s="84"/>
    </row>
    <row r="187" ht="15.75" customHeight="1">
      <c r="A187" s="84"/>
      <c r="B187" s="265"/>
      <c r="C187" s="272"/>
      <c r="D187" s="84"/>
      <c r="E187" s="84"/>
      <c r="F187" s="261"/>
      <c r="G187" s="84"/>
      <c r="H187" s="262"/>
      <c r="I187" s="262"/>
      <c r="J187" s="262"/>
      <c r="K187" s="262"/>
      <c r="L187" s="262"/>
      <c r="M187" s="260"/>
      <c r="N187" s="260"/>
      <c r="O187" s="99"/>
      <c r="P187" s="99"/>
      <c r="Q187" s="99"/>
      <c r="R187" s="99"/>
      <c r="S187" s="99"/>
      <c r="T187" s="99"/>
      <c r="U187" s="99"/>
      <c r="V187" s="99"/>
      <c r="W187" s="99"/>
      <c r="X187" s="99"/>
      <c r="Y187" s="99"/>
      <c r="Z187" s="99"/>
      <c r="AB187" s="84"/>
      <c r="AC187" s="84"/>
      <c r="AD187" s="84"/>
      <c r="AE187" s="84"/>
      <c r="AF187" s="84"/>
      <c r="AG187" s="84"/>
      <c r="AH187" s="84"/>
      <c r="AI187" s="84"/>
    </row>
    <row r="188" ht="15.75" customHeight="1">
      <c r="A188" s="84"/>
      <c r="B188" s="265"/>
      <c r="C188" s="272"/>
      <c r="D188" s="84"/>
      <c r="E188" s="84"/>
      <c r="F188" s="261"/>
      <c r="G188" s="84"/>
      <c r="H188" s="262"/>
      <c r="I188" s="262"/>
      <c r="J188" s="262"/>
      <c r="K188" s="262"/>
      <c r="L188" s="262"/>
      <c r="M188" s="260"/>
      <c r="N188" s="260"/>
      <c r="O188" s="99"/>
      <c r="P188" s="99"/>
      <c r="Q188" s="99"/>
      <c r="R188" s="99"/>
      <c r="S188" s="99"/>
      <c r="T188" s="99"/>
      <c r="U188" s="99"/>
      <c r="V188" s="99"/>
      <c r="W188" s="99"/>
      <c r="X188" s="99"/>
      <c r="Y188" s="99"/>
      <c r="Z188" s="99"/>
      <c r="AB188" s="84"/>
      <c r="AC188" s="84"/>
      <c r="AD188" s="84"/>
      <c r="AE188" s="84"/>
      <c r="AF188" s="84"/>
      <c r="AG188" s="84"/>
      <c r="AH188" s="84"/>
      <c r="AI188" s="84"/>
    </row>
    <row r="189" ht="15.75" customHeight="1">
      <c r="A189" s="84"/>
      <c r="B189" s="265"/>
      <c r="C189" s="272"/>
      <c r="D189" s="84"/>
      <c r="E189" s="84"/>
      <c r="F189" s="261"/>
      <c r="G189" s="84"/>
      <c r="H189" s="262"/>
      <c r="I189" s="262"/>
      <c r="J189" s="262"/>
      <c r="K189" s="262"/>
      <c r="L189" s="262"/>
      <c r="M189" s="260"/>
      <c r="N189" s="260"/>
      <c r="O189" s="99"/>
      <c r="P189" s="99"/>
      <c r="Q189" s="99"/>
      <c r="R189" s="99"/>
      <c r="S189" s="99"/>
      <c r="T189" s="99"/>
      <c r="U189" s="99"/>
      <c r="V189" s="99"/>
      <c r="W189" s="99"/>
      <c r="X189" s="99"/>
      <c r="Y189" s="99"/>
      <c r="Z189" s="99"/>
      <c r="AB189" s="84"/>
      <c r="AC189" s="84"/>
      <c r="AD189" s="84"/>
      <c r="AE189" s="84"/>
      <c r="AF189" s="84"/>
      <c r="AG189" s="84"/>
      <c r="AH189" s="84"/>
      <c r="AI189" s="84"/>
    </row>
    <row r="190" ht="15.75" customHeight="1">
      <c r="A190" s="84"/>
      <c r="B190" s="265"/>
      <c r="C190" s="272"/>
      <c r="D190" s="84"/>
      <c r="E190" s="84"/>
      <c r="F190" s="261"/>
      <c r="G190" s="84"/>
      <c r="H190" s="262"/>
      <c r="I190" s="262"/>
      <c r="J190" s="262"/>
      <c r="K190" s="262"/>
      <c r="L190" s="262"/>
      <c r="M190" s="260"/>
      <c r="N190" s="260"/>
      <c r="O190" s="99"/>
      <c r="P190" s="99"/>
      <c r="Q190" s="99"/>
      <c r="R190" s="99"/>
      <c r="S190" s="99"/>
      <c r="T190" s="99"/>
      <c r="U190" s="99"/>
      <c r="V190" s="99"/>
      <c r="W190" s="99"/>
      <c r="X190" s="99"/>
      <c r="Y190" s="99"/>
      <c r="Z190" s="99"/>
      <c r="AB190" s="84"/>
      <c r="AC190" s="84"/>
      <c r="AD190" s="84"/>
      <c r="AE190" s="84"/>
      <c r="AF190" s="84"/>
      <c r="AG190" s="84"/>
      <c r="AH190" s="84"/>
      <c r="AI190" s="84"/>
    </row>
    <row r="191" ht="15.75" customHeight="1">
      <c r="A191" s="84"/>
      <c r="B191" s="265"/>
      <c r="C191" s="272"/>
      <c r="D191" s="84"/>
      <c r="E191" s="84"/>
      <c r="F191" s="261"/>
      <c r="G191" s="84"/>
      <c r="H191" s="262"/>
      <c r="I191" s="262"/>
      <c r="J191" s="262"/>
      <c r="K191" s="262"/>
      <c r="L191" s="262"/>
      <c r="M191" s="260"/>
      <c r="N191" s="260"/>
      <c r="O191" s="99"/>
      <c r="P191" s="99"/>
      <c r="Q191" s="99"/>
      <c r="R191" s="99"/>
      <c r="S191" s="99"/>
      <c r="T191" s="99"/>
      <c r="U191" s="99"/>
      <c r="V191" s="99"/>
      <c r="W191" s="99"/>
      <c r="X191" s="99"/>
      <c r="Y191" s="99"/>
      <c r="Z191" s="99"/>
      <c r="AB191" s="84"/>
      <c r="AC191" s="84"/>
      <c r="AD191" s="84"/>
      <c r="AE191" s="84"/>
      <c r="AF191" s="84"/>
      <c r="AG191" s="84"/>
      <c r="AH191" s="84"/>
      <c r="AI191" s="84"/>
    </row>
    <row r="192" ht="15.75" customHeight="1">
      <c r="A192" s="84"/>
      <c r="B192" s="265"/>
      <c r="C192" s="272"/>
      <c r="D192" s="84"/>
      <c r="E192" s="84"/>
      <c r="F192" s="261"/>
      <c r="G192" s="84"/>
      <c r="H192" s="262"/>
      <c r="I192" s="262"/>
      <c r="J192" s="262"/>
      <c r="K192" s="262"/>
      <c r="L192" s="262"/>
      <c r="M192" s="260"/>
      <c r="N192" s="260"/>
      <c r="O192" s="99"/>
      <c r="P192" s="99"/>
      <c r="Q192" s="99"/>
      <c r="R192" s="99"/>
      <c r="S192" s="99"/>
      <c r="T192" s="99"/>
      <c r="U192" s="99"/>
      <c r="V192" s="99"/>
      <c r="W192" s="99"/>
      <c r="X192" s="99"/>
      <c r="Y192" s="99"/>
      <c r="Z192" s="99"/>
      <c r="AB192" s="84"/>
      <c r="AC192" s="84"/>
      <c r="AD192" s="84"/>
      <c r="AE192" s="84"/>
      <c r="AF192" s="84"/>
      <c r="AG192" s="84"/>
      <c r="AH192" s="84"/>
      <c r="AI192" s="84"/>
    </row>
    <row r="193" ht="15.75" customHeight="1">
      <c r="A193" s="84"/>
      <c r="B193" s="265"/>
      <c r="C193" s="272"/>
      <c r="D193" s="84"/>
      <c r="E193" s="84"/>
      <c r="F193" s="261"/>
      <c r="G193" s="84"/>
      <c r="H193" s="262"/>
      <c r="I193" s="262"/>
      <c r="J193" s="262"/>
      <c r="K193" s="262"/>
      <c r="L193" s="262"/>
      <c r="M193" s="260"/>
      <c r="N193" s="260"/>
      <c r="O193" s="99"/>
      <c r="P193" s="99"/>
      <c r="Q193" s="99"/>
      <c r="R193" s="99"/>
      <c r="S193" s="99"/>
      <c r="T193" s="99"/>
      <c r="U193" s="99"/>
      <c r="V193" s="99"/>
      <c r="W193" s="99"/>
      <c r="X193" s="99"/>
      <c r="Y193" s="99"/>
      <c r="Z193" s="99"/>
      <c r="AB193" s="84"/>
      <c r="AC193" s="84"/>
      <c r="AD193" s="84"/>
      <c r="AE193" s="84"/>
      <c r="AF193" s="84"/>
      <c r="AG193" s="84"/>
      <c r="AH193" s="84"/>
      <c r="AI193" s="84"/>
    </row>
    <row r="194" ht="15.75" customHeight="1">
      <c r="A194" s="84"/>
      <c r="B194" s="273"/>
      <c r="C194" s="274"/>
      <c r="D194" s="84"/>
      <c r="E194" s="84"/>
      <c r="F194" s="261"/>
      <c r="G194" s="84"/>
      <c r="H194" s="262"/>
      <c r="I194" s="262"/>
      <c r="J194" s="262"/>
      <c r="K194" s="262"/>
      <c r="L194" s="262"/>
      <c r="M194" s="260"/>
      <c r="N194" s="260"/>
      <c r="O194" s="99"/>
      <c r="P194" s="99"/>
      <c r="Q194" s="99"/>
      <c r="R194" s="99"/>
      <c r="S194" s="99"/>
      <c r="T194" s="99"/>
      <c r="U194" s="99"/>
      <c r="V194" s="99"/>
      <c r="W194" s="99"/>
      <c r="X194" s="99"/>
      <c r="Y194" s="99"/>
      <c r="Z194" s="99"/>
      <c r="AB194" s="84"/>
      <c r="AC194" s="84"/>
      <c r="AD194" s="84"/>
      <c r="AE194" s="84"/>
      <c r="AF194" s="84"/>
      <c r="AG194" s="84"/>
      <c r="AH194" s="84"/>
      <c r="AI194" s="84"/>
    </row>
    <row r="195" ht="15.75" customHeight="1">
      <c r="A195" s="84"/>
      <c r="B195" s="84"/>
      <c r="C195" s="84"/>
      <c r="D195" s="84"/>
      <c r="E195" s="84"/>
      <c r="F195" s="261"/>
      <c r="G195" s="84"/>
      <c r="H195" s="262"/>
      <c r="I195" s="262"/>
      <c r="J195" s="262"/>
      <c r="K195" s="262"/>
      <c r="L195" s="262"/>
      <c r="M195" s="260"/>
      <c r="N195" s="260"/>
      <c r="O195" s="99"/>
      <c r="P195" s="99"/>
      <c r="Q195" s="99"/>
      <c r="R195" s="99"/>
      <c r="S195" s="99"/>
      <c r="T195" s="99"/>
      <c r="U195" s="99"/>
      <c r="V195" s="99"/>
      <c r="W195" s="99"/>
      <c r="X195" s="99"/>
      <c r="Y195" s="99"/>
      <c r="Z195" s="99"/>
      <c r="AB195" s="84"/>
      <c r="AC195" s="84"/>
      <c r="AD195" s="84"/>
      <c r="AE195" s="84"/>
      <c r="AF195" s="84"/>
      <c r="AG195" s="84"/>
      <c r="AH195" s="84"/>
      <c r="AI195" s="84"/>
    </row>
    <row r="196" ht="15.75" customHeight="1">
      <c r="A196" s="84"/>
      <c r="B196" s="84"/>
      <c r="C196" s="84"/>
      <c r="D196" s="84"/>
      <c r="E196" s="84"/>
      <c r="F196" s="261"/>
      <c r="G196" s="84"/>
      <c r="H196" s="262"/>
      <c r="I196" s="262"/>
      <c r="J196" s="262"/>
      <c r="K196" s="262"/>
      <c r="L196" s="262"/>
      <c r="M196" s="260"/>
      <c r="N196" s="260"/>
      <c r="O196" s="99"/>
      <c r="P196" s="99"/>
      <c r="Q196" s="99"/>
      <c r="R196" s="99"/>
      <c r="S196" s="99"/>
      <c r="T196" s="99"/>
      <c r="U196" s="99"/>
      <c r="V196" s="99"/>
      <c r="W196" s="99"/>
      <c r="X196" s="99"/>
      <c r="Y196" s="99"/>
      <c r="Z196" s="99"/>
      <c r="AB196" s="84"/>
      <c r="AC196" s="84"/>
      <c r="AD196" s="84"/>
      <c r="AE196" s="84"/>
      <c r="AF196" s="84"/>
      <c r="AG196" s="84"/>
      <c r="AH196" s="84"/>
      <c r="AI196" s="84"/>
    </row>
    <row r="197" ht="15.75" customHeight="1">
      <c r="A197" s="84"/>
      <c r="B197" s="84"/>
      <c r="C197" s="84"/>
      <c r="D197" s="84"/>
      <c r="E197" s="84"/>
      <c r="F197" s="261"/>
      <c r="G197" s="84"/>
      <c r="H197" s="262"/>
      <c r="I197" s="262"/>
      <c r="J197" s="262"/>
      <c r="K197" s="262"/>
      <c r="L197" s="262"/>
      <c r="M197" s="260"/>
      <c r="N197" s="260"/>
      <c r="O197" s="99"/>
      <c r="P197" s="99"/>
      <c r="Q197" s="99"/>
      <c r="R197" s="99"/>
      <c r="S197" s="99"/>
      <c r="T197" s="99"/>
      <c r="U197" s="99"/>
      <c r="V197" s="99"/>
      <c r="W197" s="99"/>
      <c r="X197" s="99"/>
      <c r="Y197" s="99"/>
      <c r="Z197" s="99"/>
      <c r="AB197" s="84"/>
      <c r="AC197" s="84"/>
      <c r="AD197" s="84"/>
      <c r="AE197" s="84"/>
      <c r="AF197" s="84"/>
      <c r="AG197" s="84"/>
      <c r="AH197" s="84"/>
      <c r="AI197" s="84"/>
    </row>
    <row r="198" ht="15.75" customHeight="1">
      <c r="A198" s="84"/>
      <c r="B198" s="84"/>
      <c r="C198" s="84"/>
      <c r="D198" s="84"/>
      <c r="E198" s="84"/>
      <c r="F198" s="261"/>
      <c r="G198" s="84"/>
      <c r="H198" s="262"/>
      <c r="I198" s="262"/>
      <c r="J198" s="262"/>
      <c r="K198" s="262"/>
      <c r="L198" s="262"/>
      <c r="M198" s="260"/>
      <c r="N198" s="260"/>
      <c r="O198" s="99"/>
      <c r="P198" s="99"/>
      <c r="Q198" s="99"/>
      <c r="R198" s="99"/>
      <c r="S198" s="99"/>
      <c r="T198" s="99"/>
      <c r="U198" s="99"/>
      <c r="V198" s="99"/>
      <c r="W198" s="99"/>
      <c r="X198" s="99"/>
      <c r="Y198" s="99"/>
      <c r="Z198" s="99"/>
      <c r="AB198" s="84"/>
      <c r="AC198" s="84"/>
      <c r="AD198" s="84"/>
      <c r="AE198" s="84"/>
      <c r="AF198" s="84"/>
      <c r="AG198" s="84"/>
      <c r="AH198" s="84"/>
      <c r="AI198" s="84"/>
    </row>
    <row r="199" ht="15.75" customHeight="1">
      <c r="A199" s="84"/>
      <c r="B199" s="84"/>
      <c r="C199" s="84"/>
      <c r="D199" s="84"/>
      <c r="E199" s="84"/>
      <c r="F199" s="261"/>
      <c r="G199" s="84"/>
      <c r="H199" s="262"/>
      <c r="I199" s="262"/>
      <c r="J199" s="262"/>
      <c r="K199" s="262"/>
      <c r="L199" s="262"/>
      <c r="M199" s="260"/>
      <c r="N199" s="260"/>
      <c r="O199" s="99"/>
      <c r="P199" s="99"/>
      <c r="Q199" s="99"/>
      <c r="R199" s="99"/>
      <c r="S199" s="99"/>
      <c r="T199" s="99"/>
      <c r="U199" s="99"/>
      <c r="V199" s="99"/>
      <c r="W199" s="99"/>
      <c r="X199" s="99"/>
      <c r="Y199" s="99"/>
      <c r="Z199" s="99"/>
      <c r="AB199" s="84"/>
      <c r="AC199" s="84"/>
      <c r="AD199" s="84"/>
      <c r="AE199" s="84"/>
      <c r="AF199" s="84"/>
      <c r="AG199" s="84"/>
      <c r="AH199" s="84"/>
      <c r="AI199" s="84"/>
    </row>
    <row r="200" ht="15.75" customHeight="1">
      <c r="A200" s="84"/>
      <c r="B200" s="84"/>
      <c r="C200" s="84"/>
      <c r="D200" s="84"/>
      <c r="E200" s="84"/>
      <c r="F200" s="261"/>
      <c r="G200" s="84"/>
      <c r="H200" s="262"/>
      <c r="I200" s="262"/>
      <c r="J200" s="262"/>
      <c r="K200" s="262"/>
      <c r="L200" s="262"/>
      <c r="M200" s="260"/>
      <c r="N200" s="260"/>
      <c r="O200" s="99"/>
      <c r="P200" s="99"/>
      <c r="Q200" s="99"/>
      <c r="R200" s="99"/>
      <c r="S200" s="99"/>
      <c r="T200" s="99"/>
      <c r="U200" s="99"/>
      <c r="V200" s="99"/>
      <c r="W200" s="99"/>
      <c r="X200" s="99"/>
      <c r="Y200" s="99"/>
      <c r="Z200" s="99"/>
      <c r="AB200" s="84"/>
      <c r="AC200" s="84"/>
      <c r="AD200" s="84"/>
      <c r="AE200" s="84"/>
      <c r="AF200" s="84"/>
      <c r="AG200" s="84"/>
      <c r="AH200" s="84"/>
      <c r="AI200" s="84"/>
    </row>
    <row r="201" ht="15.75" customHeight="1">
      <c r="A201" s="84"/>
      <c r="B201" s="84"/>
      <c r="C201" s="84"/>
      <c r="D201" s="84"/>
      <c r="E201" s="84"/>
      <c r="F201" s="261"/>
      <c r="G201" s="84"/>
      <c r="H201" s="262"/>
      <c r="I201" s="262"/>
      <c r="J201" s="262"/>
      <c r="K201" s="262"/>
      <c r="L201" s="262"/>
      <c r="M201" s="260"/>
      <c r="N201" s="260"/>
      <c r="O201" s="99"/>
      <c r="P201" s="99"/>
      <c r="Q201" s="99"/>
      <c r="R201" s="99"/>
      <c r="S201" s="99"/>
      <c r="T201" s="99"/>
      <c r="U201" s="99"/>
      <c r="V201" s="99"/>
      <c r="W201" s="99"/>
      <c r="X201" s="99"/>
      <c r="Y201" s="99"/>
      <c r="Z201" s="99"/>
      <c r="AB201" s="84"/>
      <c r="AC201" s="84"/>
      <c r="AD201" s="84"/>
      <c r="AE201" s="84"/>
      <c r="AF201" s="84"/>
      <c r="AG201" s="84"/>
      <c r="AH201" s="84"/>
      <c r="AI201" s="84"/>
    </row>
    <row r="202" ht="15.75" customHeight="1">
      <c r="A202" s="84"/>
      <c r="B202" s="84"/>
      <c r="C202" s="84"/>
      <c r="D202" s="84"/>
      <c r="E202" s="84"/>
      <c r="F202" s="261"/>
      <c r="G202" s="84"/>
      <c r="H202" s="262"/>
      <c r="I202" s="262"/>
      <c r="J202" s="262"/>
      <c r="K202" s="262"/>
      <c r="L202" s="262"/>
      <c r="M202" s="260"/>
      <c r="N202" s="260"/>
      <c r="O202" s="99"/>
      <c r="P202" s="99"/>
      <c r="Q202" s="99"/>
      <c r="R202" s="99"/>
      <c r="S202" s="99"/>
      <c r="T202" s="99"/>
      <c r="U202" s="99"/>
      <c r="V202" s="99"/>
      <c r="W202" s="99"/>
      <c r="X202" s="99"/>
      <c r="Y202" s="99"/>
      <c r="Z202" s="99"/>
      <c r="AB202" s="84"/>
      <c r="AC202" s="84"/>
      <c r="AD202" s="84"/>
      <c r="AE202" s="84"/>
      <c r="AF202" s="84"/>
      <c r="AG202" s="84"/>
      <c r="AH202" s="84"/>
      <c r="AI202" s="84"/>
    </row>
    <row r="203" ht="15.75" customHeight="1">
      <c r="A203" s="84"/>
      <c r="B203" s="84"/>
      <c r="C203" s="84"/>
      <c r="D203" s="84"/>
      <c r="E203" s="84"/>
      <c r="F203" s="261"/>
      <c r="G203" s="84"/>
      <c r="H203" s="262"/>
      <c r="I203" s="262"/>
      <c r="J203" s="262"/>
      <c r="K203" s="262"/>
      <c r="L203" s="262"/>
      <c r="M203" s="260"/>
      <c r="N203" s="260"/>
      <c r="O203" s="99"/>
      <c r="P203" s="99"/>
      <c r="Q203" s="99"/>
      <c r="R203" s="99"/>
      <c r="S203" s="99"/>
      <c r="T203" s="99"/>
      <c r="U203" s="99"/>
      <c r="V203" s="99"/>
      <c r="W203" s="99"/>
      <c r="X203" s="99"/>
      <c r="Y203" s="99"/>
      <c r="Z203" s="99"/>
      <c r="AB203" s="84"/>
      <c r="AC203" s="84"/>
      <c r="AD203" s="84"/>
      <c r="AE203" s="84"/>
      <c r="AF203" s="84"/>
      <c r="AG203" s="84"/>
      <c r="AH203" s="84"/>
      <c r="AI203" s="84"/>
    </row>
    <row r="204" ht="15.75" customHeight="1">
      <c r="A204" s="84"/>
      <c r="B204" s="84"/>
      <c r="C204" s="84"/>
      <c r="D204" s="84"/>
      <c r="E204" s="84"/>
      <c r="F204" s="261"/>
      <c r="G204" s="84"/>
      <c r="H204" s="262"/>
      <c r="I204" s="262"/>
      <c r="J204" s="262"/>
      <c r="K204" s="262"/>
      <c r="L204" s="262"/>
      <c r="M204" s="260"/>
      <c r="N204" s="260"/>
      <c r="O204" s="99"/>
      <c r="P204" s="99"/>
      <c r="Q204" s="99"/>
      <c r="R204" s="99"/>
      <c r="S204" s="99"/>
      <c r="T204" s="99"/>
      <c r="U204" s="99"/>
      <c r="V204" s="99"/>
      <c r="W204" s="99"/>
      <c r="X204" s="99"/>
      <c r="Y204" s="99"/>
      <c r="Z204" s="99"/>
      <c r="AB204" s="84"/>
      <c r="AC204" s="84"/>
      <c r="AD204" s="84"/>
      <c r="AE204" s="84"/>
      <c r="AF204" s="84"/>
      <c r="AG204" s="84"/>
      <c r="AH204" s="84"/>
      <c r="AI204" s="84"/>
    </row>
    <row r="205" ht="15.75" customHeight="1">
      <c r="A205" s="84"/>
      <c r="B205" s="84"/>
      <c r="C205" s="84"/>
      <c r="D205" s="84"/>
      <c r="E205" s="84"/>
      <c r="F205" s="261"/>
      <c r="G205" s="84"/>
      <c r="H205" s="262"/>
      <c r="I205" s="262"/>
      <c r="J205" s="262"/>
      <c r="K205" s="262"/>
      <c r="L205" s="262"/>
      <c r="M205" s="260"/>
      <c r="N205" s="260"/>
      <c r="O205" s="99"/>
      <c r="P205" s="99"/>
      <c r="Q205" s="99"/>
      <c r="R205" s="99"/>
      <c r="S205" s="99"/>
      <c r="T205" s="99"/>
      <c r="U205" s="99"/>
      <c r="V205" s="99"/>
      <c r="W205" s="99"/>
      <c r="X205" s="99"/>
      <c r="Y205" s="99"/>
      <c r="Z205" s="99"/>
      <c r="AB205" s="84"/>
      <c r="AC205" s="84"/>
      <c r="AD205" s="84"/>
      <c r="AE205" s="84"/>
      <c r="AF205" s="84"/>
      <c r="AG205" s="84"/>
      <c r="AH205" s="84"/>
      <c r="AI205" s="84"/>
    </row>
    <row r="206" ht="15.75" customHeight="1">
      <c r="A206" s="84"/>
      <c r="B206" s="84"/>
      <c r="C206" s="84"/>
      <c r="D206" s="84"/>
      <c r="E206" s="84"/>
      <c r="F206" s="261"/>
      <c r="G206" s="84"/>
      <c r="H206" s="262"/>
      <c r="I206" s="262"/>
      <c r="J206" s="262"/>
      <c r="K206" s="262"/>
      <c r="L206" s="262"/>
      <c r="M206" s="260"/>
      <c r="N206" s="260"/>
      <c r="O206" s="99"/>
      <c r="P206" s="99"/>
      <c r="Q206" s="99"/>
      <c r="R206" s="99"/>
      <c r="S206" s="99"/>
      <c r="T206" s="99"/>
      <c r="U206" s="99"/>
      <c r="V206" s="99"/>
      <c r="W206" s="99"/>
      <c r="X206" s="99"/>
      <c r="Y206" s="99"/>
      <c r="Z206" s="99"/>
      <c r="AB206" s="84"/>
      <c r="AC206" s="84"/>
      <c r="AD206" s="84"/>
      <c r="AE206" s="84"/>
      <c r="AF206" s="84"/>
      <c r="AG206" s="84"/>
      <c r="AH206" s="84"/>
      <c r="AI206" s="84"/>
    </row>
    <row r="207" ht="15.75" customHeight="1">
      <c r="A207" s="84"/>
      <c r="B207" s="84"/>
      <c r="C207" s="84"/>
      <c r="D207" s="84"/>
      <c r="E207" s="84"/>
      <c r="F207" s="261"/>
      <c r="G207" s="84"/>
      <c r="H207" s="262"/>
      <c r="I207" s="262"/>
      <c r="J207" s="262"/>
      <c r="K207" s="262"/>
      <c r="L207" s="262"/>
      <c r="M207" s="260"/>
      <c r="N207" s="260"/>
      <c r="O207" s="99"/>
      <c r="P207" s="99"/>
      <c r="Q207" s="99"/>
      <c r="R207" s="99"/>
      <c r="S207" s="99"/>
      <c r="T207" s="99"/>
      <c r="U207" s="99"/>
      <c r="V207" s="99"/>
      <c r="W207" s="99"/>
      <c r="X207" s="99"/>
      <c r="Y207" s="99"/>
      <c r="Z207" s="99"/>
      <c r="AB207" s="84"/>
      <c r="AC207" s="84"/>
      <c r="AD207" s="84"/>
      <c r="AE207" s="84"/>
      <c r="AF207" s="84"/>
      <c r="AG207" s="84"/>
      <c r="AH207" s="84"/>
      <c r="AI207" s="84"/>
    </row>
    <row r="208" ht="15.75" customHeight="1">
      <c r="A208" s="84"/>
      <c r="B208" s="84"/>
      <c r="C208" s="84"/>
      <c r="D208" s="84"/>
      <c r="E208" s="84"/>
      <c r="F208" s="261"/>
      <c r="G208" s="84"/>
      <c r="H208" s="262"/>
      <c r="I208" s="262"/>
      <c r="J208" s="262"/>
      <c r="K208" s="262"/>
      <c r="L208" s="262"/>
      <c r="M208" s="260"/>
      <c r="N208" s="260"/>
      <c r="O208" s="99"/>
      <c r="P208" s="99"/>
      <c r="Q208" s="99"/>
      <c r="R208" s="99"/>
      <c r="S208" s="99"/>
      <c r="T208" s="99"/>
      <c r="U208" s="99"/>
      <c r="V208" s="99"/>
      <c r="W208" s="99"/>
      <c r="X208" s="99"/>
      <c r="Y208" s="99"/>
      <c r="Z208" s="99"/>
      <c r="AB208" s="84"/>
      <c r="AC208" s="84"/>
      <c r="AD208" s="84"/>
      <c r="AE208" s="84"/>
      <c r="AF208" s="84"/>
      <c r="AG208" s="84"/>
      <c r="AH208" s="84"/>
      <c r="AI208" s="84"/>
    </row>
    <row r="209" ht="15.75" customHeight="1">
      <c r="A209" s="84"/>
      <c r="B209" s="84"/>
      <c r="C209" s="84"/>
      <c r="D209" s="84"/>
      <c r="E209" s="84"/>
      <c r="F209" s="261"/>
      <c r="G209" s="84"/>
      <c r="H209" s="262"/>
      <c r="I209" s="262"/>
      <c r="J209" s="262"/>
      <c r="K209" s="262"/>
      <c r="L209" s="262"/>
      <c r="M209" s="260"/>
      <c r="N209" s="260"/>
      <c r="O209" s="99"/>
      <c r="P209" s="99"/>
      <c r="Q209" s="99"/>
      <c r="R209" s="99"/>
      <c r="S209" s="99"/>
      <c r="T209" s="99"/>
      <c r="U209" s="99"/>
      <c r="V209" s="99"/>
      <c r="W209" s="99"/>
      <c r="X209" s="99"/>
      <c r="Y209" s="99"/>
      <c r="Z209" s="99"/>
      <c r="AB209" s="84"/>
      <c r="AC209" s="84"/>
      <c r="AD209" s="84"/>
      <c r="AE209" s="84"/>
      <c r="AF209" s="84"/>
      <c r="AG209" s="84"/>
      <c r="AH209" s="84"/>
      <c r="AI209" s="84"/>
    </row>
    <row r="210" ht="15.75" customHeight="1">
      <c r="A210" s="84"/>
      <c r="B210" s="84"/>
      <c r="C210" s="84"/>
      <c r="D210" s="84"/>
      <c r="E210" s="84"/>
      <c r="F210" s="261"/>
      <c r="G210" s="84"/>
      <c r="H210" s="262"/>
      <c r="I210" s="262"/>
      <c r="J210" s="262"/>
      <c r="K210" s="262"/>
      <c r="L210" s="262"/>
      <c r="M210" s="260"/>
      <c r="N210" s="260"/>
      <c r="O210" s="99"/>
      <c r="P210" s="99"/>
      <c r="Q210" s="99"/>
      <c r="R210" s="99"/>
      <c r="S210" s="99"/>
      <c r="T210" s="99"/>
      <c r="U210" s="99"/>
      <c r="V210" s="99"/>
      <c r="W210" s="99"/>
      <c r="X210" s="99"/>
      <c r="Y210" s="99"/>
      <c r="Z210" s="99"/>
      <c r="AB210" s="84"/>
      <c r="AC210" s="84"/>
      <c r="AD210" s="84"/>
      <c r="AE210" s="84"/>
      <c r="AF210" s="84"/>
      <c r="AG210" s="84"/>
      <c r="AH210" s="84"/>
      <c r="AI210" s="84"/>
    </row>
    <row r="211" ht="15.75" customHeight="1">
      <c r="A211" s="84"/>
      <c r="B211" s="84"/>
      <c r="C211" s="84"/>
      <c r="D211" s="84"/>
      <c r="E211" s="84"/>
      <c r="F211" s="261"/>
      <c r="G211" s="84"/>
      <c r="H211" s="262"/>
      <c r="I211" s="262"/>
      <c r="J211" s="262"/>
      <c r="K211" s="262"/>
      <c r="L211" s="262"/>
      <c r="M211" s="260"/>
      <c r="N211" s="260"/>
      <c r="O211" s="99"/>
      <c r="P211" s="99"/>
      <c r="Q211" s="99"/>
      <c r="R211" s="99"/>
      <c r="S211" s="99"/>
      <c r="T211" s="99"/>
      <c r="U211" s="99"/>
      <c r="V211" s="99"/>
      <c r="W211" s="99"/>
      <c r="X211" s="99"/>
      <c r="Y211" s="99"/>
      <c r="Z211" s="99"/>
      <c r="AB211" s="84"/>
      <c r="AC211" s="84"/>
      <c r="AD211" s="84"/>
      <c r="AE211" s="84"/>
      <c r="AF211" s="84"/>
      <c r="AG211" s="84"/>
      <c r="AH211" s="84"/>
      <c r="AI211" s="84"/>
    </row>
    <row r="212" ht="15.75" customHeight="1">
      <c r="A212" s="84"/>
      <c r="B212" s="84"/>
      <c r="C212" s="84"/>
      <c r="D212" s="84"/>
      <c r="E212" s="84"/>
      <c r="F212" s="261"/>
      <c r="G212" s="84"/>
      <c r="H212" s="262"/>
      <c r="I212" s="262"/>
      <c r="J212" s="262"/>
      <c r="K212" s="262"/>
      <c r="L212" s="262"/>
      <c r="M212" s="260"/>
      <c r="N212" s="260"/>
      <c r="O212" s="99"/>
      <c r="P212" s="99"/>
      <c r="Q212" s="99"/>
      <c r="R212" s="99"/>
      <c r="S212" s="99"/>
      <c r="T212" s="99"/>
      <c r="U212" s="99"/>
      <c r="V212" s="99"/>
      <c r="W212" s="99"/>
      <c r="X212" s="99"/>
      <c r="Y212" s="99"/>
      <c r="Z212" s="99"/>
      <c r="AB212" s="84"/>
      <c r="AC212" s="84"/>
      <c r="AD212" s="84"/>
      <c r="AE212" s="84"/>
      <c r="AF212" s="84"/>
      <c r="AG212" s="84"/>
      <c r="AH212" s="84"/>
      <c r="AI212" s="84"/>
    </row>
    <row r="213" ht="15.75" customHeight="1">
      <c r="A213" s="84"/>
      <c r="B213" s="84"/>
      <c r="C213" s="84"/>
      <c r="D213" s="84"/>
      <c r="E213" s="84"/>
      <c r="F213" s="261"/>
      <c r="G213" s="84"/>
      <c r="H213" s="262"/>
      <c r="I213" s="262"/>
      <c r="J213" s="262"/>
      <c r="K213" s="262"/>
      <c r="L213" s="262"/>
      <c r="M213" s="260"/>
      <c r="N213" s="260"/>
      <c r="O213" s="99"/>
      <c r="P213" s="99"/>
      <c r="Q213" s="99"/>
      <c r="R213" s="99"/>
      <c r="S213" s="99"/>
      <c r="T213" s="99"/>
      <c r="U213" s="99"/>
      <c r="V213" s="99"/>
      <c r="W213" s="99"/>
      <c r="X213" s="99"/>
      <c r="Y213" s="99"/>
      <c r="Z213" s="99"/>
      <c r="AB213" s="84"/>
      <c r="AC213" s="84"/>
      <c r="AD213" s="84"/>
      <c r="AE213" s="84"/>
      <c r="AF213" s="84"/>
      <c r="AG213" s="84"/>
      <c r="AH213" s="84"/>
      <c r="AI213" s="84"/>
    </row>
    <row r="214" ht="15.75" customHeight="1">
      <c r="A214" s="84"/>
      <c r="B214" s="84"/>
      <c r="C214" s="84"/>
      <c r="D214" s="84"/>
      <c r="E214" s="84"/>
      <c r="F214" s="261"/>
      <c r="G214" s="84"/>
      <c r="H214" s="262"/>
      <c r="I214" s="262"/>
      <c r="J214" s="262"/>
      <c r="K214" s="262"/>
      <c r="L214" s="262"/>
      <c r="M214" s="260"/>
      <c r="N214" s="260"/>
      <c r="O214" s="99"/>
      <c r="P214" s="99"/>
      <c r="Q214" s="99"/>
      <c r="R214" s="99"/>
      <c r="S214" s="99"/>
      <c r="T214" s="99"/>
      <c r="U214" s="99"/>
      <c r="V214" s="99"/>
      <c r="W214" s="99"/>
      <c r="X214" s="99"/>
      <c r="Y214" s="99"/>
      <c r="Z214" s="99"/>
      <c r="AB214" s="84"/>
      <c r="AC214" s="84"/>
      <c r="AD214" s="84"/>
      <c r="AE214" s="84"/>
      <c r="AF214" s="84"/>
      <c r="AG214" s="84"/>
      <c r="AH214" s="84"/>
      <c r="AI214" s="84"/>
    </row>
    <row r="215" ht="15.75" customHeight="1">
      <c r="A215" s="84"/>
      <c r="B215" s="84"/>
      <c r="C215" s="84"/>
      <c r="D215" s="84"/>
      <c r="E215" s="84"/>
      <c r="F215" s="261"/>
      <c r="G215" s="84"/>
      <c r="H215" s="262"/>
      <c r="I215" s="262"/>
      <c r="J215" s="262"/>
      <c r="K215" s="262"/>
      <c r="L215" s="262"/>
      <c r="M215" s="260"/>
      <c r="N215" s="260"/>
      <c r="O215" s="99"/>
      <c r="P215" s="99"/>
      <c r="Q215" s="99"/>
      <c r="R215" s="99"/>
      <c r="S215" s="99"/>
      <c r="T215" s="99"/>
      <c r="U215" s="99"/>
      <c r="V215" s="99"/>
      <c r="W215" s="99"/>
      <c r="X215" s="99"/>
      <c r="Y215" s="99"/>
      <c r="Z215" s="99"/>
      <c r="AB215" s="84"/>
      <c r="AC215" s="84"/>
      <c r="AD215" s="84"/>
      <c r="AE215" s="84"/>
      <c r="AF215" s="84"/>
      <c r="AG215" s="84"/>
      <c r="AH215" s="84"/>
      <c r="AI215" s="84"/>
    </row>
    <row r="216" ht="15.75" customHeight="1">
      <c r="A216" s="84"/>
      <c r="B216" s="84"/>
      <c r="C216" s="84"/>
      <c r="D216" s="84"/>
      <c r="E216" s="84"/>
      <c r="F216" s="261"/>
      <c r="G216" s="84"/>
      <c r="H216" s="262"/>
      <c r="I216" s="262"/>
      <c r="J216" s="262"/>
      <c r="K216" s="262"/>
      <c r="L216" s="262"/>
      <c r="M216" s="260"/>
      <c r="N216" s="260"/>
      <c r="O216" s="99"/>
      <c r="P216" s="99"/>
      <c r="Q216" s="99"/>
      <c r="R216" s="99"/>
      <c r="S216" s="99"/>
      <c r="T216" s="99"/>
      <c r="U216" s="99"/>
      <c r="V216" s="99"/>
      <c r="W216" s="99"/>
      <c r="X216" s="99"/>
      <c r="Y216" s="99"/>
      <c r="Z216" s="99"/>
      <c r="AB216" s="84"/>
      <c r="AC216" s="84"/>
      <c r="AD216" s="84"/>
      <c r="AE216" s="84"/>
      <c r="AF216" s="84"/>
      <c r="AG216" s="84"/>
      <c r="AH216" s="84"/>
      <c r="AI216" s="84"/>
    </row>
    <row r="217" ht="15.75" customHeight="1">
      <c r="A217" s="84"/>
      <c r="B217" s="84"/>
      <c r="C217" s="84"/>
      <c r="D217" s="84"/>
      <c r="E217" s="84"/>
      <c r="F217" s="261"/>
      <c r="G217" s="84"/>
      <c r="H217" s="262"/>
      <c r="I217" s="262"/>
      <c r="J217" s="262"/>
      <c r="K217" s="262"/>
      <c r="L217" s="262"/>
      <c r="M217" s="260"/>
      <c r="N217" s="260"/>
      <c r="O217" s="99"/>
      <c r="P217" s="99"/>
      <c r="Q217" s="99"/>
      <c r="R217" s="99"/>
      <c r="S217" s="99"/>
      <c r="T217" s="99"/>
      <c r="U217" s="99"/>
      <c r="V217" s="99"/>
      <c r="W217" s="99"/>
      <c r="X217" s="99"/>
      <c r="Y217" s="99"/>
      <c r="Z217" s="99"/>
      <c r="AB217" s="84"/>
      <c r="AC217" s="84"/>
      <c r="AD217" s="84"/>
      <c r="AE217" s="84"/>
      <c r="AF217" s="84"/>
      <c r="AG217" s="84"/>
      <c r="AH217" s="84"/>
      <c r="AI217" s="84"/>
    </row>
    <row r="218" ht="15.75" customHeight="1">
      <c r="A218" s="84"/>
      <c r="B218" s="84"/>
      <c r="C218" s="84"/>
      <c r="D218" s="84"/>
      <c r="E218" s="84"/>
      <c r="F218" s="261"/>
      <c r="G218" s="84"/>
      <c r="H218" s="262"/>
      <c r="I218" s="262"/>
      <c r="J218" s="262"/>
      <c r="K218" s="262"/>
      <c r="L218" s="262"/>
      <c r="M218" s="260"/>
      <c r="N218" s="260"/>
      <c r="O218" s="99"/>
      <c r="P218" s="99"/>
      <c r="Q218" s="99"/>
      <c r="R218" s="99"/>
      <c r="S218" s="99"/>
      <c r="T218" s="99"/>
      <c r="U218" s="99"/>
      <c r="V218" s="99"/>
      <c r="W218" s="99"/>
      <c r="X218" s="99"/>
      <c r="Y218" s="99"/>
      <c r="Z218" s="99"/>
      <c r="AB218" s="84"/>
      <c r="AC218" s="84"/>
      <c r="AD218" s="84"/>
      <c r="AE218" s="84"/>
      <c r="AF218" s="84"/>
      <c r="AG218" s="84"/>
      <c r="AH218" s="84"/>
      <c r="AI218" s="84"/>
    </row>
    <row r="219" ht="15.75" customHeight="1">
      <c r="A219" s="84"/>
      <c r="B219" s="84"/>
      <c r="C219" s="84"/>
      <c r="D219" s="84"/>
      <c r="E219" s="84"/>
      <c r="F219" s="261"/>
      <c r="G219" s="84"/>
      <c r="H219" s="262"/>
      <c r="I219" s="262"/>
      <c r="J219" s="262"/>
      <c r="K219" s="262"/>
      <c r="L219" s="262"/>
      <c r="M219" s="260"/>
      <c r="N219" s="260"/>
      <c r="O219" s="99"/>
      <c r="P219" s="99"/>
      <c r="Q219" s="99"/>
      <c r="R219" s="99"/>
      <c r="S219" s="99"/>
      <c r="T219" s="99"/>
      <c r="U219" s="99"/>
      <c r="V219" s="99"/>
      <c r="W219" s="99"/>
      <c r="X219" s="99"/>
      <c r="Y219" s="99"/>
      <c r="Z219" s="99"/>
      <c r="AB219" s="84"/>
      <c r="AC219" s="84"/>
      <c r="AD219" s="84"/>
      <c r="AE219" s="84"/>
      <c r="AF219" s="84"/>
      <c r="AG219" s="84"/>
      <c r="AH219" s="84"/>
      <c r="AI219" s="84"/>
    </row>
    <row r="220" ht="15.75" customHeight="1">
      <c r="A220" s="84"/>
      <c r="B220" s="84"/>
      <c r="C220" s="84"/>
      <c r="D220" s="84"/>
      <c r="E220" s="84"/>
      <c r="F220" s="261"/>
      <c r="G220" s="84"/>
      <c r="H220" s="262"/>
      <c r="I220" s="262"/>
      <c r="J220" s="262"/>
      <c r="K220" s="262"/>
      <c r="L220" s="262"/>
      <c r="M220" s="260"/>
      <c r="N220" s="260"/>
      <c r="O220" s="99"/>
      <c r="P220" s="99"/>
      <c r="Q220" s="99"/>
      <c r="R220" s="99"/>
      <c r="S220" s="99"/>
      <c r="T220" s="99"/>
      <c r="U220" s="99"/>
      <c r="V220" s="99"/>
      <c r="W220" s="99"/>
      <c r="X220" s="99"/>
      <c r="Y220" s="99"/>
      <c r="Z220" s="99"/>
      <c r="AB220" s="84"/>
      <c r="AC220" s="84"/>
      <c r="AD220" s="84"/>
      <c r="AE220" s="84"/>
      <c r="AF220" s="84"/>
      <c r="AG220" s="84"/>
      <c r="AH220" s="84"/>
      <c r="AI220" s="84"/>
    </row>
    <row r="221" ht="15.75" customHeight="1">
      <c r="A221" s="84"/>
      <c r="B221" s="84"/>
      <c r="C221" s="84"/>
      <c r="D221" s="84"/>
      <c r="E221" s="84"/>
      <c r="F221" s="261"/>
      <c r="G221" s="84"/>
      <c r="H221" s="262"/>
      <c r="I221" s="262"/>
      <c r="J221" s="262"/>
      <c r="K221" s="262"/>
      <c r="L221" s="262"/>
      <c r="M221" s="260"/>
      <c r="N221" s="260"/>
      <c r="O221" s="99"/>
      <c r="P221" s="99"/>
      <c r="Q221" s="99"/>
      <c r="R221" s="99"/>
      <c r="S221" s="99"/>
      <c r="T221" s="99"/>
      <c r="U221" s="99"/>
      <c r="V221" s="99"/>
      <c r="W221" s="99"/>
      <c r="X221" s="99"/>
      <c r="Y221" s="99"/>
      <c r="Z221" s="99"/>
      <c r="AB221" s="84"/>
      <c r="AC221" s="84"/>
      <c r="AD221" s="84"/>
      <c r="AE221" s="84"/>
      <c r="AF221" s="84"/>
      <c r="AG221" s="84"/>
      <c r="AH221" s="84"/>
      <c r="AI221" s="84"/>
    </row>
    <row r="222" ht="15.75" customHeight="1">
      <c r="A222" s="84"/>
      <c r="B222" s="84"/>
      <c r="C222" s="84"/>
      <c r="D222" s="84"/>
      <c r="E222" s="84"/>
      <c r="F222" s="261"/>
      <c r="G222" s="84"/>
      <c r="H222" s="262"/>
      <c r="I222" s="262"/>
      <c r="J222" s="262"/>
      <c r="K222" s="262"/>
      <c r="L222" s="262"/>
      <c r="M222" s="260"/>
      <c r="N222" s="260"/>
      <c r="O222" s="99"/>
      <c r="P222" s="99"/>
      <c r="Q222" s="99"/>
      <c r="R222" s="99"/>
      <c r="S222" s="99"/>
      <c r="T222" s="99"/>
      <c r="U222" s="99"/>
      <c r="V222" s="99"/>
      <c r="W222" s="99"/>
      <c r="X222" s="99"/>
      <c r="Y222" s="99"/>
      <c r="Z222" s="99"/>
      <c r="AB222" s="84"/>
      <c r="AC222" s="84"/>
      <c r="AD222" s="84"/>
      <c r="AE222" s="84"/>
      <c r="AF222" s="84"/>
      <c r="AG222" s="84"/>
      <c r="AH222" s="84"/>
      <c r="AI222" s="84"/>
    </row>
    <row r="223" ht="15.75" customHeight="1">
      <c r="A223" s="84"/>
      <c r="B223" s="84"/>
      <c r="C223" s="84"/>
      <c r="D223" s="84"/>
      <c r="E223" s="84"/>
      <c r="F223" s="261"/>
      <c r="G223" s="84"/>
      <c r="H223" s="262"/>
      <c r="I223" s="262"/>
      <c r="J223" s="262"/>
      <c r="K223" s="262"/>
      <c r="L223" s="262"/>
      <c r="M223" s="260"/>
      <c r="N223" s="260"/>
      <c r="O223" s="99"/>
      <c r="P223" s="99"/>
      <c r="Q223" s="99"/>
      <c r="R223" s="99"/>
      <c r="S223" s="99"/>
      <c r="T223" s="99"/>
      <c r="U223" s="99"/>
      <c r="V223" s="99"/>
      <c r="W223" s="99"/>
      <c r="X223" s="99"/>
      <c r="Y223" s="99"/>
      <c r="Z223" s="99"/>
      <c r="AB223" s="84"/>
      <c r="AC223" s="84"/>
      <c r="AD223" s="84"/>
      <c r="AE223" s="84"/>
      <c r="AF223" s="84"/>
      <c r="AG223" s="84"/>
      <c r="AH223" s="84"/>
      <c r="AI223" s="84"/>
    </row>
    <row r="224" ht="15.75" customHeight="1">
      <c r="A224" s="84"/>
      <c r="B224" s="84"/>
      <c r="C224" s="84"/>
      <c r="D224" s="84"/>
      <c r="E224" s="84"/>
      <c r="F224" s="261"/>
      <c r="G224" s="84"/>
      <c r="H224" s="262"/>
      <c r="I224" s="262"/>
      <c r="J224" s="262"/>
      <c r="K224" s="262"/>
      <c r="L224" s="262"/>
      <c r="M224" s="260"/>
      <c r="N224" s="260"/>
      <c r="O224" s="99"/>
      <c r="P224" s="99"/>
      <c r="Q224" s="99"/>
      <c r="R224" s="99"/>
      <c r="S224" s="99"/>
      <c r="T224" s="99"/>
      <c r="U224" s="99"/>
      <c r="V224" s="99"/>
      <c r="W224" s="99"/>
      <c r="X224" s="99"/>
      <c r="Y224" s="99"/>
      <c r="Z224" s="99"/>
      <c r="AB224" s="84"/>
      <c r="AC224" s="84"/>
      <c r="AD224" s="84"/>
      <c r="AE224" s="84"/>
      <c r="AF224" s="84"/>
      <c r="AG224" s="84"/>
      <c r="AH224" s="84"/>
      <c r="AI224" s="84"/>
    </row>
    <row r="225" ht="15.75" customHeight="1">
      <c r="A225" s="84"/>
      <c r="B225" s="84"/>
      <c r="C225" s="84"/>
      <c r="D225" s="84"/>
      <c r="E225" s="84"/>
      <c r="F225" s="261"/>
      <c r="G225" s="84"/>
      <c r="H225" s="262"/>
      <c r="I225" s="262"/>
      <c r="J225" s="262"/>
      <c r="K225" s="262"/>
      <c r="L225" s="262"/>
      <c r="M225" s="260"/>
      <c r="N225" s="260"/>
      <c r="O225" s="99"/>
      <c r="P225" s="99"/>
      <c r="Q225" s="99"/>
      <c r="R225" s="99"/>
      <c r="S225" s="99"/>
      <c r="T225" s="99"/>
      <c r="U225" s="99"/>
      <c r="V225" s="99"/>
      <c r="W225" s="99"/>
      <c r="X225" s="99"/>
      <c r="Y225" s="99"/>
      <c r="Z225" s="99"/>
      <c r="AB225" s="84"/>
      <c r="AC225" s="84"/>
      <c r="AD225" s="84"/>
      <c r="AE225" s="84"/>
      <c r="AF225" s="84"/>
      <c r="AG225" s="84"/>
      <c r="AH225" s="84"/>
      <c r="AI225" s="84"/>
    </row>
    <row r="226" ht="15.75" customHeight="1">
      <c r="A226" s="84"/>
      <c r="B226" s="84"/>
      <c r="C226" s="84"/>
      <c r="D226" s="84"/>
      <c r="E226" s="84"/>
      <c r="F226" s="261"/>
      <c r="G226" s="84"/>
      <c r="H226" s="262"/>
      <c r="I226" s="262"/>
      <c r="J226" s="262"/>
      <c r="K226" s="262"/>
      <c r="L226" s="262"/>
      <c r="M226" s="260"/>
      <c r="N226" s="260"/>
      <c r="O226" s="99"/>
      <c r="P226" s="99"/>
      <c r="Q226" s="99"/>
      <c r="R226" s="99"/>
      <c r="S226" s="99"/>
      <c r="T226" s="99"/>
      <c r="U226" s="99"/>
      <c r="V226" s="99"/>
      <c r="W226" s="99"/>
      <c r="X226" s="99"/>
      <c r="Y226" s="99"/>
      <c r="Z226" s="99"/>
      <c r="AB226" s="84"/>
      <c r="AC226" s="84"/>
      <c r="AD226" s="84"/>
      <c r="AE226" s="84"/>
      <c r="AF226" s="84"/>
      <c r="AG226" s="84"/>
      <c r="AH226" s="84"/>
      <c r="AI226" s="84"/>
    </row>
    <row r="227" ht="15.75" customHeight="1">
      <c r="A227" s="84"/>
      <c r="B227" s="84"/>
      <c r="C227" s="84"/>
      <c r="D227" s="84"/>
      <c r="E227" s="84"/>
      <c r="F227" s="261"/>
      <c r="G227" s="84"/>
      <c r="H227" s="262"/>
      <c r="I227" s="262"/>
      <c r="J227" s="262"/>
      <c r="K227" s="262"/>
      <c r="L227" s="262"/>
      <c r="M227" s="260"/>
      <c r="N227" s="260"/>
      <c r="O227" s="99"/>
      <c r="P227" s="99"/>
      <c r="Q227" s="99"/>
      <c r="R227" s="99"/>
      <c r="S227" s="99"/>
      <c r="T227" s="99"/>
      <c r="U227" s="99"/>
      <c r="V227" s="99"/>
      <c r="W227" s="99"/>
      <c r="X227" s="99"/>
      <c r="Y227" s="99"/>
      <c r="Z227" s="99"/>
      <c r="AB227" s="84"/>
      <c r="AC227" s="84"/>
      <c r="AD227" s="84"/>
      <c r="AE227" s="84"/>
      <c r="AF227" s="84"/>
      <c r="AG227" s="84"/>
      <c r="AH227" s="84"/>
      <c r="AI227" s="84"/>
    </row>
    <row r="228" ht="15.75" customHeight="1">
      <c r="A228" s="84"/>
      <c r="B228" s="84"/>
      <c r="C228" s="84"/>
      <c r="D228" s="84"/>
      <c r="E228" s="84"/>
      <c r="F228" s="261"/>
      <c r="G228" s="84"/>
      <c r="H228" s="262"/>
      <c r="I228" s="262"/>
      <c r="J228" s="262"/>
      <c r="K228" s="262"/>
      <c r="L228" s="262"/>
      <c r="M228" s="260"/>
      <c r="N228" s="260"/>
      <c r="O228" s="99"/>
      <c r="P228" s="99"/>
      <c r="Q228" s="99"/>
      <c r="R228" s="99"/>
      <c r="S228" s="99"/>
      <c r="T228" s="99"/>
      <c r="U228" s="99"/>
      <c r="V228" s="99"/>
      <c r="W228" s="99"/>
      <c r="X228" s="99"/>
      <c r="Y228" s="99"/>
      <c r="Z228" s="99"/>
      <c r="AB228" s="84"/>
      <c r="AC228" s="84"/>
      <c r="AD228" s="84"/>
      <c r="AE228" s="84"/>
      <c r="AF228" s="84"/>
      <c r="AG228" s="84"/>
      <c r="AH228" s="84"/>
      <c r="AI228" s="84"/>
    </row>
    <row r="229" ht="15.75" customHeight="1">
      <c r="A229" s="84"/>
      <c r="B229" s="84"/>
      <c r="C229" s="84"/>
      <c r="D229" s="84"/>
      <c r="E229" s="84"/>
      <c r="F229" s="261"/>
      <c r="G229" s="84"/>
      <c r="H229" s="262"/>
      <c r="I229" s="262"/>
      <c r="J229" s="262"/>
      <c r="K229" s="262"/>
      <c r="L229" s="262"/>
      <c r="M229" s="260"/>
      <c r="N229" s="260"/>
      <c r="O229" s="99"/>
      <c r="P229" s="99"/>
      <c r="Q229" s="99"/>
      <c r="R229" s="99"/>
      <c r="S229" s="99"/>
      <c r="T229" s="99"/>
      <c r="U229" s="99"/>
      <c r="V229" s="99"/>
      <c r="W229" s="99"/>
      <c r="X229" s="99"/>
      <c r="Y229" s="99"/>
      <c r="Z229" s="99"/>
      <c r="AB229" s="84"/>
      <c r="AC229" s="84"/>
      <c r="AD229" s="84"/>
      <c r="AE229" s="84"/>
      <c r="AF229" s="84"/>
      <c r="AG229" s="84"/>
      <c r="AH229" s="84"/>
      <c r="AI229" s="84"/>
    </row>
    <row r="230" ht="15.75" customHeight="1">
      <c r="A230" s="84"/>
      <c r="B230" s="84"/>
      <c r="C230" s="84"/>
      <c r="D230" s="84"/>
      <c r="E230" s="84"/>
      <c r="F230" s="261"/>
      <c r="G230" s="84"/>
      <c r="H230" s="262"/>
      <c r="I230" s="262"/>
      <c r="J230" s="262"/>
      <c r="K230" s="262"/>
      <c r="L230" s="262"/>
      <c r="M230" s="260"/>
      <c r="N230" s="260"/>
      <c r="O230" s="99"/>
      <c r="P230" s="99"/>
      <c r="Q230" s="99"/>
      <c r="R230" s="99"/>
      <c r="S230" s="99"/>
      <c r="T230" s="99"/>
      <c r="U230" s="99"/>
      <c r="V230" s="99"/>
      <c r="W230" s="99"/>
      <c r="X230" s="99"/>
      <c r="Y230" s="99"/>
      <c r="Z230" s="99"/>
      <c r="AB230" s="84"/>
      <c r="AC230" s="84"/>
      <c r="AD230" s="84"/>
      <c r="AE230" s="84"/>
      <c r="AF230" s="84"/>
      <c r="AG230" s="84"/>
      <c r="AH230" s="84"/>
      <c r="AI230" s="84"/>
    </row>
    <row r="231" ht="15.75" customHeight="1">
      <c r="A231" s="84"/>
      <c r="B231" s="84"/>
      <c r="C231" s="84"/>
      <c r="D231" s="84"/>
      <c r="E231" s="84"/>
      <c r="F231" s="261"/>
      <c r="G231" s="84"/>
      <c r="H231" s="262"/>
      <c r="I231" s="262"/>
      <c r="J231" s="262"/>
      <c r="K231" s="262"/>
      <c r="L231" s="262"/>
      <c r="M231" s="260"/>
      <c r="N231" s="260"/>
      <c r="O231" s="99"/>
      <c r="P231" s="99"/>
      <c r="Q231" s="99"/>
      <c r="R231" s="99"/>
      <c r="S231" s="99"/>
      <c r="T231" s="99"/>
      <c r="U231" s="99"/>
      <c r="V231" s="99"/>
      <c r="W231" s="99"/>
      <c r="X231" s="99"/>
      <c r="Y231" s="99"/>
      <c r="Z231" s="99"/>
      <c r="AB231" s="84"/>
      <c r="AC231" s="84"/>
      <c r="AD231" s="84"/>
      <c r="AE231" s="84"/>
      <c r="AF231" s="84"/>
      <c r="AG231" s="84"/>
      <c r="AH231" s="84"/>
      <c r="AI231" s="84"/>
    </row>
    <row r="232" ht="15.75" customHeight="1">
      <c r="A232" s="84"/>
      <c r="B232" s="84"/>
      <c r="C232" s="84"/>
      <c r="D232" s="84"/>
      <c r="E232" s="84"/>
      <c r="F232" s="261"/>
      <c r="G232" s="84"/>
      <c r="H232" s="262"/>
      <c r="I232" s="262"/>
      <c r="J232" s="262"/>
      <c r="K232" s="262"/>
      <c r="L232" s="262"/>
      <c r="M232" s="260"/>
      <c r="N232" s="260"/>
      <c r="O232" s="99"/>
      <c r="P232" s="99"/>
      <c r="Q232" s="99"/>
      <c r="R232" s="99"/>
      <c r="S232" s="99"/>
      <c r="T232" s="99"/>
      <c r="U232" s="99"/>
      <c r="V232" s="99"/>
      <c r="W232" s="99"/>
      <c r="X232" s="99"/>
      <c r="Y232" s="99"/>
      <c r="Z232" s="99"/>
      <c r="AB232" s="84"/>
      <c r="AC232" s="84"/>
      <c r="AD232" s="84"/>
      <c r="AE232" s="84"/>
      <c r="AF232" s="84"/>
      <c r="AG232" s="84"/>
      <c r="AH232" s="84"/>
      <c r="AI232" s="84"/>
    </row>
    <row r="233" ht="15.75" customHeight="1">
      <c r="A233" s="84"/>
      <c r="B233" s="84"/>
      <c r="C233" s="84"/>
      <c r="D233" s="84"/>
      <c r="E233" s="84"/>
      <c r="F233" s="261"/>
      <c r="G233" s="84"/>
      <c r="H233" s="262"/>
      <c r="I233" s="262"/>
      <c r="J233" s="262"/>
      <c r="K233" s="262"/>
      <c r="L233" s="262"/>
      <c r="M233" s="260"/>
      <c r="N233" s="260"/>
      <c r="O233" s="99"/>
      <c r="P233" s="99"/>
      <c r="Q233" s="99"/>
      <c r="R233" s="99"/>
      <c r="S233" s="99"/>
      <c r="T233" s="99"/>
      <c r="U233" s="99"/>
      <c r="V233" s="99"/>
      <c r="W233" s="99"/>
      <c r="X233" s="99"/>
      <c r="Y233" s="99"/>
      <c r="Z233" s="99"/>
      <c r="AB233" s="84"/>
      <c r="AC233" s="84"/>
      <c r="AD233" s="84"/>
      <c r="AE233" s="84"/>
      <c r="AF233" s="84"/>
      <c r="AG233" s="84"/>
      <c r="AH233" s="84"/>
      <c r="AI233" s="84"/>
    </row>
    <row r="234" ht="15.75" customHeight="1">
      <c r="A234" s="84"/>
      <c r="B234" s="84"/>
      <c r="C234" s="84"/>
      <c r="D234" s="84"/>
      <c r="E234" s="84"/>
      <c r="F234" s="261"/>
      <c r="G234" s="84"/>
      <c r="H234" s="262"/>
      <c r="I234" s="262"/>
      <c r="J234" s="262"/>
      <c r="K234" s="262"/>
      <c r="L234" s="262"/>
      <c r="M234" s="260"/>
      <c r="N234" s="260"/>
      <c r="O234" s="99"/>
      <c r="P234" s="99"/>
      <c r="Q234" s="99"/>
      <c r="R234" s="99"/>
      <c r="S234" s="99"/>
      <c r="T234" s="99"/>
      <c r="U234" s="99"/>
      <c r="V234" s="99"/>
      <c r="W234" s="99"/>
      <c r="X234" s="99"/>
      <c r="Y234" s="99"/>
      <c r="Z234" s="99"/>
      <c r="AB234" s="84"/>
      <c r="AC234" s="84"/>
      <c r="AD234" s="84"/>
      <c r="AE234" s="84"/>
      <c r="AF234" s="84"/>
      <c r="AG234" s="84"/>
      <c r="AH234" s="84"/>
      <c r="AI234" s="84"/>
    </row>
    <row r="235" ht="15.75" customHeight="1">
      <c r="A235" s="84"/>
      <c r="B235" s="84"/>
      <c r="C235" s="84"/>
      <c r="D235" s="84"/>
      <c r="E235" s="84"/>
      <c r="F235" s="261"/>
      <c r="G235" s="84"/>
      <c r="H235" s="262"/>
      <c r="I235" s="262"/>
      <c r="J235" s="262"/>
      <c r="K235" s="262"/>
      <c r="L235" s="262"/>
      <c r="M235" s="260"/>
      <c r="N235" s="260"/>
      <c r="O235" s="99"/>
      <c r="P235" s="99"/>
      <c r="Q235" s="99"/>
      <c r="R235" s="99"/>
      <c r="S235" s="99"/>
      <c r="T235" s="99"/>
      <c r="U235" s="99"/>
      <c r="V235" s="99"/>
      <c r="W235" s="99"/>
      <c r="X235" s="99"/>
      <c r="Y235" s="99"/>
      <c r="Z235" s="99"/>
      <c r="AB235" s="84"/>
      <c r="AC235" s="84"/>
      <c r="AD235" s="84"/>
      <c r="AE235" s="84"/>
      <c r="AF235" s="84"/>
      <c r="AG235" s="84"/>
      <c r="AH235" s="84"/>
      <c r="AI235" s="84"/>
    </row>
    <row r="236" ht="15.75" customHeight="1">
      <c r="A236" s="84"/>
      <c r="B236" s="84"/>
      <c r="C236" s="84"/>
      <c r="D236" s="84"/>
      <c r="E236" s="84"/>
      <c r="F236" s="261"/>
      <c r="G236" s="84"/>
      <c r="H236" s="262"/>
      <c r="I236" s="262"/>
      <c r="J236" s="262"/>
      <c r="K236" s="262"/>
      <c r="L236" s="262"/>
      <c r="M236" s="260"/>
      <c r="N236" s="260"/>
      <c r="O236" s="99"/>
      <c r="P236" s="99"/>
      <c r="Q236" s="99"/>
      <c r="R236" s="99"/>
      <c r="S236" s="99"/>
      <c r="T236" s="99"/>
      <c r="U236" s="99"/>
      <c r="V236" s="99"/>
      <c r="W236" s="99"/>
      <c r="X236" s="99"/>
      <c r="Y236" s="99"/>
      <c r="Z236" s="99"/>
      <c r="AB236" s="84"/>
      <c r="AC236" s="84"/>
      <c r="AD236" s="84"/>
      <c r="AE236" s="84"/>
      <c r="AF236" s="84"/>
      <c r="AG236" s="84"/>
      <c r="AH236" s="84"/>
      <c r="AI236" s="84"/>
    </row>
    <row r="237" ht="15.75" customHeight="1">
      <c r="A237" s="84"/>
      <c r="B237" s="84"/>
      <c r="C237" s="84"/>
      <c r="D237" s="84"/>
      <c r="E237" s="84"/>
      <c r="F237" s="261"/>
      <c r="G237" s="84"/>
      <c r="H237" s="262"/>
      <c r="I237" s="262"/>
      <c r="J237" s="262"/>
      <c r="K237" s="262"/>
      <c r="L237" s="262"/>
      <c r="M237" s="260"/>
      <c r="N237" s="260"/>
      <c r="O237" s="99"/>
      <c r="P237" s="99"/>
      <c r="Q237" s="99"/>
      <c r="R237" s="99"/>
      <c r="S237" s="99"/>
      <c r="T237" s="99"/>
      <c r="U237" s="99"/>
      <c r="V237" s="99"/>
      <c r="W237" s="99"/>
      <c r="X237" s="99"/>
      <c r="Y237" s="99"/>
      <c r="Z237" s="99"/>
      <c r="AB237" s="84"/>
      <c r="AC237" s="84"/>
      <c r="AD237" s="84"/>
      <c r="AE237" s="84"/>
      <c r="AF237" s="84"/>
      <c r="AG237" s="84"/>
      <c r="AH237" s="84"/>
      <c r="AI237" s="84"/>
    </row>
    <row r="238" ht="15.75" customHeight="1">
      <c r="A238" s="84"/>
      <c r="B238" s="84"/>
      <c r="C238" s="84"/>
      <c r="D238" s="84"/>
      <c r="E238" s="84"/>
      <c r="F238" s="261"/>
      <c r="G238" s="84"/>
      <c r="H238" s="262"/>
      <c r="I238" s="262"/>
      <c r="J238" s="262"/>
      <c r="K238" s="262"/>
      <c r="L238" s="262"/>
      <c r="M238" s="260"/>
      <c r="N238" s="260"/>
      <c r="O238" s="99"/>
      <c r="P238" s="99"/>
      <c r="Q238" s="99"/>
      <c r="R238" s="99"/>
      <c r="S238" s="99"/>
      <c r="T238" s="99"/>
      <c r="U238" s="99"/>
      <c r="V238" s="99"/>
      <c r="W238" s="99"/>
      <c r="X238" s="99"/>
      <c r="Y238" s="99"/>
      <c r="Z238" s="99"/>
      <c r="AB238" s="84"/>
      <c r="AC238" s="84"/>
      <c r="AD238" s="84"/>
      <c r="AE238" s="84"/>
      <c r="AF238" s="84"/>
      <c r="AG238" s="84"/>
      <c r="AH238" s="84"/>
      <c r="AI238" s="84"/>
    </row>
    <row r="239" ht="15.75" customHeight="1">
      <c r="A239" s="84"/>
      <c r="B239" s="84"/>
      <c r="C239" s="84"/>
      <c r="D239" s="84"/>
      <c r="E239" s="84"/>
      <c r="F239" s="261"/>
      <c r="G239" s="84"/>
      <c r="H239" s="262"/>
      <c r="I239" s="262"/>
      <c r="J239" s="262"/>
      <c r="K239" s="262"/>
      <c r="L239" s="262"/>
      <c r="M239" s="260"/>
      <c r="N239" s="260"/>
      <c r="O239" s="99"/>
      <c r="P239" s="99"/>
      <c r="Q239" s="99"/>
      <c r="R239" s="99"/>
      <c r="S239" s="99"/>
      <c r="T239" s="99"/>
      <c r="U239" s="99"/>
      <c r="V239" s="99"/>
      <c r="W239" s="99"/>
      <c r="X239" s="99"/>
      <c r="Y239" s="99"/>
      <c r="Z239" s="99"/>
      <c r="AB239" s="84"/>
      <c r="AC239" s="84"/>
      <c r="AD239" s="84"/>
      <c r="AE239" s="84"/>
      <c r="AF239" s="84"/>
      <c r="AG239" s="84"/>
      <c r="AH239" s="84"/>
      <c r="AI239" s="84"/>
    </row>
    <row r="240" ht="15.75" customHeight="1">
      <c r="A240" s="84"/>
      <c r="B240" s="84"/>
      <c r="C240" s="84"/>
      <c r="D240" s="84"/>
      <c r="E240" s="84"/>
      <c r="F240" s="261"/>
      <c r="G240" s="84"/>
      <c r="H240" s="262"/>
      <c r="I240" s="262"/>
      <c r="J240" s="262"/>
      <c r="K240" s="262"/>
      <c r="L240" s="262"/>
      <c r="M240" s="260"/>
      <c r="N240" s="260"/>
      <c r="O240" s="99"/>
      <c r="P240" s="99"/>
      <c r="Q240" s="99"/>
      <c r="R240" s="99"/>
      <c r="S240" s="99"/>
      <c r="T240" s="99"/>
      <c r="U240" s="99"/>
      <c r="V240" s="99"/>
      <c r="W240" s="99"/>
      <c r="X240" s="99"/>
      <c r="Y240" s="99"/>
      <c r="Z240" s="99"/>
      <c r="AB240" s="84"/>
      <c r="AC240" s="84"/>
      <c r="AD240" s="84"/>
      <c r="AE240" s="84"/>
      <c r="AF240" s="84"/>
      <c r="AG240" s="84"/>
      <c r="AH240" s="84"/>
      <c r="AI240" s="84"/>
    </row>
    <row r="241" ht="15.75" customHeight="1">
      <c r="A241" s="84"/>
      <c r="B241" s="84"/>
      <c r="C241" s="84"/>
      <c r="D241" s="84"/>
      <c r="E241" s="84"/>
      <c r="F241" s="261"/>
      <c r="G241" s="84"/>
      <c r="H241" s="262"/>
      <c r="I241" s="262"/>
      <c r="J241" s="262"/>
      <c r="K241" s="262"/>
      <c r="L241" s="262"/>
      <c r="M241" s="260"/>
      <c r="N241" s="260"/>
      <c r="O241" s="99"/>
      <c r="P241" s="99"/>
      <c r="Q241" s="99"/>
      <c r="R241" s="99"/>
      <c r="S241" s="99"/>
      <c r="T241" s="99"/>
      <c r="U241" s="99"/>
      <c r="V241" s="99"/>
      <c r="W241" s="99"/>
      <c r="X241" s="99"/>
      <c r="Y241" s="99"/>
      <c r="Z241" s="99"/>
      <c r="AB241" s="84"/>
      <c r="AC241" s="84"/>
      <c r="AD241" s="84"/>
      <c r="AE241" s="84"/>
      <c r="AF241" s="84"/>
      <c r="AG241" s="84"/>
      <c r="AH241" s="84"/>
      <c r="AI241" s="84"/>
    </row>
    <row r="242" ht="15.75" customHeight="1">
      <c r="A242" s="84"/>
      <c r="B242" s="84"/>
      <c r="C242" s="84"/>
      <c r="D242" s="84"/>
      <c r="E242" s="84"/>
      <c r="F242" s="261"/>
      <c r="G242" s="84"/>
      <c r="H242" s="262"/>
      <c r="I242" s="262"/>
      <c r="J242" s="262"/>
      <c r="K242" s="262"/>
      <c r="L242" s="262"/>
      <c r="M242" s="260"/>
      <c r="N242" s="260"/>
      <c r="O242" s="99"/>
      <c r="P242" s="99"/>
      <c r="Q242" s="99"/>
      <c r="R242" s="99"/>
      <c r="S242" s="99"/>
      <c r="T242" s="99"/>
      <c r="U242" s="99"/>
      <c r="V242" s="99"/>
      <c r="W242" s="99"/>
      <c r="X242" s="99"/>
      <c r="Y242" s="99"/>
      <c r="Z242" s="99"/>
      <c r="AB242" s="84"/>
      <c r="AC242" s="84"/>
      <c r="AD242" s="84"/>
      <c r="AE242" s="84"/>
      <c r="AF242" s="84"/>
      <c r="AG242" s="84"/>
      <c r="AH242" s="84"/>
      <c r="AI242" s="84"/>
    </row>
    <row r="243" ht="15.75" customHeight="1">
      <c r="A243" s="84"/>
      <c r="B243" s="84"/>
      <c r="C243" s="84"/>
      <c r="D243" s="84"/>
      <c r="E243" s="84"/>
      <c r="F243" s="261"/>
      <c r="G243" s="84"/>
      <c r="H243" s="262"/>
      <c r="I243" s="262"/>
      <c r="J243" s="262"/>
      <c r="K243" s="262"/>
      <c r="L243" s="262"/>
      <c r="M243" s="260"/>
      <c r="N243" s="260"/>
      <c r="O243" s="99"/>
      <c r="P243" s="99"/>
      <c r="Q243" s="99"/>
      <c r="R243" s="99"/>
      <c r="S243" s="99"/>
      <c r="T243" s="99"/>
      <c r="U243" s="99"/>
      <c r="V243" s="99"/>
      <c r="W243" s="99"/>
      <c r="X243" s="99"/>
      <c r="Y243" s="99"/>
      <c r="Z243" s="99"/>
      <c r="AB243" s="84"/>
      <c r="AC243" s="84"/>
      <c r="AD243" s="84"/>
      <c r="AE243" s="84"/>
      <c r="AF243" s="84"/>
      <c r="AG243" s="84"/>
      <c r="AH243" s="84"/>
      <c r="AI243" s="84"/>
    </row>
    <row r="244" ht="15.75" customHeight="1">
      <c r="A244" s="84"/>
      <c r="B244" s="84"/>
      <c r="C244" s="84"/>
      <c r="D244" s="84"/>
      <c r="E244" s="84"/>
      <c r="F244" s="261"/>
      <c r="G244" s="84"/>
      <c r="H244" s="262"/>
      <c r="I244" s="262"/>
      <c r="J244" s="262"/>
      <c r="K244" s="262"/>
      <c r="L244" s="262"/>
      <c r="M244" s="260"/>
      <c r="N244" s="260"/>
      <c r="O244" s="99"/>
      <c r="P244" s="99"/>
      <c r="Q244" s="99"/>
      <c r="R244" s="99"/>
      <c r="S244" s="99"/>
      <c r="T244" s="99"/>
      <c r="U244" s="99"/>
      <c r="V244" s="99"/>
      <c r="W244" s="99"/>
      <c r="X244" s="99"/>
      <c r="Y244" s="99"/>
      <c r="Z244" s="99"/>
      <c r="AB244" s="84"/>
      <c r="AC244" s="84"/>
      <c r="AD244" s="84"/>
      <c r="AE244" s="84"/>
      <c r="AF244" s="84"/>
      <c r="AG244" s="84"/>
      <c r="AH244" s="84"/>
      <c r="AI244" s="84"/>
    </row>
    <row r="245" ht="15.75" customHeight="1">
      <c r="A245" s="84"/>
      <c r="B245" s="84"/>
      <c r="C245" s="84"/>
      <c r="D245" s="84"/>
      <c r="E245" s="84"/>
      <c r="F245" s="261"/>
      <c r="G245" s="84"/>
      <c r="H245" s="262"/>
      <c r="I245" s="262"/>
      <c r="J245" s="262"/>
      <c r="K245" s="262"/>
      <c r="L245" s="262"/>
      <c r="M245" s="260"/>
      <c r="N245" s="260"/>
      <c r="O245" s="99"/>
      <c r="P245" s="99"/>
      <c r="Q245" s="99"/>
      <c r="R245" s="99"/>
      <c r="S245" s="99"/>
      <c r="T245" s="99"/>
      <c r="U245" s="99"/>
      <c r="V245" s="99"/>
      <c r="W245" s="99"/>
      <c r="X245" s="99"/>
      <c r="Y245" s="99"/>
      <c r="Z245" s="99"/>
      <c r="AB245" s="84"/>
      <c r="AC245" s="84"/>
      <c r="AD245" s="84"/>
      <c r="AE245" s="84"/>
      <c r="AF245" s="84"/>
      <c r="AG245" s="84"/>
      <c r="AH245" s="84"/>
      <c r="AI245" s="84"/>
    </row>
    <row r="246" ht="15.75" customHeight="1">
      <c r="A246" s="84"/>
      <c r="B246" s="84"/>
      <c r="C246" s="84"/>
      <c r="D246" s="84"/>
      <c r="E246" s="84"/>
      <c r="F246" s="261"/>
      <c r="G246" s="84"/>
      <c r="H246" s="262"/>
      <c r="I246" s="262"/>
      <c r="J246" s="262"/>
      <c r="K246" s="262"/>
      <c r="L246" s="262"/>
      <c r="M246" s="260"/>
      <c r="N246" s="260"/>
      <c r="O246" s="99"/>
      <c r="P246" s="99"/>
      <c r="Q246" s="99"/>
      <c r="R246" s="99"/>
      <c r="S246" s="99"/>
      <c r="T246" s="99"/>
      <c r="U246" s="99"/>
      <c r="V246" s="99"/>
      <c r="W246" s="99"/>
      <c r="X246" s="99"/>
      <c r="Y246" s="99"/>
      <c r="Z246" s="99"/>
      <c r="AB246" s="84"/>
      <c r="AC246" s="84"/>
      <c r="AD246" s="84"/>
      <c r="AE246" s="84"/>
      <c r="AF246" s="84"/>
      <c r="AG246" s="84"/>
      <c r="AH246" s="84"/>
      <c r="AI246" s="84"/>
    </row>
    <row r="247" ht="15.75" customHeight="1">
      <c r="A247" s="84"/>
      <c r="B247" s="84"/>
      <c r="C247" s="84"/>
      <c r="D247" s="84"/>
      <c r="E247" s="84"/>
      <c r="F247" s="261"/>
      <c r="G247" s="84"/>
      <c r="H247" s="262"/>
      <c r="I247" s="262"/>
      <c r="J247" s="262"/>
      <c r="K247" s="262"/>
      <c r="L247" s="262"/>
      <c r="M247" s="260"/>
      <c r="N247" s="260"/>
      <c r="O247" s="99"/>
      <c r="P247" s="99"/>
      <c r="Q247" s="99"/>
      <c r="R247" s="99"/>
      <c r="S247" s="99"/>
      <c r="T247" s="99"/>
      <c r="U247" s="99"/>
      <c r="V247" s="99"/>
      <c r="W247" s="99"/>
      <c r="X247" s="99"/>
      <c r="Y247" s="99"/>
      <c r="Z247" s="99"/>
      <c r="AB247" s="84"/>
      <c r="AC247" s="84"/>
      <c r="AD247" s="84"/>
      <c r="AE247" s="84"/>
      <c r="AF247" s="84"/>
      <c r="AG247" s="84"/>
      <c r="AH247" s="84"/>
      <c r="AI247" s="84"/>
    </row>
    <row r="248" ht="15.75" customHeight="1">
      <c r="A248" s="84"/>
      <c r="B248" s="84"/>
      <c r="C248" s="84"/>
      <c r="D248" s="84"/>
      <c r="E248" s="84"/>
      <c r="F248" s="261"/>
      <c r="G248" s="84"/>
      <c r="H248" s="262"/>
      <c r="I248" s="262"/>
      <c r="J248" s="262"/>
      <c r="K248" s="262"/>
      <c r="L248" s="262"/>
      <c r="M248" s="260"/>
      <c r="N248" s="260"/>
      <c r="O248" s="99"/>
      <c r="P248" s="99"/>
      <c r="Q248" s="99"/>
      <c r="R248" s="99"/>
      <c r="S248" s="99"/>
      <c r="T248" s="99"/>
      <c r="U248" s="99"/>
      <c r="V248" s="99"/>
      <c r="W248" s="99"/>
      <c r="X248" s="99"/>
      <c r="Y248" s="99"/>
      <c r="Z248" s="99"/>
      <c r="AB248" s="84"/>
      <c r="AC248" s="84"/>
      <c r="AD248" s="84"/>
      <c r="AE248" s="84"/>
      <c r="AF248" s="84"/>
      <c r="AG248" s="84"/>
      <c r="AH248" s="84"/>
      <c r="AI248" s="84"/>
    </row>
    <row r="249" ht="15.75" customHeight="1">
      <c r="A249" s="84"/>
      <c r="B249" s="84"/>
      <c r="C249" s="84"/>
      <c r="D249" s="84"/>
      <c r="E249" s="84"/>
      <c r="F249" s="261"/>
      <c r="G249" s="84"/>
      <c r="H249" s="262"/>
      <c r="I249" s="262"/>
      <c r="J249" s="262"/>
      <c r="K249" s="262"/>
      <c r="L249" s="262"/>
      <c r="M249" s="260"/>
      <c r="N249" s="260"/>
      <c r="O249" s="99"/>
      <c r="P249" s="99"/>
      <c r="Q249" s="99"/>
      <c r="R249" s="99"/>
      <c r="S249" s="99"/>
      <c r="T249" s="99"/>
      <c r="U249" s="99"/>
      <c r="V249" s="99"/>
      <c r="W249" s="99"/>
      <c r="X249" s="99"/>
      <c r="Y249" s="99"/>
      <c r="Z249" s="99"/>
      <c r="AB249" s="84"/>
      <c r="AC249" s="84"/>
      <c r="AD249" s="84"/>
      <c r="AE249" s="84"/>
      <c r="AF249" s="84"/>
      <c r="AG249" s="84"/>
      <c r="AH249" s="84"/>
      <c r="AI249" s="84"/>
    </row>
    <row r="250" ht="15.75" customHeight="1">
      <c r="A250" s="84"/>
      <c r="B250" s="84"/>
      <c r="C250" s="84"/>
      <c r="D250" s="84"/>
      <c r="E250" s="84"/>
      <c r="F250" s="261"/>
      <c r="G250" s="84"/>
      <c r="H250" s="262"/>
      <c r="I250" s="262"/>
      <c r="J250" s="262"/>
      <c r="K250" s="262"/>
      <c r="L250" s="262"/>
      <c r="M250" s="260"/>
      <c r="N250" s="260"/>
      <c r="O250" s="99"/>
      <c r="P250" s="99"/>
      <c r="Q250" s="99"/>
      <c r="R250" s="99"/>
      <c r="S250" s="99"/>
      <c r="T250" s="99"/>
      <c r="U250" s="99"/>
      <c r="V250" s="99"/>
      <c r="W250" s="99"/>
      <c r="X250" s="99"/>
      <c r="Y250" s="99"/>
      <c r="Z250" s="99"/>
      <c r="AB250" s="84"/>
      <c r="AC250" s="84"/>
      <c r="AD250" s="84"/>
      <c r="AE250" s="84"/>
      <c r="AF250" s="84"/>
      <c r="AG250" s="84"/>
      <c r="AH250" s="84"/>
      <c r="AI250" s="84"/>
    </row>
    <row r="251" ht="15.75" customHeight="1">
      <c r="A251" s="84"/>
      <c r="B251" s="84"/>
      <c r="C251" s="84"/>
      <c r="D251" s="84"/>
      <c r="E251" s="84"/>
      <c r="F251" s="261"/>
      <c r="G251" s="84"/>
      <c r="H251" s="262"/>
      <c r="I251" s="262"/>
      <c r="J251" s="262"/>
      <c r="K251" s="262"/>
      <c r="L251" s="262"/>
      <c r="M251" s="260"/>
      <c r="N251" s="260"/>
      <c r="O251" s="99"/>
      <c r="P251" s="99"/>
      <c r="Q251" s="99"/>
      <c r="R251" s="99"/>
      <c r="S251" s="99"/>
      <c r="T251" s="99"/>
      <c r="U251" s="99"/>
      <c r="V251" s="99"/>
      <c r="W251" s="99"/>
      <c r="X251" s="99"/>
      <c r="Y251" s="99"/>
      <c r="Z251" s="99"/>
      <c r="AB251" s="84"/>
      <c r="AC251" s="84"/>
      <c r="AD251" s="84"/>
      <c r="AE251" s="84"/>
      <c r="AF251" s="84"/>
      <c r="AG251" s="84"/>
      <c r="AH251" s="84"/>
      <c r="AI251" s="84"/>
    </row>
    <row r="252" ht="15.75" customHeight="1">
      <c r="A252" s="84"/>
      <c r="B252" s="84"/>
      <c r="C252" s="84"/>
      <c r="D252" s="84"/>
      <c r="E252" s="84"/>
      <c r="F252" s="261"/>
      <c r="G252" s="84"/>
      <c r="H252" s="262"/>
      <c r="I252" s="262"/>
      <c r="J252" s="262"/>
      <c r="K252" s="262"/>
      <c r="L252" s="262"/>
      <c r="M252" s="260"/>
      <c r="N252" s="260"/>
      <c r="O252" s="99"/>
      <c r="P252" s="99"/>
      <c r="Q252" s="99"/>
      <c r="R252" s="99"/>
      <c r="S252" s="99"/>
      <c r="T252" s="99"/>
      <c r="U252" s="99"/>
      <c r="V252" s="99"/>
      <c r="W252" s="99"/>
      <c r="X252" s="99"/>
      <c r="Y252" s="99"/>
      <c r="Z252" s="99"/>
      <c r="AB252" s="84"/>
      <c r="AC252" s="84"/>
      <c r="AD252" s="84"/>
      <c r="AE252" s="84"/>
      <c r="AF252" s="84"/>
      <c r="AG252" s="84"/>
      <c r="AH252" s="84"/>
      <c r="AI252" s="84"/>
    </row>
    <row r="253" ht="15.75" customHeight="1">
      <c r="A253" s="84"/>
      <c r="B253" s="84"/>
      <c r="C253" s="84"/>
      <c r="D253" s="84"/>
      <c r="E253" s="84"/>
      <c r="F253" s="261"/>
      <c r="G253" s="84"/>
      <c r="H253" s="262"/>
      <c r="I253" s="262"/>
      <c r="J253" s="262"/>
      <c r="K253" s="262"/>
      <c r="L253" s="262"/>
      <c r="M253" s="260"/>
      <c r="N253" s="260"/>
      <c r="O253" s="99"/>
      <c r="P253" s="99"/>
      <c r="Q253" s="99"/>
      <c r="R253" s="99"/>
      <c r="S253" s="99"/>
      <c r="T253" s="99"/>
      <c r="U253" s="99"/>
      <c r="V253" s="99"/>
      <c r="W253" s="99"/>
      <c r="X253" s="99"/>
      <c r="Y253" s="99"/>
      <c r="Z253" s="99"/>
      <c r="AB253" s="84"/>
      <c r="AC253" s="84"/>
      <c r="AD253" s="84"/>
      <c r="AE253" s="84"/>
      <c r="AF253" s="84"/>
      <c r="AG253" s="84"/>
      <c r="AH253" s="84"/>
      <c r="AI253" s="84"/>
    </row>
    <row r="254" ht="15.75" customHeight="1">
      <c r="A254" s="84"/>
      <c r="B254" s="84"/>
      <c r="C254" s="84"/>
      <c r="D254" s="84"/>
      <c r="E254" s="84"/>
      <c r="F254" s="261"/>
      <c r="G254" s="84"/>
      <c r="H254" s="262"/>
      <c r="I254" s="262"/>
      <c r="J254" s="262"/>
      <c r="K254" s="262"/>
      <c r="L254" s="262"/>
      <c r="M254" s="260"/>
      <c r="N254" s="260"/>
      <c r="O254" s="99"/>
      <c r="P254" s="99"/>
      <c r="Q254" s="99"/>
      <c r="R254" s="99"/>
      <c r="S254" s="99"/>
      <c r="T254" s="99"/>
      <c r="U254" s="99"/>
      <c r="V254" s="99"/>
      <c r="W254" s="99"/>
      <c r="X254" s="99"/>
      <c r="Y254" s="99"/>
      <c r="Z254" s="99"/>
      <c r="AB254" s="84"/>
      <c r="AC254" s="84"/>
      <c r="AD254" s="84"/>
      <c r="AE254" s="84"/>
      <c r="AF254" s="84"/>
      <c r="AG254" s="84"/>
      <c r="AH254" s="84"/>
      <c r="AI254" s="84"/>
    </row>
    <row r="255" ht="15.75" customHeight="1">
      <c r="A255" s="84"/>
      <c r="B255" s="84"/>
      <c r="C255" s="84"/>
      <c r="D255" s="84"/>
      <c r="E255" s="84"/>
      <c r="F255" s="261"/>
      <c r="G255" s="84"/>
      <c r="H255" s="262"/>
      <c r="I255" s="262"/>
      <c r="J255" s="262"/>
      <c r="K255" s="262"/>
      <c r="L255" s="262"/>
      <c r="M255" s="260"/>
      <c r="N255" s="260"/>
      <c r="O255" s="99"/>
      <c r="P255" s="99"/>
      <c r="Q255" s="99"/>
      <c r="R255" s="99"/>
      <c r="S255" s="99"/>
      <c r="T255" s="99"/>
      <c r="U255" s="99"/>
      <c r="V255" s="99"/>
      <c r="W255" s="99"/>
      <c r="X255" s="99"/>
      <c r="Y255" s="99"/>
      <c r="Z255" s="99"/>
      <c r="AB255" s="84"/>
      <c r="AC255" s="84"/>
      <c r="AD255" s="84"/>
      <c r="AE255" s="84"/>
      <c r="AF255" s="84"/>
      <c r="AG255" s="84"/>
      <c r="AH255" s="84"/>
      <c r="AI255" s="84"/>
    </row>
    <row r="256" ht="15.75" customHeight="1">
      <c r="A256" s="84"/>
      <c r="B256" s="84"/>
      <c r="C256" s="84"/>
      <c r="D256" s="84"/>
      <c r="E256" s="84"/>
      <c r="F256" s="261"/>
      <c r="G256" s="84"/>
      <c r="H256" s="262"/>
      <c r="I256" s="262"/>
      <c r="J256" s="262"/>
      <c r="K256" s="262"/>
      <c r="L256" s="262"/>
      <c r="M256" s="260"/>
      <c r="N256" s="260"/>
      <c r="O256" s="99"/>
      <c r="P256" s="99"/>
      <c r="Q256" s="99"/>
      <c r="R256" s="99"/>
      <c r="S256" s="99"/>
      <c r="T256" s="99"/>
      <c r="U256" s="99"/>
      <c r="V256" s="99"/>
      <c r="W256" s="99"/>
      <c r="X256" s="99"/>
      <c r="Y256" s="99"/>
      <c r="Z256" s="99"/>
      <c r="AB256" s="84"/>
      <c r="AC256" s="84"/>
      <c r="AD256" s="84"/>
      <c r="AE256" s="84"/>
      <c r="AF256" s="84"/>
      <c r="AG256" s="84"/>
      <c r="AH256" s="84"/>
      <c r="AI256" s="84"/>
    </row>
    <row r="257" ht="15.75" customHeight="1">
      <c r="A257" s="84"/>
      <c r="B257" s="84"/>
      <c r="C257" s="84"/>
      <c r="D257" s="84"/>
      <c r="E257" s="84"/>
      <c r="F257" s="261"/>
      <c r="G257" s="84"/>
      <c r="H257" s="262"/>
      <c r="I257" s="262"/>
      <c r="J257" s="262"/>
      <c r="K257" s="262"/>
      <c r="L257" s="262"/>
      <c r="M257" s="260"/>
      <c r="N257" s="260"/>
      <c r="O257" s="99"/>
      <c r="P257" s="99"/>
      <c r="Q257" s="99"/>
      <c r="R257" s="99"/>
      <c r="S257" s="99"/>
      <c r="T257" s="99"/>
      <c r="U257" s="99"/>
      <c r="V257" s="99"/>
      <c r="W257" s="99"/>
      <c r="X257" s="99"/>
      <c r="Y257" s="99"/>
      <c r="Z257" s="99"/>
      <c r="AB257" s="84"/>
      <c r="AC257" s="84"/>
      <c r="AD257" s="84"/>
      <c r="AE257" s="84"/>
      <c r="AF257" s="84"/>
      <c r="AG257" s="84"/>
      <c r="AH257" s="84"/>
      <c r="AI257" s="84"/>
    </row>
    <row r="258" ht="15.75" customHeight="1">
      <c r="A258" s="84"/>
      <c r="B258" s="84"/>
      <c r="C258" s="84"/>
      <c r="D258" s="84"/>
      <c r="E258" s="84"/>
      <c r="F258" s="261"/>
      <c r="G258" s="84"/>
      <c r="H258" s="262"/>
      <c r="I258" s="262"/>
      <c r="J258" s="262"/>
      <c r="K258" s="262"/>
      <c r="L258" s="262"/>
      <c r="M258" s="260"/>
      <c r="N258" s="260"/>
      <c r="O258" s="99"/>
      <c r="P258" s="99"/>
      <c r="Q258" s="99"/>
      <c r="R258" s="99"/>
      <c r="S258" s="99"/>
      <c r="T258" s="99"/>
      <c r="U258" s="99"/>
      <c r="V258" s="99"/>
      <c r="W258" s="99"/>
      <c r="X258" s="99"/>
      <c r="Y258" s="99"/>
      <c r="Z258" s="99"/>
      <c r="AB258" s="84"/>
      <c r="AC258" s="84"/>
      <c r="AD258" s="84"/>
      <c r="AE258" s="84"/>
      <c r="AF258" s="84"/>
      <c r="AG258" s="84"/>
      <c r="AH258" s="84"/>
      <c r="AI258" s="84"/>
    </row>
    <row r="259" ht="15.75" customHeight="1">
      <c r="A259" s="84"/>
      <c r="B259" s="84"/>
      <c r="C259" s="84"/>
      <c r="D259" s="84"/>
      <c r="E259" s="84"/>
      <c r="F259" s="261"/>
      <c r="G259" s="84"/>
      <c r="H259" s="262"/>
      <c r="I259" s="262"/>
      <c r="J259" s="262"/>
      <c r="K259" s="262"/>
      <c r="L259" s="262"/>
      <c r="M259" s="260"/>
      <c r="N259" s="260"/>
      <c r="O259" s="99"/>
      <c r="P259" s="99"/>
      <c r="Q259" s="99"/>
      <c r="R259" s="99"/>
      <c r="S259" s="99"/>
      <c r="T259" s="99"/>
      <c r="U259" s="99"/>
      <c r="V259" s="99"/>
      <c r="W259" s="99"/>
      <c r="X259" s="99"/>
      <c r="Y259" s="99"/>
      <c r="Z259" s="99"/>
      <c r="AB259" s="84"/>
      <c r="AC259" s="84"/>
      <c r="AD259" s="84"/>
      <c r="AE259" s="84"/>
      <c r="AF259" s="84"/>
      <c r="AG259" s="84"/>
      <c r="AH259" s="84"/>
      <c r="AI259" s="84"/>
    </row>
    <row r="260" ht="15.75" customHeight="1">
      <c r="A260" s="84"/>
      <c r="B260" s="84"/>
      <c r="C260" s="84"/>
      <c r="D260" s="84"/>
      <c r="E260" s="84"/>
      <c r="F260" s="261"/>
      <c r="G260" s="84"/>
      <c r="H260" s="262"/>
      <c r="I260" s="262"/>
      <c r="J260" s="262"/>
      <c r="K260" s="262"/>
      <c r="L260" s="262"/>
      <c r="M260" s="260"/>
      <c r="N260" s="260"/>
      <c r="O260" s="99"/>
      <c r="P260" s="99"/>
      <c r="Q260" s="99"/>
      <c r="R260" s="99"/>
      <c r="S260" s="99"/>
      <c r="T260" s="99"/>
      <c r="U260" s="99"/>
      <c r="V260" s="99"/>
      <c r="W260" s="99"/>
      <c r="X260" s="99"/>
      <c r="Y260" s="99"/>
      <c r="Z260" s="99"/>
      <c r="AB260" s="84"/>
      <c r="AC260" s="84"/>
      <c r="AD260" s="84"/>
      <c r="AE260" s="84"/>
      <c r="AF260" s="84"/>
      <c r="AG260" s="84"/>
      <c r="AH260" s="84"/>
      <c r="AI260" s="84"/>
    </row>
    <row r="261" ht="15.75" customHeight="1">
      <c r="A261" s="84"/>
      <c r="B261" s="84"/>
      <c r="C261" s="84"/>
      <c r="D261" s="84"/>
      <c r="E261" s="84"/>
      <c r="F261" s="261"/>
      <c r="G261" s="84"/>
      <c r="H261" s="262"/>
      <c r="I261" s="262"/>
      <c r="J261" s="262"/>
      <c r="K261" s="262"/>
      <c r="L261" s="262"/>
      <c r="M261" s="260"/>
      <c r="N261" s="260"/>
      <c r="O261" s="99"/>
      <c r="P261" s="99"/>
      <c r="Q261" s="99"/>
      <c r="R261" s="99"/>
      <c r="S261" s="99"/>
      <c r="T261" s="99"/>
      <c r="U261" s="99"/>
      <c r="V261" s="99"/>
      <c r="W261" s="99"/>
      <c r="X261" s="99"/>
      <c r="Y261" s="99"/>
      <c r="Z261" s="99"/>
      <c r="AB261" s="84"/>
      <c r="AC261" s="84"/>
      <c r="AD261" s="84"/>
      <c r="AE261" s="84"/>
      <c r="AF261" s="84"/>
      <c r="AG261" s="84"/>
      <c r="AH261" s="84"/>
      <c r="AI261" s="84"/>
    </row>
    <row r="262" ht="15.75" customHeight="1">
      <c r="A262" s="84"/>
      <c r="B262" s="84"/>
      <c r="C262" s="84"/>
      <c r="D262" s="84"/>
      <c r="E262" s="84"/>
      <c r="F262" s="261"/>
      <c r="G262" s="84"/>
      <c r="H262" s="262"/>
      <c r="I262" s="262"/>
      <c r="J262" s="262"/>
      <c r="K262" s="262"/>
      <c r="L262" s="262"/>
      <c r="M262" s="260"/>
      <c r="N262" s="260"/>
      <c r="O262" s="99"/>
      <c r="P262" s="99"/>
      <c r="Q262" s="99"/>
      <c r="R262" s="99"/>
      <c r="S262" s="99"/>
      <c r="T262" s="99"/>
      <c r="U262" s="99"/>
      <c r="V262" s="99"/>
      <c r="W262" s="99"/>
      <c r="X262" s="99"/>
      <c r="Y262" s="99"/>
      <c r="Z262" s="99"/>
      <c r="AB262" s="84"/>
      <c r="AC262" s="84"/>
      <c r="AD262" s="84"/>
      <c r="AE262" s="84"/>
      <c r="AF262" s="84"/>
      <c r="AG262" s="84"/>
      <c r="AH262" s="84"/>
      <c r="AI262" s="84"/>
    </row>
    <row r="263" ht="15.75" customHeight="1">
      <c r="A263" s="84"/>
      <c r="B263" s="84"/>
      <c r="C263" s="84"/>
      <c r="D263" s="84"/>
      <c r="E263" s="84"/>
      <c r="F263" s="261"/>
      <c r="G263" s="84"/>
      <c r="H263" s="262"/>
      <c r="I263" s="262"/>
      <c r="J263" s="262"/>
      <c r="K263" s="262"/>
      <c r="L263" s="262"/>
      <c r="M263" s="260"/>
      <c r="N263" s="260"/>
      <c r="O263" s="99"/>
      <c r="P263" s="99"/>
      <c r="Q263" s="99"/>
      <c r="R263" s="99"/>
      <c r="S263" s="99"/>
      <c r="T263" s="99"/>
      <c r="U263" s="99"/>
      <c r="V263" s="99"/>
      <c r="W263" s="99"/>
      <c r="X263" s="99"/>
      <c r="Y263" s="99"/>
      <c r="Z263" s="99"/>
      <c r="AB263" s="84"/>
      <c r="AC263" s="84"/>
      <c r="AD263" s="84"/>
      <c r="AE263" s="84"/>
      <c r="AF263" s="84"/>
      <c r="AG263" s="84"/>
      <c r="AH263" s="84"/>
      <c r="AI263" s="84"/>
    </row>
    <row r="264" ht="15.75" customHeight="1">
      <c r="A264" s="84"/>
      <c r="B264" s="84"/>
      <c r="C264" s="84"/>
      <c r="D264" s="84"/>
      <c r="E264" s="84"/>
      <c r="F264" s="261"/>
      <c r="G264" s="84"/>
      <c r="H264" s="262"/>
      <c r="I264" s="262"/>
      <c r="J264" s="262"/>
      <c r="K264" s="262"/>
      <c r="L264" s="262"/>
      <c r="M264" s="260"/>
      <c r="N264" s="260"/>
      <c r="O264" s="99"/>
      <c r="P264" s="99"/>
      <c r="Q264" s="99"/>
      <c r="R264" s="99"/>
      <c r="S264" s="99"/>
      <c r="T264" s="99"/>
      <c r="U264" s="99"/>
      <c r="V264" s="99"/>
      <c r="W264" s="99"/>
      <c r="X264" s="99"/>
      <c r="Y264" s="99"/>
      <c r="Z264" s="99"/>
      <c r="AB264" s="84"/>
      <c r="AC264" s="84"/>
      <c r="AD264" s="84"/>
      <c r="AE264" s="84"/>
      <c r="AF264" s="84"/>
      <c r="AG264" s="84"/>
      <c r="AH264" s="84"/>
      <c r="AI264" s="84"/>
    </row>
    <row r="265" ht="15.75" customHeight="1">
      <c r="A265" s="84"/>
      <c r="B265" s="84"/>
      <c r="C265" s="84"/>
      <c r="D265" s="84"/>
      <c r="E265" s="84"/>
      <c r="F265" s="261"/>
      <c r="G265" s="84"/>
      <c r="H265" s="262"/>
      <c r="I265" s="262"/>
      <c r="J265" s="262"/>
      <c r="K265" s="262"/>
      <c r="L265" s="262"/>
      <c r="M265" s="260"/>
      <c r="N265" s="260"/>
      <c r="O265" s="99"/>
      <c r="P265" s="99"/>
      <c r="Q265" s="99"/>
      <c r="R265" s="99"/>
      <c r="S265" s="99"/>
      <c r="T265" s="99"/>
      <c r="U265" s="99"/>
      <c r="V265" s="99"/>
      <c r="W265" s="99"/>
      <c r="X265" s="99"/>
      <c r="Y265" s="99"/>
      <c r="Z265" s="99"/>
      <c r="AB265" s="84"/>
      <c r="AC265" s="84"/>
      <c r="AD265" s="84"/>
      <c r="AE265" s="84"/>
      <c r="AF265" s="84"/>
      <c r="AG265" s="84"/>
      <c r="AH265" s="84"/>
      <c r="AI265" s="84"/>
    </row>
    <row r="266" ht="15.75" customHeight="1">
      <c r="A266" s="84"/>
      <c r="B266" s="84"/>
      <c r="C266" s="84"/>
      <c r="D266" s="84"/>
      <c r="E266" s="84"/>
      <c r="F266" s="261"/>
      <c r="G266" s="84"/>
      <c r="H266" s="262"/>
      <c r="I266" s="262"/>
      <c r="J266" s="262"/>
      <c r="K266" s="262"/>
      <c r="L266" s="262"/>
      <c r="M266" s="260"/>
      <c r="N266" s="260"/>
      <c r="O266" s="99"/>
      <c r="P266" s="99"/>
      <c r="Q266" s="99"/>
      <c r="R266" s="99"/>
      <c r="S266" s="99"/>
      <c r="T266" s="99"/>
      <c r="U266" s="99"/>
      <c r="V266" s="99"/>
      <c r="W266" s="99"/>
      <c r="X266" s="99"/>
      <c r="Y266" s="99"/>
      <c r="Z266" s="99"/>
      <c r="AB266" s="84"/>
      <c r="AC266" s="84"/>
      <c r="AD266" s="84"/>
      <c r="AE266" s="84"/>
      <c r="AF266" s="84"/>
      <c r="AG266" s="84"/>
      <c r="AH266" s="84"/>
      <c r="AI266" s="84"/>
    </row>
    <row r="267" ht="15.75" customHeight="1">
      <c r="A267" s="84"/>
      <c r="B267" s="84"/>
      <c r="C267" s="84"/>
      <c r="D267" s="84"/>
      <c r="E267" s="84"/>
      <c r="F267" s="261"/>
      <c r="G267" s="84"/>
      <c r="H267" s="262"/>
      <c r="I267" s="262"/>
      <c r="J267" s="262"/>
      <c r="K267" s="262"/>
      <c r="L267" s="262"/>
      <c r="M267" s="260"/>
      <c r="N267" s="260"/>
      <c r="O267" s="99"/>
      <c r="P267" s="99"/>
      <c r="Q267" s="99"/>
      <c r="R267" s="99"/>
      <c r="S267" s="99"/>
      <c r="T267" s="99"/>
      <c r="U267" s="99"/>
      <c r="V267" s="99"/>
      <c r="W267" s="99"/>
      <c r="X267" s="99"/>
      <c r="Y267" s="99"/>
      <c r="Z267" s="99"/>
      <c r="AB267" s="84"/>
      <c r="AC267" s="84"/>
      <c r="AD267" s="84"/>
      <c r="AE267" s="84"/>
      <c r="AF267" s="84"/>
      <c r="AG267" s="84"/>
      <c r="AH267" s="84"/>
      <c r="AI267" s="84"/>
    </row>
    <row r="268" ht="15.75" customHeight="1">
      <c r="A268" s="84"/>
      <c r="B268" s="84"/>
      <c r="C268" s="84"/>
      <c r="D268" s="84"/>
      <c r="E268" s="84"/>
      <c r="F268" s="261"/>
      <c r="G268" s="84"/>
      <c r="H268" s="262"/>
      <c r="I268" s="262"/>
      <c r="J268" s="262"/>
      <c r="K268" s="262"/>
      <c r="L268" s="262"/>
      <c r="M268" s="260"/>
      <c r="N268" s="260"/>
      <c r="O268" s="99"/>
      <c r="P268" s="99"/>
      <c r="Q268" s="99"/>
      <c r="R268" s="99"/>
      <c r="S268" s="99"/>
      <c r="T268" s="99"/>
      <c r="U268" s="99"/>
      <c r="V268" s="99"/>
      <c r="W268" s="99"/>
      <c r="X268" s="99"/>
      <c r="Y268" s="99"/>
      <c r="Z268" s="99"/>
      <c r="AB268" s="84"/>
      <c r="AC268" s="84"/>
      <c r="AD268" s="84"/>
      <c r="AE268" s="84"/>
      <c r="AF268" s="84"/>
      <c r="AG268" s="84"/>
      <c r="AH268" s="84"/>
      <c r="AI268" s="84"/>
    </row>
    <row r="269" ht="15.75" customHeight="1">
      <c r="A269" s="84"/>
      <c r="B269" s="84"/>
      <c r="C269" s="84"/>
      <c r="D269" s="84"/>
      <c r="E269" s="84"/>
      <c r="F269" s="261"/>
      <c r="G269" s="84"/>
      <c r="H269" s="262"/>
      <c r="I269" s="262"/>
      <c r="J269" s="262"/>
      <c r="K269" s="262"/>
      <c r="L269" s="262"/>
      <c r="M269" s="260"/>
      <c r="N269" s="260"/>
      <c r="O269" s="99"/>
      <c r="P269" s="99"/>
      <c r="Q269" s="99"/>
      <c r="R269" s="99"/>
      <c r="S269" s="99"/>
      <c r="T269" s="99"/>
      <c r="U269" s="99"/>
      <c r="V269" s="99"/>
      <c r="W269" s="99"/>
      <c r="X269" s="99"/>
      <c r="Y269" s="99"/>
      <c r="Z269" s="99"/>
      <c r="AB269" s="84"/>
      <c r="AC269" s="84"/>
      <c r="AD269" s="84"/>
      <c r="AE269" s="84"/>
      <c r="AF269" s="84"/>
      <c r="AG269" s="84"/>
      <c r="AH269" s="84"/>
      <c r="AI269" s="84"/>
    </row>
    <row r="270" ht="15.75" customHeight="1">
      <c r="A270" s="84"/>
      <c r="B270" s="84"/>
      <c r="C270" s="84"/>
      <c r="D270" s="84"/>
      <c r="E270" s="84"/>
      <c r="F270" s="261"/>
      <c r="G270" s="84"/>
      <c r="H270" s="262"/>
      <c r="I270" s="262"/>
      <c r="J270" s="262"/>
      <c r="K270" s="262"/>
      <c r="L270" s="262"/>
      <c r="M270" s="260"/>
      <c r="N270" s="260"/>
      <c r="O270" s="99"/>
      <c r="P270" s="99"/>
      <c r="Q270" s="99"/>
      <c r="R270" s="99"/>
      <c r="S270" s="99"/>
      <c r="T270" s="99"/>
      <c r="U270" s="99"/>
      <c r="V270" s="99"/>
      <c r="W270" s="99"/>
      <c r="X270" s="99"/>
      <c r="Y270" s="99"/>
      <c r="Z270" s="99"/>
      <c r="AB270" s="84"/>
      <c r="AC270" s="84"/>
      <c r="AD270" s="84"/>
      <c r="AE270" s="84"/>
      <c r="AF270" s="84"/>
      <c r="AG270" s="84"/>
      <c r="AH270" s="84"/>
      <c r="AI270" s="84"/>
    </row>
    <row r="271" ht="15.75" customHeight="1">
      <c r="A271" s="84"/>
      <c r="B271" s="84"/>
      <c r="C271" s="84"/>
      <c r="D271" s="84"/>
      <c r="E271" s="84"/>
      <c r="F271" s="261"/>
      <c r="G271" s="84"/>
      <c r="H271" s="262"/>
      <c r="I271" s="262"/>
      <c r="J271" s="262"/>
      <c r="K271" s="262"/>
      <c r="L271" s="262"/>
      <c r="M271" s="260"/>
      <c r="N271" s="260"/>
      <c r="O271" s="99"/>
      <c r="P271" s="99"/>
      <c r="Q271" s="99"/>
      <c r="R271" s="99"/>
      <c r="S271" s="99"/>
      <c r="T271" s="99"/>
      <c r="U271" s="99"/>
      <c r="V271" s="99"/>
      <c r="W271" s="99"/>
      <c r="X271" s="99"/>
      <c r="Y271" s="99"/>
      <c r="Z271" s="99"/>
      <c r="AB271" s="84"/>
      <c r="AC271" s="84"/>
      <c r="AD271" s="84"/>
      <c r="AE271" s="84"/>
      <c r="AF271" s="84"/>
      <c r="AG271" s="84"/>
      <c r="AH271" s="84"/>
      <c r="AI271" s="84"/>
    </row>
    <row r="272" ht="15.75" customHeight="1">
      <c r="A272" s="84"/>
      <c r="B272" s="84"/>
      <c r="C272" s="84"/>
      <c r="D272" s="84"/>
      <c r="E272" s="84"/>
      <c r="F272" s="261"/>
      <c r="G272" s="84"/>
      <c r="H272" s="262"/>
      <c r="I272" s="262"/>
      <c r="J272" s="262"/>
      <c r="K272" s="262"/>
      <c r="L272" s="262"/>
      <c r="M272" s="260"/>
      <c r="N272" s="260"/>
      <c r="O272" s="99"/>
      <c r="P272" s="99"/>
      <c r="Q272" s="99"/>
      <c r="R272" s="99"/>
      <c r="S272" s="99"/>
      <c r="T272" s="99"/>
      <c r="U272" s="99"/>
      <c r="V272" s="99"/>
      <c r="W272" s="99"/>
      <c r="X272" s="99"/>
      <c r="Y272" s="99"/>
      <c r="Z272" s="99"/>
      <c r="AB272" s="84"/>
      <c r="AC272" s="84"/>
      <c r="AD272" s="84"/>
      <c r="AE272" s="84"/>
      <c r="AF272" s="84"/>
      <c r="AG272" s="84"/>
      <c r="AH272" s="84"/>
      <c r="AI272" s="84"/>
    </row>
    <row r="273" ht="15.75" customHeight="1">
      <c r="A273" s="84"/>
      <c r="B273" s="84"/>
      <c r="C273" s="84"/>
      <c r="D273" s="84"/>
      <c r="E273" s="84"/>
      <c r="F273" s="261"/>
      <c r="G273" s="84"/>
      <c r="H273" s="262"/>
      <c r="I273" s="262"/>
      <c r="J273" s="262"/>
      <c r="K273" s="262"/>
      <c r="L273" s="262"/>
      <c r="M273" s="260"/>
      <c r="N273" s="260"/>
      <c r="O273" s="99"/>
      <c r="P273" s="99"/>
      <c r="Q273" s="99"/>
      <c r="R273" s="99"/>
      <c r="S273" s="99"/>
      <c r="T273" s="99"/>
      <c r="U273" s="99"/>
      <c r="V273" s="99"/>
      <c r="W273" s="99"/>
      <c r="X273" s="99"/>
      <c r="Y273" s="99"/>
      <c r="Z273" s="99"/>
      <c r="AB273" s="84"/>
      <c r="AC273" s="84"/>
      <c r="AD273" s="84"/>
      <c r="AE273" s="84"/>
      <c r="AF273" s="84"/>
      <c r="AG273" s="84"/>
      <c r="AH273" s="84"/>
      <c r="AI273" s="84"/>
    </row>
    <row r="274" ht="15.75" customHeight="1">
      <c r="A274" s="84"/>
      <c r="B274" s="84"/>
      <c r="C274" s="84"/>
      <c r="D274" s="84"/>
      <c r="E274" s="84"/>
      <c r="F274" s="261"/>
      <c r="G274" s="84"/>
      <c r="H274" s="262"/>
      <c r="I274" s="262"/>
      <c r="J274" s="262"/>
      <c r="K274" s="262"/>
      <c r="L274" s="262"/>
      <c r="M274" s="260"/>
      <c r="N274" s="260"/>
      <c r="O274" s="99"/>
      <c r="P274" s="99"/>
      <c r="Q274" s="99"/>
      <c r="R274" s="99"/>
      <c r="S274" s="99"/>
      <c r="T274" s="99"/>
      <c r="U274" s="99"/>
      <c r="V274" s="99"/>
      <c r="W274" s="99"/>
      <c r="X274" s="99"/>
      <c r="Y274" s="99"/>
      <c r="Z274" s="99"/>
      <c r="AB274" s="84"/>
      <c r="AC274" s="84"/>
      <c r="AD274" s="84"/>
      <c r="AE274" s="84"/>
      <c r="AF274" s="84"/>
      <c r="AG274" s="84"/>
      <c r="AH274" s="84"/>
      <c r="AI274" s="84"/>
    </row>
    <row r="275" ht="15.75" customHeight="1">
      <c r="A275" s="84"/>
      <c r="B275" s="84"/>
      <c r="C275" s="84"/>
      <c r="D275" s="84"/>
      <c r="E275" s="84"/>
      <c r="F275" s="261"/>
      <c r="G275" s="84"/>
      <c r="H275" s="262"/>
      <c r="I275" s="262"/>
      <c r="J275" s="262"/>
      <c r="K275" s="262"/>
      <c r="L275" s="262"/>
      <c r="M275" s="260"/>
      <c r="N275" s="260"/>
      <c r="O275" s="99"/>
      <c r="P275" s="99"/>
      <c r="Q275" s="99"/>
      <c r="R275" s="99"/>
      <c r="S275" s="99"/>
      <c r="T275" s="99"/>
      <c r="U275" s="99"/>
      <c r="V275" s="99"/>
      <c r="W275" s="99"/>
      <c r="X275" s="99"/>
      <c r="Y275" s="99"/>
      <c r="Z275" s="99"/>
      <c r="AB275" s="84"/>
      <c r="AC275" s="84"/>
      <c r="AD275" s="84"/>
      <c r="AE275" s="84"/>
      <c r="AF275" s="84"/>
      <c r="AG275" s="84"/>
      <c r="AH275" s="84"/>
      <c r="AI275" s="84"/>
    </row>
    <row r="276" ht="15.75" customHeight="1">
      <c r="A276" s="84"/>
      <c r="B276" s="84"/>
      <c r="C276" s="84"/>
      <c r="D276" s="84"/>
      <c r="E276" s="84"/>
      <c r="F276" s="261"/>
      <c r="G276" s="84"/>
      <c r="H276" s="262"/>
      <c r="I276" s="262"/>
      <c r="J276" s="262"/>
      <c r="K276" s="262"/>
      <c r="L276" s="262"/>
      <c r="M276" s="260"/>
      <c r="N276" s="260"/>
      <c r="O276" s="99"/>
      <c r="P276" s="99"/>
      <c r="Q276" s="99"/>
      <c r="R276" s="99"/>
      <c r="S276" s="99"/>
      <c r="T276" s="99"/>
      <c r="U276" s="99"/>
      <c r="V276" s="99"/>
      <c r="W276" s="99"/>
      <c r="X276" s="99"/>
      <c r="Y276" s="99"/>
      <c r="Z276" s="99"/>
      <c r="AB276" s="84"/>
      <c r="AC276" s="84"/>
      <c r="AD276" s="84"/>
      <c r="AE276" s="84"/>
      <c r="AF276" s="84"/>
      <c r="AG276" s="84"/>
      <c r="AH276" s="84"/>
      <c r="AI276" s="84"/>
    </row>
    <row r="277" ht="15.75" customHeight="1">
      <c r="A277" s="84"/>
      <c r="B277" s="84"/>
      <c r="C277" s="84"/>
      <c r="D277" s="84"/>
      <c r="E277" s="84"/>
      <c r="F277" s="261"/>
      <c r="G277" s="84"/>
      <c r="H277" s="262"/>
      <c r="I277" s="262"/>
      <c r="J277" s="262"/>
      <c r="K277" s="262"/>
      <c r="L277" s="262"/>
      <c r="M277" s="260"/>
      <c r="N277" s="260"/>
      <c r="O277" s="99"/>
      <c r="P277" s="99"/>
      <c r="Q277" s="99"/>
      <c r="R277" s="99"/>
      <c r="S277" s="99"/>
      <c r="T277" s="99"/>
      <c r="U277" s="99"/>
      <c r="V277" s="99"/>
      <c r="W277" s="99"/>
      <c r="X277" s="99"/>
      <c r="Y277" s="99"/>
      <c r="Z277" s="99"/>
      <c r="AB277" s="84"/>
      <c r="AC277" s="84"/>
      <c r="AD277" s="84"/>
      <c r="AE277" s="84"/>
      <c r="AF277" s="84"/>
      <c r="AG277" s="84"/>
      <c r="AH277" s="84"/>
      <c r="AI277" s="84"/>
    </row>
    <row r="278" ht="15.75" customHeight="1">
      <c r="A278" s="84"/>
      <c r="B278" s="84"/>
      <c r="C278" s="84"/>
      <c r="D278" s="84"/>
      <c r="E278" s="84"/>
      <c r="F278" s="261"/>
      <c r="G278" s="84"/>
      <c r="H278" s="262"/>
      <c r="I278" s="262"/>
      <c r="J278" s="262"/>
      <c r="K278" s="262"/>
      <c r="L278" s="262"/>
      <c r="M278" s="260"/>
      <c r="N278" s="260"/>
      <c r="O278" s="99"/>
      <c r="P278" s="99"/>
      <c r="Q278" s="99"/>
      <c r="R278" s="99"/>
      <c r="S278" s="99"/>
      <c r="T278" s="99"/>
      <c r="U278" s="99"/>
      <c r="V278" s="99"/>
      <c r="W278" s="99"/>
      <c r="X278" s="99"/>
      <c r="Y278" s="99"/>
      <c r="Z278" s="99"/>
      <c r="AB278" s="84"/>
      <c r="AC278" s="84"/>
      <c r="AD278" s="84"/>
      <c r="AE278" s="84"/>
      <c r="AF278" s="84"/>
      <c r="AG278" s="84"/>
      <c r="AH278" s="84"/>
      <c r="AI278" s="84"/>
    </row>
    <row r="279" ht="15.75" customHeight="1">
      <c r="A279" s="84"/>
      <c r="B279" s="84"/>
      <c r="C279" s="84"/>
      <c r="D279" s="84"/>
      <c r="E279" s="84"/>
      <c r="F279" s="261"/>
      <c r="G279" s="84"/>
      <c r="H279" s="262"/>
      <c r="I279" s="262"/>
      <c r="J279" s="262"/>
      <c r="K279" s="262"/>
      <c r="L279" s="262"/>
      <c r="M279" s="260"/>
      <c r="N279" s="260"/>
      <c r="O279" s="99"/>
      <c r="P279" s="99"/>
      <c r="Q279" s="99"/>
      <c r="R279" s="99"/>
      <c r="S279" s="99"/>
      <c r="T279" s="99"/>
      <c r="U279" s="99"/>
      <c r="V279" s="99"/>
      <c r="W279" s="99"/>
      <c r="X279" s="99"/>
      <c r="Y279" s="99"/>
      <c r="Z279" s="99"/>
      <c r="AB279" s="84"/>
      <c r="AC279" s="84"/>
      <c r="AD279" s="84"/>
      <c r="AE279" s="84"/>
      <c r="AF279" s="84"/>
      <c r="AG279" s="84"/>
      <c r="AH279" s="84"/>
      <c r="AI279" s="84"/>
    </row>
    <row r="280" ht="15.75" customHeight="1">
      <c r="A280" s="84"/>
      <c r="B280" s="84"/>
      <c r="C280" s="84"/>
      <c r="D280" s="84"/>
      <c r="E280" s="84"/>
      <c r="F280" s="261"/>
      <c r="G280" s="84"/>
      <c r="H280" s="262"/>
      <c r="I280" s="262"/>
      <c r="J280" s="262"/>
      <c r="K280" s="262"/>
      <c r="L280" s="262"/>
      <c r="M280" s="260"/>
      <c r="N280" s="260"/>
      <c r="O280" s="99"/>
      <c r="P280" s="99"/>
      <c r="Q280" s="99"/>
      <c r="R280" s="99"/>
      <c r="S280" s="99"/>
      <c r="T280" s="99"/>
      <c r="U280" s="99"/>
      <c r="V280" s="99"/>
      <c r="W280" s="99"/>
      <c r="X280" s="99"/>
      <c r="Y280" s="99"/>
      <c r="Z280" s="99"/>
      <c r="AB280" s="84"/>
      <c r="AC280" s="84"/>
      <c r="AD280" s="84"/>
      <c r="AE280" s="84"/>
      <c r="AF280" s="84"/>
      <c r="AG280" s="84"/>
      <c r="AH280" s="84"/>
      <c r="AI280" s="84"/>
    </row>
    <row r="281" ht="15.75" customHeight="1">
      <c r="A281" s="84"/>
      <c r="B281" s="84"/>
      <c r="C281" s="84"/>
      <c r="D281" s="84"/>
      <c r="E281" s="84"/>
      <c r="F281" s="261"/>
      <c r="G281" s="84"/>
      <c r="H281" s="262"/>
      <c r="I281" s="262"/>
      <c r="J281" s="262"/>
      <c r="K281" s="262"/>
      <c r="L281" s="262"/>
      <c r="M281" s="260"/>
      <c r="N281" s="260"/>
      <c r="O281" s="99"/>
      <c r="P281" s="99"/>
      <c r="Q281" s="99"/>
      <c r="R281" s="99"/>
      <c r="S281" s="99"/>
      <c r="T281" s="99"/>
      <c r="U281" s="99"/>
      <c r="V281" s="99"/>
      <c r="W281" s="99"/>
      <c r="X281" s="99"/>
      <c r="Y281" s="99"/>
      <c r="Z281" s="99"/>
      <c r="AB281" s="84"/>
      <c r="AC281" s="84"/>
      <c r="AD281" s="84"/>
      <c r="AE281" s="84"/>
      <c r="AF281" s="84"/>
      <c r="AG281" s="84"/>
      <c r="AH281" s="84"/>
      <c r="AI281" s="84"/>
    </row>
    <row r="282" ht="15.75" customHeight="1">
      <c r="A282" s="84"/>
      <c r="B282" s="84"/>
      <c r="C282" s="84"/>
      <c r="D282" s="84"/>
      <c r="E282" s="84"/>
      <c r="F282" s="261"/>
      <c r="G282" s="84"/>
      <c r="H282" s="262"/>
      <c r="I282" s="262"/>
      <c r="J282" s="262"/>
      <c r="K282" s="262"/>
      <c r="L282" s="262"/>
      <c r="M282" s="260"/>
      <c r="N282" s="260"/>
      <c r="O282" s="99"/>
      <c r="P282" s="99"/>
      <c r="Q282" s="99"/>
      <c r="R282" s="99"/>
      <c r="S282" s="99"/>
      <c r="T282" s="99"/>
      <c r="U282" s="99"/>
      <c r="V282" s="99"/>
      <c r="W282" s="99"/>
      <c r="X282" s="99"/>
      <c r="Y282" s="99"/>
      <c r="Z282" s="99"/>
      <c r="AB282" s="84"/>
      <c r="AC282" s="84"/>
      <c r="AD282" s="84"/>
      <c r="AE282" s="84"/>
      <c r="AF282" s="84"/>
      <c r="AG282" s="84"/>
      <c r="AH282" s="84"/>
      <c r="AI282" s="84"/>
    </row>
    <row r="283" ht="15.75" customHeight="1">
      <c r="A283" s="84"/>
      <c r="B283" s="84"/>
      <c r="C283" s="84"/>
      <c r="D283" s="84"/>
      <c r="E283" s="84"/>
      <c r="F283" s="261"/>
      <c r="G283" s="84"/>
      <c r="H283" s="262"/>
      <c r="I283" s="262"/>
      <c r="J283" s="262"/>
      <c r="K283" s="262"/>
      <c r="L283" s="262"/>
      <c r="M283" s="260"/>
      <c r="N283" s="260"/>
      <c r="O283" s="99"/>
      <c r="P283" s="99"/>
      <c r="Q283" s="99"/>
      <c r="R283" s="99"/>
      <c r="S283" s="99"/>
      <c r="T283" s="99"/>
      <c r="U283" s="99"/>
      <c r="V283" s="99"/>
      <c r="W283" s="99"/>
      <c r="X283" s="99"/>
      <c r="Y283" s="99"/>
      <c r="Z283" s="99"/>
      <c r="AB283" s="84"/>
      <c r="AC283" s="84"/>
      <c r="AD283" s="84"/>
      <c r="AE283" s="84"/>
      <c r="AF283" s="84"/>
      <c r="AG283" s="84"/>
      <c r="AH283" s="84"/>
      <c r="AI283" s="84"/>
    </row>
    <row r="284" ht="15.75" customHeight="1">
      <c r="A284" s="84"/>
      <c r="B284" s="84"/>
      <c r="C284" s="84"/>
      <c r="D284" s="84"/>
      <c r="E284" s="84"/>
      <c r="F284" s="261"/>
      <c r="G284" s="84"/>
      <c r="H284" s="262"/>
      <c r="I284" s="262"/>
      <c r="J284" s="262"/>
      <c r="K284" s="262"/>
      <c r="L284" s="262"/>
      <c r="M284" s="260"/>
      <c r="N284" s="260"/>
      <c r="O284" s="99"/>
      <c r="P284" s="99"/>
      <c r="Q284" s="99"/>
      <c r="R284" s="99"/>
      <c r="S284" s="99"/>
      <c r="T284" s="99"/>
      <c r="U284" s="99"/>
      <c r="V284" s="99"/>
      <c r="W284" s="99"/>
      <c r="X284" s="99"/>
      <c r="Y284" s="99"/>
      <c r="Z284" s="99"/>
      <c r="AB284" s="84"/>
      <c r="AC284" s="84"/>
      <c r="AD284" s="84"/>
      <c r="AE284" s="84"/>
      <c r="AF284" s="84"/>
      <c r="AG284" s="84"/>
      <c r="AH284" s="84"/>
      <c r="AI284" s="84"/>
    </row>
    <row r="285" ht="15.75" customHeight="1">
      <c r="A285" s="84"/>
      <c r="B285" s="84"/>
      <c r="C285" s="84"/>
      <c r="D285" s="84"/>
      <c r="E285" s="84"/>
      <c r="F285" s="261"/>
      <c r="G285" s="84"/>
      <c r="H285" s="262"/>
      <c r="I285" s="262"/>
      <c r="J285" s="262"/>
      <c r="K285" s="262"/>
      <c r="L285" s="262"/>
      <c r="M285" s="260"/>
      <c r="N285" s="260"/>
      <c r="O285" s="99"/>
      <c r="P285" s="99"/>
      <c r="Q285" s="99"/>
      <c r="R285" s="99"/>
      <c r="S285" s="99"/>
      <c r="T285" s="99"/>
      <c r="U285" s="99"/>
      <c r="V285" s="99"/>
      <c r="W285" s="99"/>
      <c r="X285" s="99"/>
      <c r="Y285" s="99"/>
      <c r="Z285" s="99"/>
      <c r="AB285" s="84"/>
      <c r="AC285" s="84"/>
      <c r="AD285" s="84"/>
      <c r="AE285" s="84"/>
      <c r="AF285" s="84"/>
      <c r="AG285" s="84"/>
      <c r="AH285" s="84"/>
      <c r="AI285" s="84"/>
    </row>
    <row r="286" ht="15.75" customHeight="1">
      <c r="A286" s="84"/>
      <c r="B286" s="84"/>
      <c r="C286" s="84"/>
      <c r="D286" s="84"/>
      <c r="E286" s="84"/>
      <c r="F286" s="261"/>
      <c r="G286" s="84"/>
      <c r="H286" s="262"/>
      <c r="I286" s="262"/>
      <c r="J286" s="262"/>
      <c r="K286" s="262"/>
      <c r="L286" s="262"/>
      <c r="M286" s="260"/>
      <c r="N286" s="260"/>
      <c r="O286" s="99"/>
      <c r="P286" s="99"/>
      <c r="Q286" s="99"/>
      <c r="R286" s="99"/>
      <c r="S286" s="99"/>
      <c r="T286" s="99"/>
      <c r="U286" s="99"/>
      <c r="V286" s="99"/>
      <c r="W286" s="99"/>
      <c r="X286" s="99"/>
      <c r="Y286" s="99"/>
      <c r="Z286" s="99"/>
      <c r="AB286" s="84"/>
      <c r="AC286" s="84"/>
      <c r="AD286" s="84"/>
      <c r="AE286" s="84"/>
      <c r="AF286" s="84"/>
      <c r="AG286" s="84"/>
      <c r="AH286" s="84"/>
      <c r="AI286" s="84"/>
    </row>
    <row r="287" ht="15.75" customHeight="1">
      <c r="A287" s="84"/>
      <c r="B287" s="84"/>
      <c r="C287" s="84"/>
      <c r="D287" s="84"/>
      <c r="E287" s="84"/>
      <c r="F287" s="261"/>
      <c r="G287" s="84"/>
      <c r="H287" s="262"/>
      <c r="I287" s="262"/>
      <c r="J287" s="262"/>
      <c r="K287" s="262"/>
      <c r="L287" s="262"/>
      <c r="M287" s="260"/>
      <c r="N287" s="260"/>
      <c r="O287" s="99"/>
      <c r="P287" s="99"/>
      <c r="Q287" s="99"/>
      <c r="R287" s="99"/>
      <c r="S287" s="99"/>
      <c r="T287" s="99"/>
      <c r="U287" s="99"/>
      <c r="V287" s="99"/>
      <c r="W287" s="99"/>
      <c r="X287" s="99"/>
      <c r="Y287" s="99"/>
      <c r="Z287" s="99"/>
      <c r="AB287" s="84"/>
      <c r="AC287" s="84"/>
      <c r="AD287" s="84"/>
      <c r="AE287" s="84"/>
      <c r="AF287" s="84"/>
      <c r="AG287" s="84"/>
      <c r="AH287" s="84"/>
      <c r="AI287" s="84"/>
    </row>
    <row r="288" ht="15.75" customHeight="1">
      <c r="A288" s="84"/>
      <c r="B288" s="84"/>
      <c r="C288" s="84"/>
      <c r="D288" s="84"/>
      <c r="E288" s="84"/>
      <c r="F288" s="261"/>
      <c r="G288" s="84"/>
      <c r="H288" s="262"/>
      <c r="I288" s="262"/>
      <c r="J288" s="262"/>
      <c r="K288" s="262"/>
      <c r="L288" s="262"/>
      <c r="M288" s="260"/>
      <c r="N288" s="260"/>
      <c r="O288" s="99"/>
      <c r="P288" s="99"/>
      <c r="Q288" s="99"/>
      <c r="R288" s="99"/>
      <c r="S288" s="99"/>
      <c r="T288" s="99"/>
      <c r="U288" s="99"/>
      <c r="V288" s="99"/>
      <c r="W288" s="99"/>
      <c r="X288" s="99"/>
      <c r="Y288" s="99"/>
      <c r="Z288" s="99"/>
      <c r="AB288" s="84"/>
      <c r="AC288" s="84"/>
      <c r="AD288" s="84"/>
      <c r="AE288" s="84"/>
      <c r="AF288" s="84"/>
      <c r="AG288" s="84"/>
      <c r="AH288" s="84"/>
      <c r="AI288" s="84"/>
    </row>
    <row r="289" ht="15.75" customHeight="1">
      <c r="A289" s="84"/>
      <c r="B289" s="84"/>
      <c r="C289" s="84"/>
      <c r="D289" s="84"/>
      <c r="E289" s="84"/>
      <c r="F289" s="261"/>
      <c r="G289" s="84"/>
      <c r="H289" s="262"/>
      <c r="I289" s="262"/>
      <c r="J289" s="262"/>
      <c r="K289" s="262"/>
      <c r="L289" s="262"/>
      <c r="M289" s="260"/>
      <c r="N289" s="260"/>
      <c r="O289" s="99"/>
      <c r="P289" s="99"/>
      <c r="Q289" s="99"/>
      <c r="R289" s="99"/>
      <c r="S289" s="99"/>
      <c r="T289" s="99"/>
      <c r="U289" s="99"/>
      <c r="V289" s="99"/>
      <c r="W289" s="99"/>
      <c r="X289" s="99"/>
      <c r="Y289" s="99"/>
      <c r="Z289" s="99"/>
      <c r="AB289" s="84"/>
      <c r="AC289" s="84"/>
      <c r="AD289" s="84"/>
      <c r="AE289" s="84"/>
      <c r="AF289" s="84"/>
      <c r="AG289" s="84"/>
      <c r="AH289" s="84"/>
      <c r="AI289" s="84"/>
    </row>
    <row r="290" ht="15.75" customHeight="1">
      <c r="A290" s="84"/>
      <c r="B290" s="84"/>
      <c r="C290" s="84"/>
      <c r="D290" s="84"/>
      <c r="E290" s="84"/>
      <c r="F290" s="261"/>
      <c r="G290" s="84"/>
      <c r="H290" s="262"/>
      <c r="I290" s="262"/>
      <c r="J290" s="262"/>
      <c r="K290" s="262"/>
      <c r="L290" s="262"/>
      <c r="M290" s="260"/>
      <c r="N290" s="260"/>
      <c r="O290" s="99"/>
      <c r="P290" s="99"/>
      <c r="Q290" s="99"/>
      <c r="R290" s="99"/>
      <c r="S290" s="99"/>
      <c r="T290" s="99"/>
      <c r="U290" s="99"/>
      <c r="V290" s="99"/>
      <c r="W290" s="99"/>
      <c r="X290" s="99"/>
      <c r="Y290" s="99"/>
      <c r="Z290" s="99"/>
      <c r="AB290" s="84"/>
      <c r="AC290" s="84"/>
      <c r="AD290" s="84"/>
      <c r="AE290" s="84"/>
      <c r="AF290" s="84"/>
      <c r="AG290" s="84"/>
      <c r="AH290" s="84"/>
      <c r="AI290" s="84"/>
    </row>
    <row r="291" ht="15.75" customHeight="1">
      <c r="A291" s="84"/>
      <c r="B291" s="84"/>
      <c r="C291" s="84"/>
      <c r="D291" s="84"/>
      <c r="E291" s="84"/>
      <c r="F291" s="261"/>
      <c r="G291" s="84"/>
      <c r="H291" s="262"/>
      <c r="I291" s="262"/>
      <c r="J291" s="262"/>
      <c r="K291" s="262"/>
      <c r="L291" s="262"/>
      <c r="M291" s="260"/>
      <c r="N291" s="260"/>
      <c r="O291" s="99"/>
      <c r="P291" s="99"/>
      <c r="Q291" s="99"/>
      <c r="R291" s="99"/>
      <c r="S291" s="99"/>
      <c r="T291" s="99"/>
      <c r="U291" s="99"/>
      <c r="V291" s="99"/>
      <c r="W291" s="99"/>
      <c r="X291" s="99"/>
      <c r="Y291" s="99"/>
      <c r="Z291" s="99"/>
      <c r="AB291" s="84"/>
      <c r="AC291" s="84"/>
      <c r="AD291" s="84"/>
      <c r="AE291" s="84"/>
      <c r="AF291" s="84"/>
      <c r="AG291" s="84"/>
      <c r="AH291" s="84"/>
      <c r="AI291" s="84"/>
    </row>
    <row r="292" ht="15.75" customHeight="1">
      <c r="A292" s="84"/>
      <c r="B292" s="84"/>
      <c r="C292" s="84"/>
      <c r="D292" s="84"/>
      <c r="E292" s="84"/>
      <c r="F292" s="261"/>
      <c r="G292" s="84"/>
      <c r="H292" s="262"/>
      <c r="I292" s="262"/>
      <c r="J292" s="262"/>
      <c r="K292" s="262"/>
      <c r="L292" s="262"/>
      <c r="M292" s="260"/>
      <c r="N292" s="260"/>
      <c r="O292" s="99"/>
      <c r="P292" s="99"/>
      <c r="Q292" s="99"/>
      <c r="R292" s="99"/>
      <c r="S292" s="99"/>
      <c r="T292" s="99"/>
      <c r="U292" s="99"/>
      <c r="V292" s="99"/>
      <c r="W292" s="99"/>
      <c r="X292" s="99"/>
      <c r="Y292" s="99"/>
      <c r="Z292" s="99"/>
      <c r="AB292" s="84"/>
      <c r="AC292" s="84"/>
      <c r="AD292" s="84"/>
      <c r="AE292" s="84"/>
      <c r="AF292" s="84"/>
      <c r="AG292" s="84"/>
      <c r="AH292" s="84"/>
      <c r="AI292" s="84"/>
    </row>
    <row r="293" ht="15.75" customHeight="1">
      <c r="A293" s="84"/>
      <c r="B293" s="84"/>
      <c r="C293" s="84"/>
      <c r="D293" s="84"/>
      <c r="E293" s="84"/>
      <c r="F293" s="261"/>
      <c r="G293" s="84"/>
      <c r="H293" s="262"/>
      <c r="I293" s="262"/>
      <c r="J293" s="262"/>
      <c r="K293" s="262"/>
      <c r="L293" s="262"/>
      <c r="M293" s="260"/>
      <c r="N293" s="260"/>
      <c r="O293" s="99"/>
      <c r="P293" s="99"/>
      <c r="Q293" s="99"/>
      <c r="R293" s="99"/>
      <c r="S293" s="99"/>
      <c r="T293" s="99"/>
      <c r="U293" s="99"/>
      <c r="V293" s="99"/>
      <c r="W293" s="99"/>
      <c r="X293" s="99"/>
      <c r="Y293" s="99"/>
      <c r="Z293" s="99"/>
      <c r="AB293" s="84"/>
      <c r="AC293" s="84"/>
      <c r="AD293" s="84"/>
      <c r="AE293" s="84"/>
      <c r="AF293" s="84"/>
      <c r="AG293" s="84"/>
      <c r="AH293" s="84"/>
      <c r="AI293" s="84"/>
    </row>
    <row r="294" ht="15.75" customHeight="1">
      <c r="A294" s="84"/>
      <c r="B294" s="84"/>
      <c r="C294" s="84"/>
      <c r="D294" s="84"/>
      <c r="E294" s="84"/>
      <c r="F294" s="261"/>
      <c r="G294" s="84"/>
      <c r="H294" s="262"/>
      <c r="I294" s="262"/>
      <c r="J294" s="262"/>
      <c r="K294" s="262"/>
      <c r="L294" s="262"/>
      <c r="M294" s="260"/>
      <c r="N294" s="260"/>
      <c r="O294" s="99"/>
      <c r="P294" s="99"/>
      <c r="Q294" s="99"/>
      <c r="R294" s="99"/>
      <c r="S294" s="99"/>
      <c r="T294" s="99"/>
      <c r="U294" s="99"/>
      <c r="V294" s="99"/>
      <c r="W294" s="99"/>
      <c r="X294" s="99"/>
      <c r="Y294" s="99"/>
      <c r="Z294" s="99"/>
      <c r="AB294" s="84"/>
      <c r="AC294" s="84"/>
      <c r="AD294" s="84"/>
      <c r="AE294" s="84"/>
      <c r="AF294" s="84"/>
      <c r="AG294" s="84"/>
      <c r="AH294" s="84"/>
      <c r="AI294" s="84"/>
    </row>
    <row r="295" ht="15.75" customHeight="1">
      <c r="A295" s="84"/>
      <c r="B295" s="84"/>
      <c r="C295" s="84"/>
      <c r="D295" s="84"/>
      <c r="E295" s="84"/>
      <c r="F295" s="261"/>
      <c r="G295" s="84"/>
      <c r="H295" s="262"/>
      <c r="I295" s="262"/>
      <c r="J295" s="262"/>
      <c r="K295" s="262"/>
      <c r="L295" s="262"/>
      <c r="M295" s="260"/>
      <c r="N295" s="260"/>
      <c r="O295" s="99"/>
      <c r="P295" s="99"/>
      <c r="Q295" s="99"/>
      <c r="R295" s="99"/>
      <c r="S295" s="99"/>
      <c r="T295" s="99"/>
      <c r="U295" s="99"/>
      <c r="V295" s="99"/>
      <c r="W295" s="99"/>
      <c r="X295" s="99"/>
      <c r="Y295" s="99"/>
      <c r="Z295" s="99"/>
      <c r="AB295" s="84"/>
      <c r="AC295" s="84"/>
      <c r="AD295" s="84"/>
      <c r="AE295" s="84"/>
      <c r="AF295" s="84"/>
      <c r="AG295" s="84"/>
      <c r="AH295" s="84"/>
      <c r="AI295" s="84"/>
    </row>
    <row r="296" ht="15.75" customHeight="1">
      <c r="A296" s="84"/>
      <c r="B296" s="84"/>
      <c r="C296" s="84"/>
      <c r="D296" s="84"/>
      <c r="E296" s="84"/>
      <c r="F296" s="261"/>
      <c r="G296" s="84"/>
      <c r="H296" s="262"/>
      <c r="I296" s="262"/>
      <c r="J296" s="262"/>
      <c r="K296" s="262"/>
      <c r="L296" s="262"/>
      <c r="M296" s="260"/>
      <c r="N296" s="260"/>
      <c r="O296" s="99"/>
      <c r="P296" s="99"/>
      <c r="Q296" s="99"/>
      <c r="R296" s="99"/>
      <c r="S296" s="99"/>
      <c r="T296" s="99"/>
      <c r="U296" s="99"/>
      <c r="V296" s="99"/>
      <c r="W296" s="99"/>
      <c r="X296" s="99"/>
      <c r="Y296" s="99"/>
      <c r="Z296" s="99"/>
      <c r="AB296" s="84"/>
      <c r="AC296" s="84"/>
      <c r="AD296" s="84"/>
      <c r="AE296" s="84"/>
      <c r="AF296" s="84"/>
      <c r="AG296" s="84"/>
      <c r="AH296" s="84"/>
      <c r="AI296" s="84"/>
    </row>
    <row r="297" ht="15.75" customHeight="1">
      <c r="A297" s="84"/>
      <c r="B297" s="84"/>
      <c r="C297" s="84"/>
      <c r="D297" s="84"/>
      <c r="E297" s="84"/>
      <c r="F297" s="261"/>
      <c r="G297" s="84"/>
      <c r="H297" s="262"/>
      <c r="I297" s="262"/>
      <c r="J297" s="262"/>
      <c r="K297" s="262"/>
      <c r="L297" s="262"/>
      <c r="M297" s="260"/>
      <c r="N297" s="260"/>
      <c r="O297" s="99"/>
      <c r="P297" s="99"/>
      <c r="Q297" s="99"/>
      <c r="R297" s="99"/>
      <c r="S297" s="99"/>
      <c r="T297" s="99"/>
      <c r="U297" s="99"/>
      <c r="V297" s="99"/>
      <c r="W297" s="99"/>
      <c r="X297" s="99"/>
      <c r="Y297" s="99"/>
      <c r="Z297" s="99"/>
      <c r="AB297" s="84"/>
      <c r="AC297" s="84"/>
      <c r="AD297" s="84"/>
      <c r="AE297" s="84"/>
      <c r="AF297" s="84"/>
      <c r="AG297" s="84"/>
      <c r="AH297" s="84"/>
      <c r="AI297" s="84"/>
    </row>
    <row r="298" ht="15.75" customHeight="1">
      <c r="A298" s="84"/>
      <c r="B298" s="84"/>
      <c r="C298" s="84"/>
      <c r="D298" s="84"/>
      <c r="E298" s="84"/>
      <c r="F298" s="261"/>
      <c r="G298" s="84"/>
      <c r="H298" s="262"/>
      <c r="I298" s="262"/>
      <c r="J298" s="262"/>
      <c r="K298" s="262"/>
      <c r="L298" s="262"/>
      <c r="M298" s="260"/>
      <c r="N298" s="260"/>
      <c r="O298" s="99"/>
      <c r="P298" s="99"/>
      <c r="Q298" s="99"/>
      <c r="R298" s="99"/>
      <c r="S298" s="99"/>
      <c r="T298" s="99"/>
      <c r="U298" s="99"/>
      <c r="V298" s="99"/>
      <c r="W298" s="99"/>
      <c r="X298" s="99"/>
      <c r="Y298" s="99"/>
      <c r="Z298" s="99"/>
      <c r="AB298" s="84"/>
      <c r="AC298" s="84"/>
      <c r="AD298" s="84"/>
      <c r="AE298" s="84"/>
      <c r="AF298" s="84"/>
      <c r="AG298" s="84"/>
      <c r="AH298" s="84"/>
      <c r="AI298" s="84"/>
    </row>
    <row r="299" ht="15.75" customHeight="1">
      <c r="A299" s="84"/>
      <c r="B299" s="84"/>
      <c r="C299" s="84"/>
      <c r="D299" s="84"/>
      <c r="E299" s="84"/>
      <c r="F299" s="261"/>
      <c r="G299" s="84"/>
      <c r="H299" s="262"/>
      <c r="I299" s="262"/>
      <c r="J299" s="262"/>
      <c r="K299" s="262"/>
      <c r="L299" s="262"/>
      <c r="M299" s="260"/>
      <c r="N299" s="260"/>
      <c r="O299" s="99"/>
      <c r="P299" s="99"/>
      <c r="Q299" s="99"/>
      <c r="R299" s="99"/>
      <c r="S299" s="99"/>
      <c r="T299" s="99"/>
      <c r="U299" s="99"/>
      <c r="V299" s="99"/>
      <c r="W299" s="99"/>
      <c r="X299" s="99"/>
      <c r="Y299" s="99"/>
      <c r="Z299" s="99"/>
      <c r="AB299" s="84"/>
      <c r="AC299" s="84"/>
      <c r="AD299" s="84"/>
      <c r="AE299" s="84"/>
      <c r="AF299" s="84"/>
      <c r="AG299" s="84"/>
      <c r="AH299" s="84"/>
      <c r="AI299" s="84"/>
    </row>
    <row r="300" ht="15.75" customHeight="1">
      <c r="A300" s="84"/>
      <c r="B300" s="84"/>
      <c r="C300" s="84"/>
      <c r="D300" s="84"/>
      <c r="E300" s="84"/>
      <c r="F300" s="261"/>
      <c r="G300" s="84"/>
      <c r="H300" s="262"/>
      <c r="I300" s="262"/>
      <c r="J300" s="262"/>
      <c r="K300" s="262"/>
      <c r="L300" s="262"/>
      <c r="M300" s="260"/>
      <c r="N300" s="260"/>
      <c r="O300" s="99"/>
      <c r="P300" s="99"/>
      <c r="Q300" s="99"/>
      <c r="R300" s="99"/>
      <c r="S300" s="99"/>
      <c r="T300" s="99"/>
      <c r="U300" s="99"/>
      <c r="V300" s="99"/>
      <c r="W300" s="99"/>
      <c r="X300" s="99"/>
      <c r="Y300" s="99"/>
      <c r="Z300" s="99"/>
      <c r="AB300" s="84"/>
      <c r="AC300" s="84"/>
      <c r="AD300" s="84"/>
      <c r="AE300" s="84"/>
      <c r="AF300" s="84"/>
      <c r="AG300" s="84"/>
      <c r="AH300" s="84"/>
      <c r="AI300" s="84"/>
    </row>
    <row r="301" ht="15.75" customHeight="1">
      <c r="A301" s="84"/>
      <c r="B301" s="84"/>
      <c r="C301" s="84"/>
      <c r="D301" s="84"/>
      <c r="E301" s="84"/>
      <c r="F301" s="261"/>
      <c r="G301" s="84"/>
      <c r="H301" s="262"/>
      <c r="I301" s="262"/>
      <c r="J301" s="262"/>
      <c r="K301" s="262"/>
      <c r="L301" s="262"/>
      <c r="M301" s="260"/>
      <c r="N301" s="260"/>
      <c r="O301" s="99"/>
      <c r="P301" s="99"/>
      <c r="Q301" s="99"/>
      <c r="R301" s="99"/>
      <c r="S301" s="99"/>
      <c r="T301" s="99"/>
      <c r="U301" s="99"/>
      <c r="V301" s="99"/>
      <c r="W301" s="99"/>
      <c r="X301" s="99"/>
      <c r="Y301" s="99"/>
      <c r="Z301" s="99"/>
      <c r="AB301" s="84"/>
      <c r="AC301" s="84"/>
      <c r="AD301" s="84"/>
      <c r="AE301" s="84"/>
      <c r="AF301" s="84"/>
      <c r="AG301" s="84"/>
      <c r="AH301" s="84"/>
      <c r="AI301" s="84"/>
    </row>
    <row r="302" ht="15.75" customHeight="1">
      <c r="A302" s="84"/>
      <c r="B302" s="84"/>
      <c r="C302" s="84"/>
      <c r="D302" s="84"/>
      <c r="E302" s="84"/>
      <c r="F302" s="261"/>
      <c r="G302" s="84"/>
      <c r="H302" s="262"/>
      <c r="I302" s="262"/>
      <c r="J302" s="262"/>
      <c r="K302" s="262"/>
      <c r="L302" s="262"/>
      <c r="M302" s="260"/>
      <c r="N302" s="260"/>
      <c r="O302" s="99"/>
      <c r="P302" s="99"/>
      <c r="Q302" s="99"/>
      <c r="R302" s="99"/>
      <c r="S302" s="99"/>
      <c r="T302" s="99"/>
      <c r="U302" s="99"/>
      <c r="V302" s="99"/>
      <c r="W302" s="99"/>
      <c r="X302" s="99"/>
      <c r="Y302" s="99"/>
      <c r="Z302" s="99"/>
      <c r="AB302" s="84"/>
      <c r="AC302" s="84"/>
      <c r="AD302" s="84"/>
      <c r="AE302" s="84"/>
      <c r="AF302" s="84"/>
      <c r="AG302" s="84"/>
      <c r="AH302" s="84"/>
      <c r="AI302" s="84"/>
    </row>
    <row r="303" ht="15.75" customHeight="1">
      <c r="A303" s="84"/>
      <c r="B303" s="84"/>
      <c r="C303" s="84"/>
      <c r="D303" s="84"/>
      <c r="E303" s="84"/>
      <c r="F303" s="261"/>
      <c r="G303" s="84"/>
      <c r="H303" s="262"/>
      <c r="I303" s="262"/>
      <c r="J303" s="262"/>
      <c r="K303" s="262"/>
      <c r="L303" s="262"/>
      <c r="M303" s="260"/>
      <c r="N303" s="260"/>
      <c r="O303" s="99"/>
      <c r="P303" s="99"/>
      <c r="Q303" s="99"/>
      <c r="R303" s="99"/>
      <c r="S303" s="99"/>
      <c r="T303" s="99"/>
      <c r="U303" s="99"/>
      <c r="V303" s="99"/>
      <c r="W303" s="99"/>
      <c r="X303" s="99"/>
      <c r="Y303" s="99"/>
      <c r="Z303" s="99"/>
      <c r="AB303" s="84"/>
      <c r="AC303" s="84"/>
      <c r="AD303" s="84"/>
      <c r="AE303" s="84"/>
      <c r="AF303" s="84"/>
      <c r="AG303" s="84"/>
      <c r="AH303" s="84"/>
      <c r="AI303" s="84"/>
    </row>
    <row r="304" ht="15.75" customHeight="1">
      <c r="A304" s="84"/>
      <c r="B304" s="84"/>
      <c r="C304" s="84"/>
      <c r="D304" s="84"/>
      <c r="E304" s="84"/>
      <c r="F304" s="261"/>
      <c r="G304" s="84"/>
      <c r="H304" s="262"/>
      <c r="I304" s="262"/>
      <c r="J304" s="262"/>
      <c r="K304" s="262"/>
      <c r="L304" s="262"/>
      <c r="M304" s="260"/>
      <c r="N304" s="260"/>
      <c r="O304" s="99"/>
      <c r="P304" s="99"/>
      <c r="Q304" s="99"/>
      <c r="R304" s="99"/>
      <c r="S304" s="99"/>
      <c r="T304" s="99"/>
      <c r="U304" s="99"/>
      <c r="V304" s="99"/>
      <c r="W304" s="99"/>
      <c r="X304" s="99"/>
      <c r="Y304" s="99"/>
      <c r="Z304" s="99"/>
      <c r="AB304" s="84"/>
      <c r="AC304" s="84"/>
      <c r="AD304" s="84"/>
      <c r="AE304" s="84"/>
      <c r="AF304" s="84"/>
      <c r="AG304" s="84"/>
      <c r="AH304" s="84"/>
      <c r="AI304" s="84"/>
    </row>
    <row r="305" ht="15.75" customHeight="1">
      <c r="A305" s="84"/>
      <c r="B305" s="84"/>
      <c r="C305" s="84"/>
      <c r="D305" s="84"/>
      <c r="E305" s="84"/>
      <c r="F305" s="261"/>
      <c r="G305" s="84"/>
      <c r="H305" s="262"/>
      <c r="I305" s="262"/>
      <c r="J305" s="262"/>
      <c r="K305" s="262"/>
      <c r="L305" s="262"/>
      <c r="M305" s="260"/>
      <c r="N305" s="260"/>
      <c r="O305" s="99"/>
      <c r="P305" s="99"/>
      <c r="Q305" s="99"/>
      <c r="R305" s="99"/>
      <c r="S305" s="99"/>
      <c r="T305" s="99"/>
      <c r="U305" s="99"/>
      <c r="V305" s="99"/>
      <c r="W305" s="99"/>
      <c r="X305" s="99"/>
      <c r="Y305" s="99"/>
      <c r="Z305" s="99"/>
      <c r="AB305" s="84"/>
      <c r="AC305" s="84"/>
      <c r="AD305" s="84"/>
      <c r="AE305" s="84"/>
      <c r="AF305" s="84"/>
      <c r="AG305" s="84"/>
      <c r="AH305" s="84"/>
      <c r="AI305" s="84"/>
    </row>
    <row r="306" ht="15.75" customHeight="1">
      <c r="A306" s="84"/>
      <c r="B306" s="84"/>
      <c r="C306" s="84"/>
      <c r="D306" s="84"/>
      <c r="E306" s="84"/>
      <c r="F306" s="261"/>
      <c r="G306" s="84"/>
      <c r="H306" s="262"/>
      <c r="I306" s="262"/>
      <c r="J306" s="262"/>
      <c r="K306" s="262"/>
      <c r="L306" s="262"/>
      <c r="M306" s="260"/>
      <c r="N306" s="260"/>
      <c r="O306" s="99"/>
      <c r="P306" s="99"/>
      <c r="Q306" s="99"/>
      <c r="R306" s="99"/>
      <c r="S306" s="99"/>
      <c r="T306" s="99"/>
      <c r="U306" s="99"/>
      <c r="V306" s="99"/>
      <c r="W306" s="99"/>
      <c r="X306" s="99"/>
      <c r="Y306" s="99"/>
      <c r="Z306" s="99"/>
      <c r="AB306" s="84"/>
      <c r="AC306" s="84"/>
      <c r="AD306" s="84"/>
      <c r="AE306" s="84"/>
      <c r="AF306" s="84"/>
      <c r="AG306" s="84"/>
      <c r="AH306" s="84"/>
      <c r="AI306" s="84"/>
    </row>
    <row r="307" ht="15.75" customHeight="1">
      <c r="A307" s="84"/>
      <c r="B307" s="84"/>
      <c r="C307" s="84"/>
      <c r="D307" s="84"/>
      <c r="E307" s="84"/>
      <c r="F307" s="261"/>
      <c r="G307" s="84"/>
      <c r="H307" s="262"/>
      <c r="I307" s="262"/>
      <c r="J307" s="262"/>
      <c r="K307" s="262"/>
      <c r="L307" s="262"/>
      <c r="M307" s="260"/>
      <c r="N307" s="260"/>
      <c r="O307" s="99"/>
      <c r="P307" s="99"/>
      <c r="Q307" s="99"/>
      <c r="R307" s="99"/>
      <c r="S307" s="99"/>
      <c r="T307" s="99"/>
      <c r="U307" s="99"/>
      <c r="V307" s="99"/>
      <c r="W307" s="99"/>
      <c r="X307" s="99"/>
      <c r="Y307" s="99"/>
      <c r="Z307" s="99"/>
      <c r="AB307" s="84"/>
      <c r="AC307" s="84"/>
      <c r="AD307" s="84"/>
      <c r="AE307" s="84"/>
      <c r="AF307" s="84"/>
      <c r="AG307" s="84"/>
      <c r="AH307" s="84"/>
      <c r="AI307" s="84"/>
    </row>
    <row r="308" ht="15.75" customHeight="1">
      <c r="A308" s="84"/>
      <c r="B308" s="84"/>
      <c r="C308" s="84"/>
      <c r="D308" s="84"/>
      <c r="E308" s="84"/>
      <c r="F308" s="261"/>
      <c r="G308" s="84"/>
      <c r="H308" s="262"/>
      <c r="I308" s="262"/>
      <c r="J308" s="262"/>
      <c r="K308" s="262"/>
      <c r="L308" s="262"/>
      <c r="M308" s="260"/>
      <c r="N308" s="260"/>
      <c r="O308" s="99"/>
      <c r="P308" s="99"/>
      <c r="Q308" s="99"/>
      <c r="R308" s="99"/>
      <c r="S308" s="99"/>
      <c r="T308" s="99"/>
      <c r="U308" s="99"/>
      <c r="V308" s="99"/>
      <c r="W308" s="99"/>
      <c r="X308" s="99"/>
      <c r="Y308" s="99"/>
      <c r="Z308" s="99"/>
      <c r="AB308" s="84"/>
      <c r="AC308" s="84"/>
      <c r="AD308" s="84"/>
      <c r="AE308" s="84"/>
      <c r="AF308" s="84"/>
      <c r="AG308" s="84"/>
      <c r="AH308" s="84"/>
      <c r="AI308" s="84"/>
    </row>
    <row r="309" ht="15.75" customHeight="1">
      <c r="A309" s="84"/>
      <c r="B309" s="84"/>
      <c r="C309" s="84"/>
      <c r="D309" s="84"/>
      <c r="E309" s="84"/>
      <c r="F309" s="261"/>
      <c r="G309" s="84"/>
      <c r="H309" s="262"/>
      <c r="I309" s="262"/>
      <c r="J309" s="262"/>
      <c r="K309" s="262"/>
      <c r="L309" s="262"/>
      <c r="M309" s="260"/>
      <c r="N309" s="260"/>
      <c r="O309" s="99"/>
      <c r="P309" s="99"/>
      <c r="Q309" s="99"/>
      <c r="R309" s="99"/>
      <c r="S309" s="99"/>
      <c r="T309" s="99"/>
      <c r="U309" s="99"/>
      <c r="V309" s="99"/>
      <c r="W309" s="99"/>
      <c r="X309" s="99"/>
      <c r="Y309" s="99"/>
      <c r="Z309" s="99"/>
      <c r="AB309" s="84"/>
      <c r="AC309" s="84"/>
      <c r="AD309" s="84"/>
      <c r="AE309" s="84"/>
      <c r="AF309" s="84"/>
      <c r="AG309" s="84"/>
      <c r="AH309" s="84"/>
      <c r="AI309" s="84"/>
    </row>
    <row r="310" ht="15.75" customHeight="1">
      <c r="A310" s="84"/>
      <c r="B310" s="84"/>
      <c r="C310" s="84"/>
      <c r="D310" s="84"/>
      <c r="E310" s="84"/>
      <c r="F310" s="261"/>
      <c r="G310" s="84"/>
      <c r="H310" s="262"/>
      <c r="I310" s="262"/>
      <c r="J310" s="262"/>
      <c r="K310" s="262"/>
      <c r="L310" s="262"/>
      <c r="M310" s="260"/>
      <c r="N310" s="260"/>
      <c r="O310" s="99"/>
      <c r="P310" s="99"/>
      <c r="Q310" s="99"/>
      <c r="R310" s="99"/>
      <c r="S310" s="99"/>
      <c r="T310" s="99"/>
      <c r="U310" s="99"/>
      <c r="V310" s="99"/>
      <c r="W310" s="99"/>
      <c r="X310" s="99"/>
      <c r="Y310" s="99"/>
      <c r="Z310" s="99"/>
      <c r="AB310" s="84"/>
      <c r="AC310" s="84"/>
      <c r="AD310" s="84"/>
      <c r="AE310" s="84"/>
      <c r="AF310" s="84"/>
      <c r="AG310" s="84"/>
      <c r="AH310" s="84"/>
      <c r="AI310" s="84"/>
    </row>
    <row r="311" ht="15.75" customHeight="1">
      <c r="A311" s="84"/>
      <c r="B311" s="84"/>
      <c r="C311" s="84"/>
      <c r="D311" s="84"/>
      <c r="E311" s="84"/>
      <c r="F311" s="261"/>
      <c r="G311" s="84"/>
      <c r="H311" s="262"/>
      <c r="I311" s="262"/>
      <c r="J311" s="262"/>
      <c r="K311" s="262"/>
      <c r="L311" s="262"/>
      <c r="M311" s="260"/>
      <c r="N311" s="260"/>
      <c r="O311" s="99"/>
      <c r="P311" s="99"/>
      <c r="Q311" s="99"/>
      <c r="R311" s="99"/>
      <c r="S311" s="99"/>
      <c r="T311" s="99"/>
      <c r="U311" s="99"/>
      <c r="V311" s="99"/>
      <c r="W311" s="99"/>
      <c r="X311" s="99"/>
      <c r="Y311" s="99"/>
      <c r="Z311" s="99"/>
      <c r="AB311" s="84"/>
      <c r="AC311" s="84"/>
      <c r="AD311" s="84"/>
      <c r="AE311" s="84"/>
      <c r="AF311" s="84"/>
      <c r="AG311" s="84"/>
      <c r="AH311" s="84"/>
      <c r="AI311" s="84"/>
    </row>
    <row r="312" ht="15.75" customHeight="1">
      <c r="A312" s="84"/>
      <c r="B312" s="84"/>
      <c r="C312" s="84"/>
      <c r="D312" s="84"/>
      <c r="E312" s="84"/>
      <c r="F312" s="261"/>
      <c r="G312" s="84"/>
      <c r="H312" s="262"/>
      <c r="I312" s="262"/>
      <c r="J312" s="262"/>
      <c r="K312" s="262"/>
      <c r="L312" s="262"/>
      <c r="M312" s="260"/>
      <c r="N312" s="260"/>
      <c r="O312" s="99"/>
      <c r="P312" s="99"/>
      <c r="Q312" s="99"/>
      <c r="R312" s="99"/>
      <c r="S312" s="99"/>
      <c r="T312" s="99"/>
      <c r="U312" s="99"/>
      <c r="V312" s="99"/>
      <c r="W312" s="99"/>
      <c r="X312" s="99"/>
      <c r="Y312" s="99"/>
      <c r="Z312" s="99"/>
      <c r="AB312" s="84"/>
      <c r="AC312" s="84"/>
      <c r="AD312" s="84"/>
      <c r="AE312" s="84"/>
      <c r="AF312" s="84"/>
      <c r="AG312" s="84"/>
      <c r="AH312" s="84"/>
      <c r="AI312" s="84"/>
    </row>
    <row r="313" ht="15.75" customHeight="1">
      <c r="A313" s="84"/>
      <c r="B313" s="84"/>
      <c r="C313" s="84"/>
      <c r="D313" s="84"/>
      <c r="E313" s="84"/>
      <c r="F313" s="261"/>
      <c r="G313" s="84"/>
      <c r="H313" s="262"/>
      <c r="I313" s="262"/>
      <c r="J313" s="262"/>
      <c r="K313" s="262"/>
      <c r="L313" s="262"/>
      <c r="M313" s="260"/>
      <c r="N313" s="260"/>
      <c r="O313" s="99"/>
      <c r="P313" s="99"/>
      <c r="Q313" s="99"/>
      <c r="R313" s="99"/>
      <c r="S313" s="99"/>
      <c r="T313" s="99"/>
      <c r="U313" s="99"/>
      <c r="V313" s="99"/>
      <c r="W313" s="99"/>
      <c r="X313" s="99"/>
      <c r="Y313" s="99"/>
      <c r="Z313" s="99"/>
      <c r="AB313" s="84"/>
      <c r="AC313" s="84"/>
      <c r="AD313" s="84"/>
      <c r="AE313" s="84"/>
      <c r="AF313" s="84"/>
      <c r="AG313" s="84"/>
      <c r="AH313" s="84"/>
      <c r="AI313" s="84"/>
    </row>
    <row r="314" ht="15.75" customHeight="1">
      <c r="A314" s="84"/>
      <c r="B314" s="84"/>
      <c r="C314" s="84"/>
      <c r="D314" s="84"/>
      <c r="E314" s="84"/>
      <c r="F314" s="261"/>
      <c r="G314" s="84"/>
      <c r="H314" s="262"/>
      <c r="I314" s="262"/>
      <c r="J314" s="262"/>
      <c r="K314" s="262"/>
      <c r="L314" s="262"/>
      <c r="M314" s="260"/>
      <c r="N314" s="260"/>
      <c r="O314" s="99"/>
      <c r="P314" s="99"/>
      <c r="Q314" s="99"/>
      <c r="R314" s="99"/>
      <c r="S314" s="99"/>
      <c r="T314" s="99"/>
      <c r="U314" s="99"/>
      <c r="V314" s="99"/>
      <c r="W314" s="99"/>
      <c r="X314" s="99"/>
      <c r="Y314" s="99"/>
      <c r="Z314" s="99"/>
      <c r="AB314" s="84"/>
      <c r="AC314" s="84"/>
      <c r="AD314" s="84"/>
      <c r="AE314" s="84"/>
      <c r="AF314" s="84"/>
      <c r="AG314" s="84"/>
      <c r="AH314" s="84"/>
      <c r="AI314" s="84"/>
    </row>
    <row r="315" ht="15.75" customHeight="1">
      <c r="A315" s="84"/>
      <c r="B315" s="84"/>
      <c r="C315" s="84"/>
      <c r="D315" s="84"/>
      <c r="E315" s="84"/>
      <c r="F315" s="261"/>
      <c r="G315" s="84"/>
      <c r="H315" s="262"/>
      <c r="I315" s="262"/>
      <c r="J315" s="262"/>
      <c r="K315" s="262"/>
      <c r="L315" s="262"/>
      <c r="M315" s="260"/>
      <c r="N315" s="260"/>
      <c r="O315" s="99"/>
      <c r="P315" s="99"/>
      <c r="Q315" s="99"/>
      <c r="R315" s="99"/>
      <c r="S315" s="99"/>
      <c r="T315" s="99"/>
      <c r="U315" s="99"/>
      <c r="V315" s="99"/>
      <c r="W315" s="99"/>
      <c r="X315" s="99"/>
      <c r="Y315" s="99"/>
      <c r="Z315" s="99"/>
      <c r="AB315" s="84"/>
      <c r="AC315" s="84"/>
      <c r="AD315" s="84"/>
      <c r="AE315" s="84"/>
      <c r="AF315" s="84"/>
      <c r="AG315" s="84"/>
      <c r="AH315" s="84"/>
      <c r="AI315" s="84"/>
    </row>
    <row r="316" ht="15.75" customHeight="1">
      <c r="A316" s="84"/>
      <c r="B316" s="84"/>
      <c r="C316" s="84"/>
      <c r="D316" s="84"/>
      <c r="E316" s="84"/>
      <c r="F316" s="261"/>
      <c r="G316" s="84"/>
      <c r="H316" s="262"/>
      <c r="I316" s="262"/>
      <c r="J316" s="262"/>
      <c r="K316" s="262"/>
      <c r="L316" s="262"/>
      <c r="M316" s="260"/>
      <c r="N316" s="260"/>
      <c r="O316" s="99"/>
      <c r="P316" s="99"/>
      <c r="Q316" s="99"/>
      <c r="R316" s="99"/>
      <c r="S316" s="99"/>
      <c r="T316" s="99"/>
      <c r="U316" s="99"/>
      <c r="V316" s="99"/>
      <c r="W316" s="99"/>
      <c r="X316" s="99"/>
      <c r="Y316" s="99"/>
      <c r="Z316" s="99"/>
      <c r="AB316" s="84"/>
      <c r="AC316" s="84"/>
      <c r="AD316" s="84"/>
      <c r="AE316" s="84"/>
      <c r="AF316" s="84"/>
      <c r="AG316" s="84"/>
      <c r="AH316" s="84"/>
      <c r="AI316" s="84"/>
    </row>
    <row r="317" ht="15.75" customHeight="1">
      <c r="A317" s="84"/>
      <c r="B317" s="84"/>
      <c r="C317" s="84"/>
      <c r="D317" s="84"/>
      <c r="E317" s="84"/>
      <c r="F317" s="261"/>
      <c r="G317" s="84"/>
      <c r="H317" s="262"/>
      <c r="I317" s="262"/>
      <c r="J317" s="262"/>
      <c r="K317" s="262"/>
      <c r="L317" s="262"/>
      <c r="M317" s="260"/>
      <c r="N317" s="260"/>
      <c r="O317" s="99"/>
      <c r="P317" s="99"/>
      <c r="Q317" s="99"/>
      <c r="R317" s="99"/>
      <c r="S317" s="99"/>
      <c r="T317" s="99"/>
      <c r="U317" s="99"/>
      <c r="V317" s="99"/>
      <c r="W317" s="99"/>
      <c r="X317" s="99"/>
      <c r="Y317" s="99"/>
      <c r="Z317" s="99"/>
      <c r="AB317" s="84"/>
      <c r="AC317" s="84"/>
      <c r="AD317" s="84"/>
      <c r="AE317" s="84"/>
      <c r="AF317" s="84"/>
      <c r="AG317" s="84"/>
      <c r="AH317" s="84"/>
      <c r="AI317" s="84"/>
    </row>
    <row r="318" ht="15.75" customHeight="1">
      <c r="A318" s="84"/>
      <c r="B318" s="84"/>
      <c r="C318" s="84"/>
      <c r="D318" s="84"/>
      <c r="E318" s="84"/>
      <c r="F318" s="261"/>
      <c r="G318" s="84"/>
      <c r="H318" s="262"/>
      <c r="I318" s="262"/>
      <c r="J318" s="262"/>
      <c r="K318" s="262"/>
      <c r="L318" s="262"/>
      <c r="M318" s="260"/>
      <c r="N318" s="260"/>
      <c r="O318" s="99"/>
      <c r="P318" s="99"/>
      <c r="Q318" s="99"/>
      <c r="R318" s="99"/>
      <c r="S318" s="99"/>
      <c r="T318" s="99"/>
      <c r="U318" s="99"/>
      <c r="V318" s="99"/>
      <c r="W318" s="99"/>
      <c r="X318" s="99"/>
      <c r="Y318" s="99"/>
      <c r="Z318" s="99"/>
      <c r="AB318" s="84"/>
      <c r="AC318" s="84"/>
      <c r="AD318" s="84"/>
      <c r="AE318" s="84"/>
      <c r="AF318" s="84"/>
      <c r="AG318" s="84"/>
      <c r="AH318" s="84"/>
      <c r="AI318" s="84"/>
    </row>
    <row r="319" ht="15.75" customHeight="1">
      <c r="A319" s="84"/>
      <c r="B319" s="84"/>
      <c r="C319" s="84"/>
      <c r="D319" s="84"/>
      <c r="E319" s="84"/>
      <c r="F319" s="261"/>
      <c r="G319" s="84"/>
      <c r="H319" s="262"/>
      <c r="I319" s="262"/>
      <c r="J319" s="262"/>
      <c r="K319" s="262"/>
      <c r="L319" s="262"/>
      <c r="M319" s="260"/>
      <c r="N319" s="260"/>
      <c r="O319" s="99"/>
      <c r="P319" s="99"/>
      <c r="Q319" s="99"/>
      <c r="R319" s="99"/>
      <c r="S319" s="99"/>
      <c r="T319" s="99"/>
      <c r="U319" s="99"/>
      <c r="V319" s="99"/>
      <c r="W319" s="99"/>
      <c r="X319" s="99"/>
      <c r="Y319" s="99"/>
      <c r="Z319" s="99"/>
      <c r="AB319" s="84"/>
      <c r="AC319" s="84"/>
      <c r="AD319" s="84"/>
      <c r="AE319" s="84"/>
      <c r="AF319" s="84"/>
      <c r="AG319" s="84"/>
      <c r="AH319" s="84"/>
      <c r="AI319" s="84"/>
    </row>
    <row r="320" ht="15.75" customHeight="1">
      <c r="A320" s="84"/>
      <c r="B320" s="84"/>
      <c r="C320" s="84"/>
      <c r="D320" s="84"/>
      <c r="E320" s="84"/>
      <c r="F320" s="261"/>
      <c r="G320" s="84"/>
      <c r="H320" s="262"/>
      <c r="I320" s="262"/>
      <c r="J320" s="262"/>
      <c r="K320" s="262"/>
      <c r="L320" s="262"/>
      <c r="M320" s="260"/>
      <c r="N320" s="260"/>
      <c r="O320" s="99"/>
      <c r="P320" s="99"/>
      <c r="Q320" s="99"/>
      <c r="R320" s="99"/>
      <c r="S320" s="99"/>
      <c r="T320" s="99"/>
      <c r="U320" s="99"/>
      <c r="V320" s="99"/>
      <c r="W320" s="99"/>
      <c r="X320" s="99"/>
      <c r="Y320" s="99"/>
      <c r="Z320" s="99"/>
      <c r="AB320" s="84"/>
      <c r="AC320" s="84"/>
      <c r="AD320" s="84"/>
      <c r="AE320" s="84"/>
      <c r="AF320" s="84"/>
      <c r="AG320" s="84"/>
      <c r="AH320" s="84"/>
      <c r="AI320" s="84"/>
    </row>
    <row r="321" ht="15.75" customHeight="1">
      <c r="A321" s="84"/>
      <c r="B321" s="84"/>
      <c r="C321" s="84"/>
      <c r="D321" s="84"/>
      <c r="E321" s="84"/>
      <c r="F321" s="261"/>
      <c r="G321" s="84"/>
      <c r="H321" s="262"/>
      <c r="I321" s="262"/>
      <c r="J321" s="262"/>
      <c r="K321" s="262"/>
      <c r="L321" s="262"/>
      <c r="M321" s="260"/>
      <c r="N321" s="260"/>
      <c r="O321" s="99"/>
      <c r="P321" s="99"/>
      <c r="Q321" s="99"/>
      <c r="R321" s="99"/>
      <c r="S321" s="99"/>
      <c r="T321" s="99"/>
      <c r="U321" s="99"/>
      <c r="V321" s="99"/>
      <c r="W321" s="99"/>
      <c r="X321" s="99"/>
      <c r="Y321" s="99"/>
      <c r="Z321" s="99"/>
      <c r="AB321" s="84"/>
      <c r="AC321" s="84"/>
      <c r="AD321" s="84"/>
      <c r="AE321" s="84"/>
      <c r="AF321" s="84"/>
      <c r="AG321" s="84"/>
      <c r="AH321" s="84"/>
      <c r="AI321" s="84"/>
    </row>
    <row r="322" ht="15.75" customHeight="1">
      <c r="A322" s="84"/>
      <c r="B322" s="84"/>
      <c r="C322" s="84"/>
      <c r="D322" s="84"/>
      <c r="E322" s="84"/>
      <c r="F322" s="261"/>
      <c r="G322" s="84"/>
      <c r="H322" s="262"/>
      <c r="I322" s="262"/>
      <c r="J322" s="262"/>
      <c r="K322" s="262"/>
      <c r="L322" s="262"/>
      <c r="M322" s="260"/>
      <c r="N322" s="260"/>
      <c r="O322" s="99"/>
      <c r="P322" s="99"/>
      <c r="Q322" s="99"/>
      <c r="R322" s="99"/>
      <c r="S322" s="99"/>
      <c r="T322" s="99"/>
      <c r="U322" s="99"/>
      <c r="V322" s="99"/>
      <c r="W322" s="99"/>
      <c r="X322" s="99"/>
      <c r="Y322" s="99"/>
      <c r="Z322" s="99"/>
      <c r="AB322" s="84"/>
      <c r="AC322" s="84"/>
      <c r="AD322" s="84"/>
      <c r="AE322" s="84"/>
      <c r="AF322" s="84"/>
      <c r="AG322" s="84"/>
      <c r="AH322" s="84"/>
      <c r="AI322" s="84"/>
    </row>
    <row r="323" ht="15.75" customHeight="1">
      <c r="A323" s="84"/>
      <c r="B323" s="84"/>
      <c r="C323" s="84"/>
      <c r="D323" s="84"/>
      <c r="E323" s="84"/>
      <c r="F323" s="261"/>
      <c r="G323" s="84"/>
      <c r="H323" s="262"/>
      <c r="I323" s="262"/>
      <c r="J323" s="262"/>
      <c r="K323" s="262"/>
      <c r="L323" s="262"/>
      <c r="M323" s="260"/>
      <c r="N323" s="260"/>
      <c r="O323" s="99"/>
      <c r="P323" s="99"/>
      <c r="Q323" s="99"/>
      <c r="R323" s="99"/>
      <c r="S323" s="99"/>
      <c r="T323" s="99"/>
      <c r="U323" s="99"/>
      <c r="V323" s="99"/>
      <c r="W323" s="99"/>
      <c r="X323" s="99"/>
      <c r="Y323" s="99"/>
      <c r="Z323" s="99"/>
      <c r="AB323" s="84"/>
      <c r="AC323" s="84"/>
      <c r="AD323" s="84"/>
      <c r="AE323" s="84"/>
      <c r="AF323" s="84"/>
      <c r="AG323" s="84"/>
      <c r="AH323" s="84"/>
      <c r="AI323" s="84"/>
    </row>
    <row r="324" ht="15.75" customHeight="1">
      <c r="A324" s="84"/>
      <c r="B324" s="84"/>
      <c r="C324" s="84"/>
      <c r="D324" s="84"/>
      <c r="E324" s="84"/>
      <c r="F324" s="261"/>
      <c r="G324" s="84"/>
      <c r="H324" s="262"/>
      <c r="I324" s="262"/>
      <c r="J324" s="262"/>
      <c r="K324" s="262"/>
      <c r="L324" s="262"/>
      <c r="M324" s="260"/>
      <c r="N324" s="260"/>
      <c r="O324" s="99"/>
      <c r="P324" s="99"/>
      <c r="Q324" s="99"/>
      <c r="R324" s="99"/>
      <c r="S324" s="99"/>
      <c r="T324" s="99"/>
      <c r="U324" s="99"/>
      <c r="V324" s="99"/>
      <c r="W324" s="99"/>
      <c r="X324" s="99"/>
      <c r="Y324" s="99"/>
      <c r="Z324" s="99"/>
      <c r="AB324" s="84"/>
      <c r="AC324" s="84"/>
      <c r="AD324" s="84"/>
      <c r="AE324" s="84"/>
      <c r="AF324" s="84"/>
      <c r="AG324" s="84"/>
      <c r="AH324" s="84"/>
      <c r="AI324" s="84"/>
    </row>
    <row r="325" ht="15.75" customHeight="1">
      <c r="A325" s="84"/>
      <c r="B325" s="84"/>
      <c r="C325" s="84"/>
      <c r="D325" s="84"/>
      <c r="E325" s="84"/>
      <c r="F325" s="261"/>
      <c r="G325" s="84"/>
      <c r="H325" s="262"/>
      <c r="I325" s="262"/>
      <c r="J325" s="262"/>
      <c r="K325" s="262"/>
      <c r="L325" s="262"/>
      <c r="M325" s="260"/>
      <c r="N325" s="260"/>
      <c r="O325" s="99"/>
      <c r="P325" s="99"/>
      <c r="Q325" s="99"/>
      <c r="R325" s="99"/>
      <c r="S325" s="99"/>
      <c r="T325" s="99"/>
      <c r="U325" s="99"/>
      <c r="V325" s="99"/>
      <c r="W325" s="99"/>
      <c r="X325" s="99"/>
      <c r="Y325" s="99"/>
      <c r="Z325" s="99"/>
      <c r="AB325" s="84"/>
      <c r="AC325" s="84"/>
      <c r="AD325" s="84"/>
      <c r="AE325" s="84"/>
      <c r="AF325" s="84"/>
      <c r="AG325" s="84"/>
      <c r="AH325" s="84"/>
      <c r="AI325" s="84"/>
    </row>
    <row r="326" ht="15.75" customHeight="1">
      <c r="A326" s="84"/>
      <c r="B326" s="84"/>
      <c r="C326" s="84"/>
      <c r="D326" s="84"/>
      <c r="E326" s="84"/>
      <c r="F326" s="261"/>
      <c r="G326" s="84"/>
      <c r="H326" s="262"/>
      <c r="I326" s="262"/>
      <c r="J326" s="262"/>
      <c r="K326" s="262"/>
      <c r="L326" s="262"/>
      <c r="M326" s="260"/>
      <c r="N326" s="260"/>
      <c r="O326" s="99"/>
      <c r="P326" s="99"/>
      <c r="Q326" s="99"/>
      <c r="R326" s="99"/>
      <c r="S326" s="99"/>
      <c r="T326" s="99"/>
      <c r="U326" s="99"/>
      <c r="V326" s="99"/>
      <c r="W326" s="99"/>
      <c r="X326" s="99"/>
      <c r="Y326" s="99"/>
      <c r="Z326" s="99"/>
      <c r="AB326" s="84"/>
      <c r="AC326" s="84"/>
      <c r="AD326" s="84"/>
      <c r="AE326" s="84"/>
      <c r="AF326" s="84"/>
      <c r="AG326" s="84"/>
      <c r="AH326" s="84"/>
      <c r="AI326" s="84"/>
    </row>
    <row r="327" ht="15.75" customHeight="1">
      <c r="A327" s="84"/>
      <c r="B327" s="84"/>
      <c r="C327" s="84"/>
      <c r="D327" s="84"/>
      <c r="E327" s="84"/>
      <c r="F327" s="261"/>
      <c r="G327" s="84"/>
      <c r="H327" s="262"/>
      <c r="I327" s="262"/>
      <c r="J327" s="262"/>
      <c r="K327" s="262"/>
      <c r="L327" s="262"/>
      <c r="M327" s="260"/>
      <c r="N327" s="260"/>
      <c r="O327" s="99"/>
      <c r="P327" s="99"/>
      <c r="Q327" s="99"/>
      <c r="R327" s="99"/>
      <c r="S327" s="99"/>
      <c r="T327" s="99"/>
      <c r="U327" s="99"/>
      <c r="V327" s="99"/>
      <c r="W327" s="99"/>
      <c r="X327" s="99"/>
      <c r="Y327" s="99"/>
      <c r="Z327" s="99"/>
      <c r="AB327" s="84"/>
      <c r="AC327" s="84"/>
      <c r="AD327" s="84"/>
      <c r="AE327" s="84"/>
      <c r="AF327" s="84"/>
      <c r="AG327" s="84"/>
      <c r="AH327" s="84"/>
      <c r="AI327" s="84"/>
    </row>
    <row r="328" ht="15.75" customHeight="1">
      <c r="A328" s="84"/>
      <c r="B328" s="84"/>
      <c r="C328" s="84"/>
      <c r="D328" s="84"/>
      <c r="E328" s="84"/>
      <c r="F328" s="261"/>
      <c r="G328" s="84"/>
      <c r="H328" s="262"/>
      <c r="I328" s="262"/>
      <c r="J328" s="262"/>
      <c r="K328" s="262"/>
      <c r="L328" s="262"/>
      <c r="M328" s="260"/>
      <c r="N328" s="260"/>
      <c r="O328" s="99"/>
      <c r="P328" s="99"/>
      <c r="Q328" s="99"/>
      <c r="R328" s="99"/>
      <c r="S328" s="99"/>
      <c r="T328" s="99"/>
      <c r="U328" s="99"/>
      <c r="V328" s="99"/>
      <c r="W328" s="99"/>
      <c r="X328" s="99"/>
      <c r="Y328" s="99"/>
      <c r="Z328" s="99"/>
      <c r="AB328" s="84"/>
      <c r="AC328" s="84"/>
      <c r="AD328" s="84"/>
      <c r="AE328" s="84"/>
      <c r="AF328" s="84"/>
      <c r="AG328" s="84"/>
      <c r="AH328" s="84"/>
      <c r="AI328" s="84"/>
    </row>
    <row r="329" ht="15.75" customHeight="1">
      <c r="A329" s="84"/>
      <c r="B329" s="84"/>
      <c r="C329" s="84"/>
      <c r="D329" s="84"/>
      <c r="E329" s="84"/>
      <c r="F329" s="261"/>
      <c r="G329" s="84"/>
      <c r="H329" s="262"/>
      <c r="I329" s="262"/>
      <c r="J329" s="262"/>
      <c r="K329" s="262"/>
      <c r="L329" s="262"/>
      <c r="M329" s="260"/>
      <c r="N329" s="260"/>
      <c r="O329" s="99"/>
      <c r="P329" s="99"/>
      <c r="Q329" s="99"/>
      <c r="R329" s="99"/>
      <c r="S329" s="99"/>
      <c r="T329" s="99"/>
      <c r="U329" s="99"/>
      <c r="V329" s="99"/>
      <c r="W329" s="99"/>
      <c r="X329" s="99"/>
      <c r="Y329" s="99"/>
      <c r="Z329" s="99"/>
      <c r="AB329" s="84"/>
      <c r="AC329" s="84"/>
      <c r="AD329" s="84"/>
      <c r="AE329" s="84"/>
      <c r="AF329" s="84"/>
      <c r="AG329" s="84"/>
      <c r="AH329" s="84"/>
      <c r="AI329" s="84"/>
    </row>
    <row r="330" ht="15.75" customHeight="1">
      <c r="A330" s="84"/>
      <c r="B330" s="84"/>
      <c r="C330" s="84"/>
      <c r="D330" s="84"/>
      <c r="E330" s="84"/>
      <c r="F330" s="261"/>
      <c r="G330" s="84"/>
      <c r="H330" s="262"/>
      <c r="I330" s="262"/>
      <c r="J330" s="262"/>
      <c r="K330" s="262"/>
      <c r="L330" s="262"/>
      <c r="M330" s="260"/>
      <c r="N330" s="260"/>
      <c r="O330" s="99"/>
      <c r="P330" s="99"/>
      <c r="Q330" s="99"/>
      <c r="R330" s="99"/>
      <c r="S330" s="99"/>
      <c r="T330" s="99"/>
      <c r="U330" s="99"/>
      <c r="V330" s="99"/>
      <c r="W330" s="99"/>
      <c r="X330" s="99"/>
      <c r="Y330" s="99"/>
      <c r="Z330" s="99"/>
      <c r="AB330" s="84"/>
      <c r="AC330" s="84"/>
      <c r="AD330" s="84"/>
      <c r="AE330" s="84"/>
      <c r="AF330" s="84"/>
      <c r="AG330" s="84"/>
      <c r="AH330" s="84"/>
      <c r="AI330" s="84"/>
    </row>
    <row r="331" ht="15.75" customHeight="1">
      <c r="A331" s="84"/>
      <c r="B331" s="84"/>
      <c r="C331" s="84"/>
      <c r="D331" s="84"/>
      <c r="E331" s="84"/>
      <c r="F331" s="261"/>
      <c r="G331" s="84"/>
      <c r="H331" s="262"/>
      <c r="I331" s="262"/>
      <c r="J331" s="262"/>
      <c r="K331" s="262"/>
      <c r="L331" s="262"/>
      <c r="M331" s="260"/>
      <c r="N331" s="260"/>
      <c r="O331" s="99"/>
      <c r="P331" s="99"/>
      <c r="Q331" s="99"/>
      <c r="R331" s="99"/>
      <c r="S331" s="99"/>
      <c r="T331" s="99"/>
      <c r="U331" s="99"/>
      <c r="V331" s="99"/>
      <c r="W331" s="99"/>
      <c r="X331" s="99"/>
      <c r="Y331" s="99"/>
      <c r="Z331" s="99"/>
      <c r="AB331" s="84"/>
      <c r="AC331" s="84"/>
      <c r="AD331" s="84"/>
      <c r="AE331" s="84"/>
      <c r="AF331" s="84"/>
      <c r="AG331" s="84"/>
      <c r="AH331" s="84"/>
      <c r="AI331" s="84"/>
    </row>
    <row r="332" ht="15.75" customHeight="1">
      <c r="A332" s="84"/>
      <c r="B332" s="84"/>
      <c r="C332" s="84"/>
      <c r="D332" s="84"/>
      <c r="E332" s="84"/>
      <c r="F332" s="261"/>
      <c r="G332" s="84"/>
      <c r="H332" s="262"/>
      <c r="I332" s="262"/>
      <c r="J332" s="262"/>
      <c r="K332" s="262"/>
      <c r="L332" s="262"/>
      <c r="M332" s="260"/>
      <c r="N332" s="260"/>
      <c r="O332" s="99"/>
      <c r="P332" s="99"/>
      <c r="Q332" s="99"/>
      <c r="R332" s="99"/>
      <c r="S332" s="99"/>
      <c r="T332" s="99"/>
      <c r="U332" s="99"/>
      <c r="V332" s="99"/>
      <c r="W332" s="99"/>
      <c r="X332" s="99"/>
      <c r="Y332" s="99"/>
      <c r="Z332" s="99"/>
      <c r="AB332" s="84"/>
      <c r="AC332" s="84"/>
      <c r="AD332" s="84"/>
      <c r="AE332" s="84"/>
      <c r="AF332" s="84"/>
      <c r="AG332" s="84"/>
      <c r="AH332" s="84"/>
      <c r="AI332" s="84"/>
    </row>
    <row r="333" ht="15.75" customHeight="1">
      <c r="A333" s="84"/>
      <c r="B333" s="84"/>
      <c r="C333" s="84"/>
      <c r="D333" s="84"/>
      <c r="E333" s="84"/>
      <c r="F333" s="261"/>
      <c r="G333" s="84"/>
      <c r="H333" s="262"/>
      <c r="I333" s="262"/>
      <c r="J333" s="262"/>
      <c r="K333" s="262"/>
      <c r="L333" s="262"/>
      <c r="M333" s="260"/>
      <c r="N333" s="260"/>
      <c r="O333" s="99"/>
      <c r="P333" s="99"/>
      <c r="Q333" s="99"/>
      <c r="R333" s="99"/>
      <c r="S333" s="99"/>
      <c r="T333" s="99"/>
      <c r="U333" s="99"/>
      <c r="V333" s="99"/>
      <c r="W333" s="99"/>
      <c r="X333" s="99"/>
      <c r="Y333" s="99"/>
      <c r="Z333" s="99"/>
      <c r="AB333" s="84"/>
      <c r="AC333" s="84"/>
      <c r="AD333" s="84"/>
      <c r="AE333" s="84"/>
      <c r="AF333" s="84"/>
      <c r="AG333" s="84"/>
      <c r="AH333" s="84"/>
      <c r="AI333" s="84"/>
    </row>
    <row r="334" ht="15.75" customHeight="1">
      <c r="A334" s="84"/>
      <c r="B334" s="84"/>
      <c r="C334" s="84"/>
      <c r="D334" s="84"/>
      <c r="E334" s="84"/>
      <c r="F334" s="261"/>
      <c r="G334" s="84"/>
      <c r="H334" s="262"/>
      <c r="I334" s="262"/>
      <c r="J334" s="262"/>
      <c r="K334" s="262"/>
      <c r="L334" s="262"/>
      <c r="M334" s="260"/>
      <c r="N334" s="260"/>
      <c r="O334" s="99"/>
      <c r="P334" s="99"/>
      <c r="Q334" s="99"/>
      <c r="R334" s="99"/>
      <c r="S334" s="99"/>
      <c r="T334" s="99"/>
      <c r="U334" s="99"/>
      <c r="V334" s="99"/>
      <c r="W334" s="99"/>
      <c r="X334" s="99"/>
      <c r="Y334" s="99"/>
      <c r="Z334" s="99"/>
      <c r="AB334" s="84"/>
      <c r="AC334" s="84"/>
      <c r="AD334" s="84"/>
      <c r="AE334" s="84"/>
      <c r="AF334" s="84"/>
      <c r="AG334" s="84"/>
      <c r="AH334" s="84"/>
      <c r="AI334" s="84"/>
    </row>
    <row r="335" ht="15.75" customHeight="1">
      <c r="A335" s="84"/>
      <c r="B335" s="84"/>
      <c r="C335" s="84"/>
      <c r="D335" s="84"/>
      <c r="E335" s="84"/>
      <c r="F335" s="261"/>
      <c r="G335" s="84"/>
      <c r="H335" s="262"/>
      <c r="I335" s="262"/>
      <c r="J335" s="262"/>
      <c r="K335" s="262"/>
      <c r="L335" s="262"/>
      <c r="M335" s="260"/>
      <c r="N335" s="260"/>
      <c r="O335" s="99"/>
      <c r="P335" s="99"/>
      <c r="Q335" s="99"/>
      <c r="R335" s="99"/>
      <c r="S335" s="99"/>
      <c r="T335" s="99"/>
      <c r="U335" s="99"/>
      <c r="V335" s="99"/>
      <c r="W335" s="99"/>
      <c r="X335" s="99"/>
      <c r="Y335" s="99"/>
      <c r="Z335" s="99"/>
      <c r="AB335" s="84"/>
      <c r="AC335" s="84"/>
      <c r="AD335" s="84"/>
      <c r="AE335" s="84"/>
      <c r="AF335" s="84"/>
      <c r="AG335" s="84"/>
      <c r="AH335" s="84"/>
      <c r="AI335" s="84"/>
    </row>
    <row r="336" ht="15.75" customHeight="1">
      <c r="A336" s="84"/>
      <c r="B336" s="84"/>
      <c r="C336" s="84"/>
      <c r="D336" s="84"/>
      <c r="E336" s="84"/>
      <c r="F336" s="261"/>
      <c r="G336" s="84"/>
      <c r="H336" s="262"/>
      <c r="I336" s="262"/>
      <c r="J336" s="262"/>
      <c r="K336" s="262"/>
      <c r="L336" s="262"/>
      <c r="M336" s="260"/>
      <c r="N336" s="260"/>
      <c r="O336" s="99"/>
      <c r="P336" s="99"/>
      <c r="Q336" s="99"/>
      <c r="R336" s="99"/>
      <c r="S336" s="99"/>
      <c r="T336" s="99"/>
      <c r="U336" s="99"/>
      <c r="V336" s="99"/>
      <c r="W336" s="99"/>
      <c r="X336" s="99"/>
      <c r="Y336" s="99"/>
      <c r="Z336" s="99"/>
      <c r="AB336" s="84"/>
      <c r="AC336" s="84"/>
      <c r="AD336" s="84"/>
      <c r="AE336" s="84"/>
      <c r="AF336" s="84"/>
      <c r="AG336" s="84"/>
      <c r="AH336" s="84"/>
      <c r="AI336" s="84"/>
    </row>
    <row r="337" ht="15.75" customHeight="1">
      <c r="A337" s="84"/>
      <c r="B337" s="84"/>
      <c r="C337" s="84"/>
      <c r="D337" s="84"/>
      <c r="E337" s="84"/>
      <c r="F337" s="261"/>
      <c r="G337" s="84"/>
      <c r="H337" s="262"/>
      <c r="I337" s="262"/>
      <c r="J337" s="262"/>
      <c r="K337" s="262"/>
      <c r="L337" s="262"/>
      <c r="M337" s="260"/>
      <c r="N337" s="260"/>
      <c r="O337" s="99"/>
      <c r="P337" s="99"/>
      <c r="Q337" s="99"/>
      <c r="R337" s="99"/>
      <c r="S337" s="99"/>
      <c r="T337" s="99"/>
      <c r="U337" s="99"/>
      <c r="V337" s="99"/>
      <c r="W337" s="99"/>
      <c r="X337" s="99"/>
      <c r="Y337" s="99"/>
      <c r="Z337" s="99"/>
      <c r="AB337" s="84"/>
      <c r="AC337" s="84"/>
      <c r="AD337" s="84"/>
      <c r="AE337" s="84"/>
      <c r="AF337" s="84"/>
      <c r="AG337" s="84"/>
      <c r="AH337" s="84"/>
      <c r="AI337" s="84"/>
    </row>
    <row r="338" ht="15.75" customHeight="1">
      <c r="A338" s="84"/>
      <c r="B338" s="84"/>
      <c r="C338" s="84"/>
      <c r="D338" s="84"/>
      <c r="E338" s="84"/>
      <c r="F338" s="261"/>
      <c r="G338" s="84"/>
      <c r="H338" s="262"/>
      <c r="I338" s="262"/>
      <c r="J338" s="262"/>
      <c r="K338" s="262"/>
      <c r="L338" s="262"/>
      <c r="M338" s="260"/>
      <c r="N338" s="260"/>
      <c r="O338" s="99"/>
      <c r="P338" s="99"/>
      <c r="Q338" s="99"/>
      <c r="R338" s="99"/>
      <c r="S338" s="99"/>
      <c r="T338" s="99"/>
      <c r="U338" s="99"/>
      <c r="V338" s="99"/>
      <c r="W338" s="99"/>
      <c r="X338" s="99"/>
      <c r="Y338" s="99"/>
      <c r="Z338" s="99"/>
      <c r="AB338" s="84"/>
      <c r="AC338" s="84"/>
      <c r="AD338" s="84"/>
      <c r="AE338" s="84"/>
      <c r="AF338" s="84"/>
      <c r="AG338" s="84"/>
      <c r="AH338" s="84"/>
      <c r="AI338" s="84"/>
    </row>
    <row r="339" ht="15.75" customHeight="1">
      <c r="A339" s="84"/>
      <c r="B339" s="84"/>
      <c r="C339" s="84"/>
      <c r="D339" s="84"/>
      <c r="E339" s="84"/>
      <c r="F339" s="261"/>
      <c r="G339" s="84"/>
      <c r="H339" s="262"/>
      <c r="I339" s="262"/>
      <c r="J339" s="262"/>
      <c r="K339" s="262"/>
      <c r="L339" s="262"/>
      <c r="M339" s="260"/>
      <c r="N339" s="260"/>
      <c r="O339" s="99"/>
      <c r="P339" s="99"/>
      <c r="Q339" s="99"/>
      <c r="R339" s="99"/>
      <c r="S339" s="99"/>
      <c r="T339" s="99"/>
      <c r="U339" s="99"/>
      <c r="V339" s="99"/>
      <c r="W339" s="99"/>
      <c r="X339" s="99"/>
      <c r="Y339" s="99"/>
      <c r="Z339" s="99"/>
      <c r="AB339" s="84"/>
      <c r="AC339" s="84"/>
      <c r="AD339" s="84"/>
      <c r="AE339" s="84"/>
      <c r="AF339" s="84"/>
      <c r="AG339" s="84"/>
      <c r="AH339" s="84"/>
      <c r="AI339" s="84"/>
    </row>
    <row r="340" ht="15.75" customHeight="1">
      <c r="A340" s="84"/>
      <c r="B340" s="84"/>
      <c r="C340" s="84"/>
      <c r="D340" s="84"/>
      <c r="E340" s="84"/>
      <c r="F340" s="261"/>
      <c r="G340" s="84"/>
      <c r="H340" s="262"/>
      <c r="I340" s="262"/>
      <c r="J340" s="262"/>
      <c r="K340" s="262"/>
      <c r="L340" s="262"/>
      <c r="M340" s="260"/>
      <c r="N340" s="260"/>
      <c r="O340" s="99"/>
      <c r="P340" s="99"/>
      <c r="Q340" s="99"/>
      <c r="R340" s="99"/>
      <c r="S340" s="99"/>
      <c r="T340" s="99"/>
      <c r="U340" s="99"/>
      <c r="V340" s="99"/>
      <c r="W340" s="99"/>
      <c r="X340" s="99"/>
      <c r="Y340" s="99"/>
      <c r="Z340" s="99"/>
      <c r="AB340" s="84"/>
      <c r="AC340" s="84"/>
      <c r="AD340" s="84"/>
      <c r="AE340" s="84"/>
      <c r="AF340" s="84"/>
      <c r="AG340" s="84"/>
      <c r="AH340" s="84"/>
      <c r="AI340" s="84"/>
    </row>
    <row r="341" ht="15.75" customHeight="1">
      <c r="A341" s="84"/>
      <c r="B341" s="84"/>
      <c r="C341" s="84"/>
      <c r="D341" s="84"/>
      <c r="E341" s="84"/>
      <c r="F341" s="261"/>
      <c r="G341" s="84"/>
      <c r="H341" s="262"/>
      <c r="I341" s="262"/>
      <c r="J341" s="262"/>
      <c r="K341" s="262"/>
      <c r="L341" s="262"/>
      <c r="M341" s="260"/>
      <c r="N341" s="260"/>
      <c r="O341" s="99"/>
      <c r="P341" s="99"/>
      <c r="Q341" s="99"/>
      <c r="R341" s="99"/>
      <c r="S341" s="99"/>
      <c r="T341" s="99"/>
      <c r="U341" s="99"/>
      <c r="V341" s="99"/>
      <c r="W341" s="99"/>
      <c r="X341" s="99"/>
      <c r="Y341" s="99"/>
      <c r="Z341" s="99"/>
      <c r="AB341" s="84"/>
      <c r="AC341" s="84"/>
      <c r="AD341" s="84"/>
      <c r="AE341" s="84"/>
      <c r="AF341" s="84"/>
      <c r="AG341" s="84"/>
      <c r="AH341" s="84"/>
      <c r="AI341" s="84"/>
    </row>
    <row r="342" ht="15.75" customHeight="1">
      <c r="A342" s="84"/>
      <c r="B342" s="84"/>
      <c r="C342" s="84"/>
      <c r="D342" s="84"/>
      <c r="E342" s="84"/>
      <c r="F342" s="261"/>
      <c r="G342" s="84"/>
      <c r="H342" s="262"/>
      <c r="I342" s="262"/>
      <c r="J342" s="262"/>
      <c r="K342" s="262"/>
      <c r="L342" s="262"/>
      <c r="M342" s="260"/>
      <c r="N342" s="260"/>
      <c r="O342" s="99"/>
      <c r="P342" s="99"/>
      <c r="Q342" s="99"/>
      <c r="R342" s="99"/>
      <c r="S342" s="99"/>
      <c r="T342" s="99"/>
      <c r="U342" s="99"/>
      <c r="V342" s="99"/>
      <c r="W342" s="99"/>
      <c r="X342" s="99"/>
      <c r="Y342" s="99"/>
      <c r="Z342" s="99"/>
      <c r="AB342" s="84"/>
      <c r="AC342" s="84"/>
      <c r="AD342" s="84"/>
      <c r="AE342" s="84"/>
      <c r="AF342" s="84"/>
      <c r="AG342" s="84"/>
      <c r="AH342" s="84"/>
      <c r="AI342" s="84"/>
    </row>
    <row r="343" ht="15.75" customHeight="1">
      <c r="A343" s="84"/>
      <c r="B343" s="84"/>
      <c r="C343" s="84"/>
      <c r="D343" s="84"/>
      <c r="E343" s="84"/>
      <c r="F343" s="261"/>
      <c r="G343" s="84"/>
      <c r="H343" s="262"/>
      <c r="I343" s="262"/>
      <c r="J343" s="262"/>
      <c r="K343" s="262"/>
      <c r="L343" s="262"/>
      <c r="M343" s="260"/>
      <c r="N343" s="260"/>
      <c r="O343" s="99"/>
      <c r="P343" s="99"/>
      <c r="Q343" s="99"/>
      <c r="R343" s="99"/>
      <c r="S343" s="99"/>
      <c r="T343" s="99"/>
      <c r="U343" s="99"/>
      <c r="V343" s="99"/>
      <c r="W343" s="99"/>
      <c r="X343" s="99"/>
      <c r="Y343" s="99"/>
      <c r="Z343" s="99"/>
      <c r="AB343" s="84"/>
      <c r="AC343" s="84"/>
      <c r="AD343" s="84"/>
      <c r="AE343" s="84"/>
      <c r="AF343" s="84"/>
      <c r="AG343" s="84"/>
      <c r="AH343" s="84"/>
      <c r="AI343" s="84"/>
    </row>
    <row r="344" ht="15.75" customHeight="1">
      <c r="A344" s="84"/>
      <c r="B344" s="84"/>
      <c r="C344" s="84"/>
      <c r="D344" s="84"/>
      <c r="E344" s="84"/>
      <c r="F344" s="261"/>
      <c r="G344" s="84"/>
      <c r="H344" s="262"/>
      <c r="I344" s="262"/>
      <c r="J344" s="262"/>
      <c r="K344" s="262"/>
      <c r="L344" s="262"/>
      <c r="M344" s="260"/>
      <c r="N344" s="260"/>
      <c r="O344" s="99"/>
      <c r="P344" s="99"/>
      <c r="Q344" s="99"/>
      <c r="R344" s="99"/>
      <c r="S344" s="99"/>
      <c r="T344" s="99"/>
      <c r="U344" s="99"/>
      <c r="V344" s="99"/>
      <c r="W344" s="99"/>
      <c r="X344" s="99"/>
      <c r="Y344" s="99"/>
      <c r="Z344" s="99"/>
      <c r="AB344" s="84"/>
      <c r="AC344" s="84"/>
      <c r="AD344" s="84"/>
      <c r="AE344" s="84"/>
      <c r="AF344" s="84"/>
      <c r="AG344" s="84"/>
      <c r="AH344" s="84"/>
      <c r="AI344" s="84"/>
    </row>
    <row r="345" ht="15.75" customHeight="1">
      <c r="A345" s="84"/>
      <c r="B345" s="84"/>
      <c r="C345" s="84"/>
      <c r="D345" s="84"/>
      <c r="E345" s="84"/>
      <c r="F345" s="261"/>
      <c r="G345" s="84"/>
      <c r="H345" s="262"/>
      <c r="I345" s="262"/>
      <c r="J345" s="262"/>
      <c r="K345" s="262"/>
      <c r="L345" s="262"/>
      <c r="M345" s="260"/>
      <c r="N345" s="260"/>
      <c r="O345" s="99"/>
      <c r="P345" s="99"/>
      <c r="Q345" s="99"/>
      <c r="R345" s="99"/>
      <c r="S345" s="99"/>
      <c r="T345" s="99"/>
      <c r="U345" s="99"/>
      <c r="V345" s="99"/>
      <c r="W345" s="99"/>
      <c r="X345" s="99"/>
      <c r="Y345" s="99"/>
      <c r="Z345" s="99"/>
      <c r="AB345" s="84"/>
      <c r="AC345" s="84"/>
      <c r="AD345" s="84"/>
      <c r="AE345" s="84"/>
      <c r="AF345" s="84"/>
      <c r="AG345" s="84"/>
      <c r="AH345" s="84"/>
      <c r="AI345" s="84"/>
    </row>
    <row r="346" ht="15.75" customHeight="1">
      <c r="A346" s="84"/>
      <c r="B346" s="84"/>
      <c r="C346" s="84"/>
      <c r="D346" s="84"/>
      <c r="E346" s="84"/>
      <c r="F346" s="261"/>
      <c r="G346" s="84"/>
      <c r="H346" s="262"/>
      <c r="I346" s="262"/>
      <c r="J346" s="262"/>
      <c r="K346" s="262"/>
      <c r="L346" s="262"/>
      <c r="M346" s="260"/>
      <c r="N346" s="260"/>
      <c r="O346" s="99"/>
      <c r="P346" s="99"/>
      <c r="Q346" s="99"/>
      <c r="R346" s="99"/>
      <c r="S346" s="99"/>
      <c r="T346" s="99"/>
      <c r="U346" s="99"/>
      <c r="V346" s="99"/>
      <c r="W346" s="99"/>
      <c r="X346" s="99"/>
      <c r="Y346" s="99"/>
      <c r="Z346" s="99"/>
      <c r="AB346" s="84"/>
      <c r="AC346" s="84"/>
      <c r="AD346" s="84"/>
      <c r="AE346" s="84"/>
      <c r="AF346" s="84"/>
      <c r="AG346" s="84"/>
      <c r="AH346" s="84"/>
      <c r="AI346" s="84"/>
    </row>
    <row r="347" ht="15.75" customHeight="1">
      <c r="A347" s="84"/>
      <c r="B347" s="84"/>
      <c r="C347" s="84"/>
      <c r="D347" s="84"/>
      <c r="E347" s="84"/>
      <c r="F347" s="261"/>
      <c r="G347" s="84"/>
      <c r="H347" s="262"/>
      <c r="I347" s="262"/>
      <c r="J347" s="262"/>
      <c r="K347" s="262"/>
      <c r="L347" s="262"/>
      <c r="M347" s="260"/>
      <c r="N347" s="260"/>
      <c r="O347" s="99"/>
      <c r="P347" s="99"/>
      <c r="Q347" s="99"/>
      <c r="R347" s="99"/>
      <c r="S347" s="99"/>
      <c r="T347" s="99"/>
      <c r="U347" s="99"/>
      <c r="V347" s="99"/>
      <c r="W347" s="99"/>
      <c r="X347" s="99"/>
      <c r="Y347" s="99"/>
      <c r="Z347" s="99"/>
      <c r="AB347" s="84"/>
      <c r="AC347" s="84"/>
      <c r="AD347" s="84"/>
      <c r="AE347" s="84"/>
      <c r="AF347" s="84"/>
      <c r="AG347" s="84"/>
      <c r="AH347" s="84"/>
      <c r="AI347" s="84"/>
    </row>
    <row r="348" ht="15.75" customHeight="1">
      <c r="A348" s="84"/>
      <c r="B348" s="84"/>
      <c r="C348" s="84"/>
      <c r="D348" s="84"/>
      <c r="E348" s="84"/>
      <c r="F348" s="261"/>
      <c r="G348" s="84"/>
      <c r="H348" s="262"/>
      <c r="I348" s="262"/>
      <c r="J348" s="262"/>
      <c r="K348" s="262"/>
      <c r="L348" s="262"/>
      <c r="M348" s="260"/>
      <c r="N348" s="260"/>
      <c r="O348" s="99"/>
      <c r="P348" s="99"/>
      <c r="Q348" s="99"/>
      <c r="R348" s="99"/>
      <c r="S348" s="99"/>
      <c r="T348" s="99"/>
      <c r="U348" s="99"/>
      <c r="V348" s="99"/>
      <c r="W348" s="99"/>
      <c r="X348" s="99"/>
      <c r="Y348" s="99"/>
      <c r="Z348" s="99"/>
      <c r="AB348" s="84"/>
      <c r="AC348" s="84"/>
      <c r="AD348" s="84"/>
      <c r="AE348" s="84"/>
      <c r="AF348" s="84"/>
      <c r="AG348" s="84"/>
      <c r="AH348" s="84"/>
      <c r="AI348" s="84"/>
    </row>
    <row r="349" ht="15.75" customHeight="1">
      <c r="A349" s="84"/>
      <c r="B349" s="84"/>
      <c r="C349" s="84"/>
      <c r="D349" s="84"/>
      <c r="E349" s="84"/>
      <c r="F349" s="261"/>
      <c r="G349" s="84"/>
      <c r="H349" s="262"/>
      <c r="I349" s="262"/>
      <c r="J349" s="262"/>
      <c r="K349" s="262"/>
      <c r="L349" s="262"/>
      <c r="M349" s="260"/>
      <c r="N349" s="260"/>
      <c r="O349" s="99"/>
      <c r="P349" s="99"/>
      <c r="Q349" s="99"/>
      <c r="R349" s="99"/>
      <c r="S349" s="99"/>
      <c r="T349" s="99"/>
      <c r="U349" s="99"/>
      <c r="V349" s="99"/>
      <c r="W349" s="99"/>
      <c r="X349" s="99"/>
      <c r="Y349" s="99"/>
      <c r="Z349" s="99"/>
      <c r="AB349" s="84"/>
      <c r="AC349" s="84"/>
      <c r="AD349" s="84"/>
      <c r="AE349" s="84"/>
      <c r="AF349" s="84"/>
      <c r="AG349" s="84"/>
      <c r="AH349" s="84"/>
      <c r="AI349" s="84"/>
    </row>
    <row r="350" ht="15.75" customHeight="1">
      <c r="A350" s="84"/>
      <c r="B350" s="84"/>
      <c r="C350" s="84"/>
      <c r="D350" s="84"/>
      <c r="E350" s="84"/>
      <c r="F350" s="261"/>
      <c r="G350" s="84"/>
      <c r="H350" s="262"/>
      <c r="I350" s="262"/>
      <c r="J350" s="262"/>
      <c r="K350" s="262"/>
      <c r="L350" s="262"/>
      <c r="M350" s="260"/>
      <c r="N350" s="260"/>
      <c r="O350" s="99"/>
      <c r="P350" s="99"/>
      <c r="Q350" s="99"/>
      <c r="R350" s="99"/>
      <c r="S350" s="99"/>
      <c r="T350" s="99"/>
      <c r="U350" s="99"/>
      <c r="V350" s="99"/>
      <c r="W350" s="99"/>
      <c r="X350" s="99"/>
      <c r="Y350" s="99"/>
      <c r="Z350" s="99"/>
      <c r="AB350" s="84"/>
      <c r="AC350" s="84"/>
      <c r="AD350" s="84"/>
      <c r="AE350" s="84"/>
      <c r="AF350" s="84"/>
      <c r="AG350" s="84"/>
      <c r="AH350" s="84"/>
      <c r="AI350" s="84"/>
    </row>
    <row r="351" ht="15.75" customHeight="1">
      <c r="A351" s="84"/>
      <c r="B351" s="84"/>
      <c r="C351" s="84"/>
      <c r="D351" s="84"/>
      <c r="E351" s="84"/>
      <c r="F351" s="261"/>
      <c r="G351" s="84"/>
      <c r="H351" s="262"/>
      <c r="I351" s="262"/>
      <c r="J351" s="262"/>
      <c r="K351" s="262"/>
      <c r="L351" s="262"/>
      <c r="M351" s="260"/>
      <c r="N351" s="260"/>
      <c r="O351" s="99"/>
      <c r="P351" s="99"/>
      <c r="Q351" s="99"/>
      <c r="R351" s="99"/>
      <c r="S351" s="99"/>
      <c r="T351" s="99"/>
      <c r="U351" s="99"/>
      <c r="V351" s="99"/>
      <c r="W351" s="99"/>
      <c r="X351" s="99"/>
      <c r="Y351" s="99"/>
      <c r="Z351" s="99"/>
      <c r="AB351" s="84"/>
      <c r="AC351" s="84"/>
      <c r="AD351" s="84"/>
      <c r="AE351" s="84"/>
      <c r="AF351" s="84"/>
      <c r="AG351" s="84"/>
      <c r="AH351" s="84"/>
      <c r="AI351" s="84"/>
    </row>
    <row r="352" ht="15.75" customHeight="1">
      <c r="A352" s="84"/>
      <c r="B352" s="84"/>
      <c r="C352" s="84"/>
      <c r="D352" s="84"/>
      <c r="E352" s="84"/>
      <c r="F352" s="261"/>
      <c r="G352" s="84"/>
      <c r="H352" s="262"/>
      <c r="I352" s="262"/>
      <c r="J352" s="262"/>
      <c r="K352" s="262"/>
      <c r="L352" s="262"/>
      <c r="M352" s="260"/>
      <c r="N352" s="260"/>
      <c r="O352" s="99"/>
      <c r="P352" s="99"/>
      <c r="Q352" s="99"/>
      <c r="R352" s="99"/>
      <c r="S352" s="99"/>
      <c r="T352" s="99"/>
      <c r="U352" s="99"/>
      <c r="V352" s="99"/>
      <c r="W352" s="99"/>
      <c r="X352" s="99"/>
      <c r="Y352" s="99"/>
      <c r="Z352" s="99"/>
      <c r="AB352" s="84"/>
      <c r="AC352" s="84"/>
      <c r="AD352" s="84"/>
      <c r="AE352" s="84"/>
      <c r="AF352" s="84"/>
      <c r="AG352" s="84"/>
      <c r="AH352" s="84"/>
      <c r="AI352" s="84"/>
    </row>
    <row r="353" ht="15.75" customHeight="1">
      <c r="A353" s="84"/>
      <c r="B353" s="84"/>
      <c r="C353" s="84"/>
      <c r="D353" s="84"/>
      <c r="E353" s="84"/>
      <c r="F353" s="261"/>
      <c r="G353" s="84"/>
      <c r="H353" s="262"/>
      <c r="I353" s="262"/>
      <c r="J353" s="262"/>
      <c r="K353" s="262"/>
      <c r="L353" s="262"/>
      <c r="M353" s="260"/>
      <c r="N353" s="260"/>
      <c r="O353" s="99"/>
      <c r="P353" s="99"/>
      <c r="Q353" s="99"/>
      <c r="R353" s="99"/>
      <c r="S353" s="99"/>
      <c r="T353" s="99"/>
      <c r="U353" s="99"/>
      <c r="V353" s="99"/>
      <c r="W353" s="99"/>
      <c r="X353" s="99"/>
      <c r="Y353" s="99"/>
      <c r="Z353" s="99"/>
      <c r="AB353" s="84"/>
      <c r="AC353" s="84"/>
      <c r="AD353" s="84"/>
      <c r="AE353" s="84"/>
      <c r="AF353" s="84"/>
      <c r="AG353" s="84"/>
      <c r="AH353" s="84"/>
      <c r="AI353" s="84"/>
    </row>
    <row r="354" ht="15.75" customHeight="1">
      <c r="A354" s="84"/>
      <c r="B354" s="84"/>
      <c r="C354" s="84"/>
      <c r="D354" s="84"/>
      <c r="E354" s="84"/>
      <c r="F354" s="261"/>
      <c r="G354" s="84"/>
      <c r="H354" s="262"/>
      <c r="I354" s="262"/>
      <c r="J354" s="262"/>
      <c r="K354" s="262"/>
      <c r="L354" s="262"/>
      <c r="M354" s="260"/>
      <c r="N354" s="260"/>
      <c r="O354" s="99"/>
      <c r="P354" s="99"/>
      <c r="Q354" s="99"/>
      <c r="R354" s="99"/>
      <c r="S354" s="99"/>
      <c r="T354" s="99"/>
      <c r="U354" s="99"/>
      <c r="V354" s="99"/>
      <c r="W354" s="99"/>
      <c r="X354" s="99"/>
      <c r="Y354" s="99"/>
      <c r="Z354" s="99"/>
      <c r="AB354" s="84"/>
      <c r="AC354" s="84"/>
      <c r="AD354" s="84"/>
      <c r="AE354" s="84"/>
      <c r="AF354" s="84"/>
      <c r="AG354" s="84"/>
      <c r="AH354" s="84"/>
      <c r="AI354" s="84"/>
    </row>
    <row r="355" ht="15.75" customHeight="1">
      <c r="A355" s="84"/>
      <c r="B355" s="84"/>
      <c r="C355" s="84"/>
      <c r="D355" s="84"/>
      <c r="E355" s="84"/>
      <c r="F355" s="261"/>
      <c r="G355" s="84"/>
      <c r="H355" s="262"/>
      <c r="I355" s="262"/>
      <c r="J355" s="262"/>
      <c r="K355" s="262"/>
      <c r="L355" s="262"/>
      <c r="M355" s="260"/>
      <c r="N355" s="260"/>
      <c r="O355" s="99"/>
      <c r="P355" s="99"/>
      <c r="Q355" s="99"/>
      <c r="R355" s="99"/>
      <c r="S355" s="99"/>
      <c r="T355" s="99"/>
      <c r="U355" s="99"/>
      <c r="V355" s="99"/>
      <c r="W355" s="99"/>
      <c r="X355" s="99"/>
      <c r="Y355" s="99"/>
      <c r="Z355" s="99"/>
      <c r="AB355" s="84"/>
      <c r="AC355" s="84"/>
      <c r="AD355" s="84"/>
      <c r="AE355" s="84"/>
      <c r="AF355" s="84"/>
      <c r="AG355" s="84"/>
      <c r="AH355" s="84"/>
      <c r="AI355" s="84"/>
    </row>
    <row r="356" ht="15.75" customHeight="1">
      <c r="A356" s="84"/>
      <c r="B356" s="84"/>
      <c r="C356" s="84"/>
      <c r="D356" s="84"/>
      <c r="E356" s="84"/>
      <c r="F356" s="261"/>
      <c r="G356" s="84"/>
      <c r="H356" s="262"/>
      <c r="I356" s="262"/>
      <c r="J356" s="262"/>
      <c r="K356" s="262"/>
      <c r="L356" s="262"/>
      <c r="M356" s="260"/>
      <c r="N356" s="260"/>
      <c r="O356" s="99"/>
      <c r="P356" s="99"/>
      <c r="Q356" s="99"/>
      <c r="R356" s="99"/>
      <c r="S356" s="99"/>
      <c r="T356" s="99"/>
      <c r="U356" s="99"/>
      <c r="V356" s="99"/>
      <c r="W356" s="99"/>
      <c r="X356" s="99"/>
      <c r="Y356" s="99"/>
      <c r="Z356" s="99"/>
      <c r="AB356" s="84"/>
      <c r="AC356" s="84"/>
      <c r="AD356" s="84"/>
      <c r="AE356" s="84"/>
      <c r="AF356" s="84"/>
      <c r="AG356" s="84"/>
      <c r="AH356" s="84"/>
      <c r="AI356" s="84"/>
    </row>
    <row r="357" ht="15.75" customHeight="1">
      <c r="A357" s="84"/>
      <c r="B357" s="84"/>
      <c r="C357" s="84"/>
      <c r="D357" s="84"/>
      <c r="E357" s="84"/>
      <c r="F357" s="261"/>
      <c r="G357" s="84"/>
      <c r="H357" s="262"/>
      <c r="I357" s="262"/>
      <c r="J357" s="262"/>
      <c r="K357" s="262"/>
      <c r="L357" s="262"/>
      <c r="M357" s="260"/>
      <c r="N357" s="260"/>
      <c r="O357" s="99"/>
      <c r="P357" s="99"/>
      <c r="Q357" s="99"/>
      <c r="R357" s="99"/>
      <c r="S357" s="99"/>
      <c r="T357" s="99"/>
      <c r="U357" s="99"/>
      <c r="V357" s="99"/>
      <c r="W357" s="99"/>
      <c r="X357" s="99"/>
      <c r="Y357" s="99"/>
      <c r="Z357" s="99"/>
      <c r="AB357" s="84"/>
      <c r="AC357" s="84"/>
      <c r="AD357" s="84"/>
      <c r="AE357" s="84"/>
      <c r="AF357" s="84"/>
      <c r="AG357" s="84"/>
      <c r="AH357" s="84"/>
      <c r="AI357" s="84"/>
    </row>
    <row r="358" ht="15.75" customHeight="1">
      <c r="A358" s="84"/>
      <c r="B358" s="84"/>
      <c r="C358" s="84"/>
      <c r="D358" s="84"/>
      <c r="E358" s="84"/>
      <c r="F358" s="261"/>
      <c r="G358" s="84"/>
      <c r="H358" s="262"/>
      <c r="I358" s="262"/>
      <c r="J358" s="262"/>
      <c r="K358" s="262"/>
      <c r="L358" s="262"/>
      <c r="M358" s="260"/>
      <c r="N358" s="260"/>
      <c r="O358" s="99"/>
      <c r="P358" s="99"/>
      <c r="Q358" s="99"/>
      <c r="R358" s="99"/>
      <c r="S358" s="99"/>
      <c r="T358" s="99"/>
      <c r="U358" s="99"/>
      <c r="V358" s="99"/>
      <c r="W358" s="99"/>
      <c r="X358" s="99"/>
      <c r="Y358" s="99"/>
      <c r="Z358" s="99"/>
      <c r="AB358" s="84"/>
      <c r="AC358" s="84"/>
      <c r="AD358" s="84"/>
      <c r="AE358" s="84"/>
      <c r="AF358" s="84"/>
      <c r="AG358" s="84"/>
      <c r="AH358" s="84"/>
      <c r="AI358" s="84"/>
    </row>
    <row r="359" ht="15.75" customHeight="1">
      <c r="A359" s="84"/>
      <c r="B359" s="84"/>
      <c r="C359" s="84"/>
      <c r="D359" s="84"/>
      <c r="E359" s="84"/>
      <c r="F359" s="261"/>
      <c r="G359" s="84"/>
      <c r="H359" s="262"/>
      <c r="I359" s="262"/>
      <c r="J359" s="262"/>
      <c r="K359" s="262"/>
      <c r="L359" s="262"/>
      <c r="M359" s="260"/>
      <c r="N359" s="260"/>
      <c r="O359" s="99"/>
      <c r="P359" s="99"/>
      <c r="Q359" s="99"/>
      <c r="R359" s="99"/>
      <c r="S359" s="99"/>
      <c r="T359" s="99"/>
      <c r="U359" s="99"/>
      <c r="V359" s="99"/>
      <c r="W359" s="99"/>
      <c r="X359" s="99"/>
      <c r="Y359" s="99"/>
      <c r="Z359" s="99"/>
      <c r="AB359" s="84"/>
      <c r="AC359" s="84"/>
      <c r="AD359" s="84"/>
      <c r="AE359" s="84"/>
      <c r="AF359" s="84"/>
      <c r="AG359" s="84"/>
      <c r="AH359" s="84"/>
      <c r="AI359" s="84"/>
    </row>
    <row r="360" ht="15.75" customHeight="1">
      <c r="A360" s="84"/>
      <c r="B360" s="84"/>
      <c r="C360" s="84"/>
      <c r="D360" s="84"/>
      <c r="E360" s="84"/>
      <c r="F360" s="261"/>
      <c r="G360" s="84"/>
      <c r="H360" s="262"/>
      <c r="I360" s="262"/>
      <c r="J360" s="262"/>
      <c r="K360" s="262"/>
      <c r="L360" s="262"/>
      <c r="M360" s="260"/>
      <c r="N360" s="260"/>
      <c r="O360" s="99"/>
      <c r="P360" s="99"/>
      <c r="Q360" s="99"/>
      <c r="R360" s="99"/>
      <c r="S360" s="99"/>
      <c r="T360" s="99"/>
      <c r="U360" s="99"/>
      <c r="V360" s="99"/>
      <c r="W360" s="99"/>
      <c r="X360" s="99"/>
      <c r="Y360" s="99"/>
      <c r="Z360" s="99"/>
      <c r="AB360" s="84"/>
      <c r="AC360" s="84"/>
      <c r="AD360" s="84"/>
      <c r="AE360" s="84"/>
      <c r="AF360" s="84"/>
      <c r="AG360" s="84"/>
      <c r="AH360" s="84"/>
      <c r="AI360" s="84"/>
    </row>
    <row r="361" ht="15.75" customHeight="1">
      <c r="A361" s="84"/>
      <c r="B361" s="84"/>
      <c r="C361" s="84"/>
      <c r="D361" s="84"/>
      <c r="E361" s="84"/>
      <c r="F361" s="261"/>
      <c r="G361" s="84"/>
      <c r="H361" s="262"/>
      <c r="I361" s="262"/>
      <c r="J361" s="262"/>
      <c r="K361" s="262"/>
      <c r="L361" s="262"/>
      <c r="M361" s="260"/>
      <c r="N361" s="260"/>
      <c r="O361" s="99"/>
      <c r="P361" s="99"/>
      <c r="Q361" s="99"/>
      <c r="R361" s="99"/>
      <c r="S361" s="99"/>
      <c r="T361" s="99"/>
      <c r="U361" s="99"/>
      <c r="V361" s="99"/>
      <c r="W361" s="99"/>
      <c r="X361" s="99"/>
      <c r="Y361" s="99"/>
      <c r="Z361" s="99"/>
      <c r="AB361" s="84"/>
      <c r="AC361" s="84"/>
      <c r="AD361" s="84"/>
      <c r="AE361" s="84"/>
      <c r="AF361" s="84"/>
      <c r="AG361" s="84"/>
      <c r="AH361" s="84"/>
      <c r="AI361" s="84"/>
    </row>
    <row r="362" ht="15.75" customHeight="1">
      <c r="A362" s="84"/>
      <c r="B362" s="84"/>
      <c r="C362" s="84"/>
      <c r="D362" s="84"/>
      <c r="E362" s="84"/>
      <c r="F362" s="261"/>
      <c r="G362" s="84"/>
      <c r="H362" s="262"/>
      <c r="I362" s="262"/>
      <c r="J362" s="262"/>
      <c r="K362" s="262"/>
      <c r="L362" s="262"/>
      <c r="M362" s="260"/>
      <c r="N362" s="260"/>
      <c r="O362" s="99"/>
      <c r="P362" s="99"/>
      <c r="Q362" s="99"/>
      <c r="R362" s="99"/>
      <c r="S362" s="99"/>
      <c r="T362" s="99"/>
      <c r="U362" s="99"/>
      <c r="V362" s="99"/>
      <c r="W362" s="99"/>
      <c r="X362" s="99"/>
      <c r="Y362" s="99"/>
      <c r="Z362" s="99"/>
      <c r="AB362" s="84"/>
      <c r="AC362" s="84"/>
      <c r="AD362" s="84"/>
      <c r="AE362" s="84"/>
      <c r="AF362" s="84"/>
      <c r="AG362" s="84"/>
      <c r="AH362" s="84"/>
      <c r="AI362" s="84"/>
    </row>
    <row r="363" ht="15.75" customHeight="1">
      <c r="A363" s="84"/>
      <c r="B363" s="84"/>
      <c r="C363" s="84"/>
      <c r="D363" s="84"/>
      <c r="E363" s="84"/>
      <c r="F363" s="261"/>
      <c r="G363" s="84"/>
      <c r="H363" s="262"/>
      <c r="I363" s="262"/>
      <c r="J363" s="262"/>
      <c r="K363" s="262"/>
      <c r="L363" s="262"/>
      <c r="M363" s="260"/>
      <c r="N363" s="260"/>
      <c r="O363" s="99"/>
      <c r="P363" s="99"/>
      <c r="Q363" s="99"/>
      <c r="R363" s="99"/>
      <c r="S363" s="99"/>
      <c r="T363" s="99"/>
      <c r="U363" s="99"/>
      <c r="V363" s="99"/>
      <c r="W363" s="99"/>
      <c r="X363" s="99"/>
      <c r="Y363" s="99"/>
      <c r="Z363" s="99"/>
      <c r="AB363" s="84"/>
      <c r="AC363" s="84"/>
      <c r="AD363" s="84"/>
      <c r="AE363" s="84"/>
      <c r="AF363" s="84"/>
      <c r="AG363" s="84"/>
      <c r="AH363" s="84"/>
      <c r="AI363" s="84"/>
    </row>
    <row r="364" ht="15.75" customHeight="1">
      <c r="A364" s="84"/>
      <c r="B364" s="84"/>
      <c r="C364" s="84"/>
      <c r="D364" s="84"/>
      <c r="E364" s="84"/>
      <c r="F364" s="261"/>
      <c r="G364" s="84"/>
      <c r="H364" s="262"/>
      <c r="I364" s="262"/>
      <c r="J364" s="262"/>
      <c r="K364" s="262"/>
      <c r="L364" s="262"/>
      <c r="M364" s="260"/>
      <c r="N364" s="260"/>
      <c r="O364" s="99"/>
      <c r="P364" s="99"/>
      <c r="Q364" s="99"/>
      <c r="R364" s="99"/>
      <c r="S364" s="99"/>
      <c r="T364" s="99"/>
      <c r="U364" s="99"/>
      <c r="V364" s="99"/>
      <c r="W364" s="99"/>
      <c r="X364" s="99"/>
      <c r="Y364" s="99"/>
      <c r="Z364" s="99"/>
      <c r="AB364" s="84"/>
      <c r="AC364" s="84"/>
      <c r="AD364" s="84"/>
      <c r="AE364" s="84"/>
      <c r="AF364" s="84"/>
      <c r="AG364" s="84"/>
      <c r="AH364" s="84"/>
      <c r="AI364" s="84"/>
    </row>
    <row r="365" ht="15.75" customHeight="1">
      <c r="A365" s="84"/>
      <c r="B365" s="84"/>
      <c r="C365" s="84"/>
      <c r="D365" s="84"/>
      <c r="E365" s="84"/>
      <c r="F365" s="261"/>
      <c r="G365" s="84"/>
      <c r="H365" s="262"/>
      <c r="I365" s="262"/>
      <c r="J365" s="262"/>
      <c r="K365" s="262"/>
      <c r="L365" s="262"/>
      <c r="M365" s="260"/>
      <c r="N365" s="260"/>
      <c r="O365" s="99"/>
      <c r="P365" s="99"/>
      <c r="Q365" s="99"/>
      <c r="R365" s="99"/>
      <c r="S365" s="99"/>
      <c r="T365" s="99"/>
      <c r="U365" s="99"/>
      <c r="V365" s="99"/>
      <c r="W365" s="99"/>
      <c r="X365" s="99"/>
      <c r="Y365" s="99"/>
      <c r="Z365" s="99"/>
      <c r="AB365" s="84"/>
      <c r="AC365" s="84"/>
      <c r="AD365" s="84"/>
      <c r="AE365" s="84"/>
      <c r="AF365" s="84"/>
      <c r="AG365" s="84"/>
      <c r="AH365" s="84"/>
      <c r="AI365" s="84"/>
    </row>
    <row r="366" ht="15.75" customHeight="1">
      <c r="A366" s="84"/>
      <c r="B366" s="84"/>
      <c r="C366" s="84"/>
      <c r="D366" s="84"/>
      <c r="E366" s="84"/>
      <c r="F366" s="261"/>
      <c r="G366" s="84"/>
      <c r="H366" s="262"/>
      <c r="I366" s="262"/>
      <c r="J366" s="262"/>
      <c r="K366" s="262"/>
      <c r="L366" s="262"/>
      <c r="M366" s="260"/>
      <c r="N366" s="260"/>
      <c r="O366" s="99"/>
      <c r="P366" s="99"/>
      <c r="Q366" s="99"/>
      <c r="R366" s="99"/>
      <c r="S366" s="99"/>
      <c r="T366" s="99"/>
      <c r="U366" s="99"/>
      <c r="V366" s="99"/>
      <c r="W366" s="99"/>
      <c r="X366" s="99"/>
      <c r="Y366" s="99"/>
      <c r="Z366" s="99"/>
      <c r="AB366" s="84"/>
      <c r="AC366" s="84"/>
      <c r="AD366" s="84"/>
      <c r="AE366" s="84"/>
      <c r="AF366" s="84"/>
      <c r="AG366" s="84"/>
      <c r="AH366" s="84"/>
      <c r="AI366" s="84"/>
    </row>
    <row r="367" ht="15.75" customHeight="1">
      <c r="A367" s="84"/>
      <c r="B367" s="84"/>
      <c r="C367" s="84"/>
      <c r="D367" s="84"/>
      <c r="E367" s="84"/>
      <c r="F367" s="261"/>
      <c r="G367" s="84"/>
      <c r="H367" s="262"/>
      <c r="I367" s="262"/>
      <c r="J367" s="262"/>
      <c r="K367" s="262"/>
      <c r="L367" s="262"/>
      <c r="M367" s="260"/>
      <c r="N367" s="260"/>
      <c r="O367" s="99"/>
      <c r="P367" s="99"/>
      <c r="Q367" s="99"/>
      <c r="R367" s="99"/>
      <c r="S367" s="99"/>
      <c r="T367" s="99"/>
      <c r="U367" s="99"/>
      <c r="V367" s="99"/>
      <c r="W367" s="99"/>
      <c r="X367" s="99"/>
      <c r="Y367" s="99"/>
      <c r="Z367" s="99"/>
      <c r="AB367" s="84"/>
      <c r="AC367" s="84"/>
      <c r="AD367" s="84"/>
      <c r="AE367" s="84"/>
      <c r="AF367" s="84"/>
      <c r="AG367" s="84"/>
      <c r="AH367" s="84"/>
      <c r="AI367" s="84"/>
    </row>
    <row r="368" ht="15.75" customHeight="1">
      <c r="A368" s="84"/>
      <c r="B368" s="84"/>
      <c r="C368" s="84"/>
      <c r="D368" s="84"/>
      <c r="E368" s="84"/>
      <c r="F368" s="261"/>
      <c r="G368" s="84"/>
      <c r="H368" s="262"/>
      <c r="I368" s="262"/>
      <c r="J368" s="262"/>
      <c r="K368" s="262"/>
      <c r="L368" s="262"/>
      <c r="M368" s="260"/>
      <c r="N368" s="260"/>
      <c r="O368" s="99"/>
      <c r="P368" s="99"/>
      <c r="Q368" s="99"/>
      <c r="R368" s="99"/>
      <c r="S368" s="99"/>
      <c r="T368" s="99"/>
      <c r="U368" s="99"/>
      <c r="V368" s="99"/>
      <c r="W368" s="99"/>
      <c r="X368" s="99"/>
      <c r="Y368" s="99"/>
      <c r="Z368" s="99"/>
      <c r="AB368" s="84"/>
      <c r="AC368" s="84"/>
      <c r="AD368" s="84"/>
      <c r="AE368" s="84"/>
      <c r="AF368" s="84"/>
      <c r="AG368" s="84"/>
      <c r="AH368" s="84"/>
      <c r="AI368" s="84"/>
    </row>
    <row r="369" ht="15.75" customHeight="1">
      <c r="A369" s="84"/>
      <c r="B369" s="84"/>
      <c r="C369" s="84"/>
      <c r="D369" s="84"/>
      <c r="E369" s="84"/>
      <c r="F369" s="261"/>
      <c r="G369" s="84"/>
      <c r="H369" s="262"/>
      <c r="I369" s="262"/>
      <c r="J369" s="262"/>
      <c r="K369" s="262"/>
      <c r="L369" s="262"/>
      <c r="M369" s="260"/>
      <c r="N369" s="260"/>
      <c r="O369" s="99"/>
      <c r="P369" s="99"/>
      <c r="Q369" s="99"/>
      <c r="R369" s="99"/>
      <c r="S369" s="99"/>
      <c r="T369" s="99"/>
      <c r="U369" s="99"/>
      <c r="V369" s="99"/>
      <c r="W369" s="99"/>
      <c r="X369" s="99"/>
      <c r="Y369" s="99"/>
      <c r="Z369" s="99"/>
      <c r="AB369" s="84"/>
      <c r="AC369" s="84"/>
      <c r="AD369" s="84"/>
      <c r="AE369" s="84"/>
      <c r="AF369" s="84"/>
      <c r="AG369" s="84"/>
      <c r="AH369" s="84"/>
      <c r="AI369" s="84"/>
    </row>
    <row r="370" ht="15.75" customHeight="1">
      <c r="A370" s="84"/>
      <c r="B370" s="84"/>
      <c r="C370" s="84"/>
      <c r="D370" s="84"/>
      <c r="E370" s="84"/>
      <c r="F370" s="261"/>
      <c r="G370" s="84"/>
      <c r="H370" s="262"/>
      <c r="I370" s="262"/>
      <c r="J370" s="262"/>
      <c r="K370" s="262"/>
      <c r="L370" s="262"/>
      <c r="M370" s="260"/>
      <c r="N370" s="260"/>
      <c r="O370" s="99"/>
      <c r="P370" s="99"/>
      <c r="Q370" s="99"/>
      <c r="R370" s="99"/>
      <c r="S370" s="99"/>
      <c r="T370" s="99"/>
      <c r="U370" s="99"/>
      <c r="V370" s="99"/>
      <c r="W370" s="99"/>
      <c r="X370" s="99"/>
      <c r="Y370" s="99"/>
      <c r="Z370" s="99"/>
      <c r="AB370" s="84"/>
      <c r="AC370" s="84"/>
      <c r="AD370" s="84"/>
      <c r="AE370" s="84"/>
      <c r="AF370" s="84"/>
      <c r="AG370" s="84"/>
      <c r="AH370" s="84"/>
      <c r="AI370" s="84"/>
    </row>
    <row r="371" ht="15.75" customHeight="1">
      <c r="A371" s="84"/>
      <c r="B371" s="84"/>
      <c r="C371" s="84"/>
      <c r="D371" s="84"/>
      <c r="E371" s="84"/>
      <c r="F371" s="261"/>
      <c r="G371" s="84"/>
      <c r="H371" s="262"/>
      <c r="I371" s="262"/>
      <c r="J371" s="262"/>
      <c r="K371" s="262"/>
      <c r="L371" s="262"/>
      <c r="M371" s="260"/>
      <c r="N371" s="260"/>
      <c r="O371" s="99"/>
      <c r="P371" s="99"/>
      <c r="Q371" s="99"/>
      <c r="R371" s="99"/>
      <c r="S371" s="99"/>
      <c r="T371" s="99"/>
      <c r="U371" s="99"/>
      <c r="V371" s="99"/>
      <c r="W371" s="99"/>
      <c r="X371" s="99"/>
      <c r="Y371" s="99"/>
      <c r="Z371" s="99"/>
      <c r="AB371" s="84"/>
      <c r="AC371" s="84"/>
      <c r="AD371" s="84"/>
      <c r="AE371" s="84"/>
      <c r="AF371" s="84"/>
      <c r="AG371" s="84"/>
      <c r="AH371" s="84"/>
      <c r="AI371" s="84"/>
    </row>
    <row r="372" ht="15.75" customHeight="1">
      <c r="A372" s="84"/>
      <c r="B372" s="84"/>
      <c r="C372" s="84"/>
      <c r="D372" s="84"/>
      <c r="E372" s="84"/>
      <c r="F372" s="261"/>
      <c r="G372" s="84"/>
      <c r="H372" s="262"/>
      <c r="I372" s="262"/>
      <c r="J372" s="262"/>
      <c r="K372" s="262"/>
      <c r="L372" s="262"/>
      <c r="M372" s="260"/>
      <c r="N372" s="260"/>
      <c r="O372" s="99"/>
      <c r="P372" s="99"/>
      <c r="Q372" s="99"/>
      <c r="R372" s="99"/>
      <c r="S372" s="99"/>
      <c r="T372" s="99"/>
      <c r="U372" s="99"/>
      <c r="V372" s="99"/>
      <c r="W372" s="99"/>
      <c r="X372" s="99"/>
      <c r="Y372" s="99"/>
      <c r="Z372" s="99"/>
      <c r="AB372" s="84"/>
      <c r="AC372" s="84"/>
      <c r="AD372" s="84"/>
      <c r="AE372" s="84"/>
      <c r="AF372" s="84"/>
      <c r="AG372" s="84"/>
      <c r="AH372" s="84"/>
      <c r="AI372" s="84"/>
    </row>
    <row r="373" ht="15.75" customHeight="1">
      <c r="A373" s="84"/>
      <c r="B373" s="84"/>
      <c r="C373" s="84"/>
      <c r="D373" s="84"/>
      <c r="E373" s="84"/>
      <c r="F373" s="261"/>
      <c r="G373" s="84"/>
      <c r="H373" s="262"/>
      <c r="I373" s="262"/>
      <c r="J373" s="262"/>
      <c r="K373" s="262"/>
      <c r="L373" s="262"/>
      <c r="M373" s="260"/>
      <c r="N373" s="260"/>
      <c r="O373" s="99"/>
      <c r="P373" s="99"/>
      <c r="Q373" s="99"/>
      <c r="R373" s="99"/>
      <c r="S373" s="99"/>
      <c r="T373" s="99"/>
      <c r="U373" s="99"/>
      <c r="V373" s="99"/>
      <c r="W373" s="99"/>
      <c r="X373" s="99"/>
      <c r="Y373" s="99"/>
      <c r="Z373" s="99"/>
      <c r="AB373" s="84"/>
      <c r="AC373" s="84"/>
      <c r="AD373" s="84"/>
      <c r="AE373" s="84"/>
      <c r="AF373" s="84"/>
      <c r="AG373" s="84"/>
      <c r="AH373" s="84"/>
      <c r="AI373" s="84"/>
    </row>
    <row r="374" ht="15.75" customHeight="1">
      <c r="A374" s="84"/>
      <c r="B374" s="84"/>
      <c r="C374" s="84"/>
      <c r="D374" s="84"/>
      <c r="E374" s="84"/>
      <c r="F374" s="261"/>
      <c r="G374" s="84"/>
      <c r="H374" s="262"/>
      <c r="I374" s="262"/>
      <c r="J374" s="262"/>
      <c r="K374" s="262"/>
      <c r="L374" s="262"/>
      <c r="M374" s="260"/>
      <c r="N374" s="260"/>
      <c r="O374" s="99"/>
      <c r="P374" s="99"/>
      <c r="Q374" s="99"/>
      <c r="R374" s="99"/>
      <c r="S374" s="99"/>
      <c r="T374" s="99"/>
      <c r="U374" s="99"/>
      <c r="V374" s="99"/>
      <c r="W374" s="99"/>
      <c r="X374" s="99"/>
      <c r="Y374" s="99"/>
      <c r="Z374" s="99"/>
      <c r="AB374" s="84"/>
      <c r="AC374" s="84"/>
      <c r="AD374" s="84"/>
      <c r="AE374" s="84"/>
      <c r="AF374" s="84"/>
      <c r="AG374" s="84"/>
      <c r="AH374" s="84"/>
      <c r="AI374" s="84"/>
    </row>
    <row r="375" ht="15.75" customHeight="1">
      <c r="A375" s="84"/>
      <c r="B375" s="84"/>
      <c r="C375" s="84"/>
      <c r="D375" s="84"/>
      <c r="E375" s="84"/>
      <c r="F375" s="261"/>
      <c r="G375" s="84"/>
      <c r="H375" s="262"/>
      <c r="I375" s="262"/>
      <c r="J375" s="262"/>
      <c r="K375" s="262"/>
      <c r="L375" s="262"/>
      <c r="M375" s="260"/>
      <c r="N375" s="260"/>
      <c r="O375" s="99"/>
      <c r="P375" s="99"/>
      <c r="Q375" s="99"/>
      <c r="R375" s="99"/>
      <c r="S375" s="99"/>
      <c r="T375" s="99"/>
      <c r="U375" s="99"/>
      <c r="V375" s="99"/>
      <c r="W375" s="99"/>
      <c r="X375" s="99"/>
      <c r="Y375" s="99"/>
      <c r="Z375" s="99"/>
      <c r="AB375" s="84"/>
      <c r="AC375" s="84"/>
      <c r="AD375" s="84"/>
      <c r="AE375" s="84"/>
      <c r="AF375" s="84"/>
      <c r="AG375" s="84"/>
      <c r="AH375" s="84"/>
      <c r="AI375" s="84"/>
    </row>
    <row r="376" ht="15.75" customHeight="1">
      <c r="A376" s="84"/>
      <c r="B376" s="84"/>
      <c r="C376" s="84"/>
      <c r="D376" s="84"/>
      <c r="E376" s="84"/>
      <c r="F376" s="261"/>
      <c r="G376" s="84"/>
      <c r="H376" s="262"/>
      <c r="I376" s="262"/>
      <c r="J376" s="262"/>
      <c r="K376" s="262"/>
      <c r="L376" s="262"/>
      <c r="M376" s="260"/>
      <c r="N376" s="260"/>
      <c r="O376" s="99"/>
      <c r="P376" s="99"/>
      <c r="Q376" s="99"/>
      <c r="R376" s="99"/>
      <c r="S376" s="99"/>
      <c r="T376" s="99"/>
      <c r="U376" s="99"/>
      <c r="V376" s="99"/>
      <c r="W376" s="99"/>
      <c r="X376" s="99"/>
      <c r="Y376" s="99"/>
      <c r="Z376" s="99"/>
      <c r="AB376" s="84"/>
      <c r="AC376" s="84"/>
      <c r="AD376" s="84"/>
      <c r="AE376" s="84"/>
      <c r="AF376" s="84"/>
      <c r="AG376" s="84"/>
      <c r="AH376" s="84"/>
      <c r="AI376" s="84"/>
    </row>
    <row r="377" ht="15.75" customHeight="1">
      <c r="A377" s="84"/>
      <c r="B377" s="84"/>
      <c r="C377" s="84"/>
      <c r="D377" s="84"/>
      <c r="E377" s="84"/>
      <c r="F377" s="261"/>
      <c r="G377" s="84"/>
      <c r="H377" s="262"/>
      <c r="I377" s="262"/>
      <c r="J377" s="262"/>
      <c r="K377" s="262"/>
      <c r="L377" s="262"/>
      <c r="M377" s="260"/>
      <c r="N377" s="260"/>
      <c r="O377" s="99"/>
      <c r="P377" s="99"/>
      <c r="Q377" s="99"/>
      <c r="R377" s="99"/>
      <c r="S377" s="99"/>
      <c r="T377" s="99"/>
      <c r="U377" s="99"/>
      <c r="V377" s="99"/>
      <c r="W377" s="99"/>
      <c r="X377" s="99"/>
      <c r="Y377" s="99"/>
      <c r="Z377" s="99"/>
      <c r="AB377" s="84"/>
      <c r="AC377" s="84"/>
      <c r="AD377" s="84"/>
      <c r="AE377" s="84"/>
      <c r="AF377" s="84"/>
      <c r="AG377" s="84"/>
      <c r="AH377" s="84"/>
      <c r="AI377" s="84"/>
    </row>
    <row r="378" ht="15.75" customHeight="1">
      <c r="A378" s="84"/>
      <c r="B378" s="84"/>
      <c r="C378" s="84"/>
      <c r="D378" s="84"/>
      <c r="E378" s="84"/>
      <c r="F378" s="261"/>
      <c r="G378" s="84"/>
      <c r="H378" s="262"/>
      <c r="I378" s="262"/>
      <c r="J378" s="262"/>
      <c r="K378" s="262"/>
      <c r="L378" s="262"/>
      <c r="M378" s="260"/>
      <c r="N378" s="260"/>
      <c r="O378" s="99"/>
      <c r="P378" s="99"/>
      <c r="Q378" s="99"/>
      <c r="R378" s="99"/>
      <c r="S378" s="99"/>
      <c r="T378" s="99"/>
      <c r="U378" s="99"/>
      <c r="V378" s="99"/>
      <c r="W378" s="99"/>
      <c r="X378" s="99"/>
      <c r="Y378" s="99"/>
      <c r="Z378" s="99"/>
      <c r="AB378" s="84"/>
      <c r="AC378" s="84"/>
      <c r="AD378" s="84"/>
      <c r="AE378" s="84"/>
      <c r="AF378" s="84"/>
      <c r="AG378" s="84"/>
      <c r="AH378" s="84"/>
      <c r="AI378" s="84"/>
    </row>
    <row r="379" ht="15.75" customHeight="1">
      <c r="A379" s="84"/>
      <c r="B379" s="84"/>
      <c r="C379" s="84"/>
      <c r="D379" s="84"/>
      <c r="E379" s="84"/>
      <c r="F379" s="261"/>
      <c r="G379" s="84"/>
      <c r="H379" s="262"/>
      <c r="I379" s="262"/>
      <c r="J379" s="262"/>
      <c r="K379" s="262"/>
      <c r="L379" s="262"/>
      <c r="M379" s="260"/>
      <c r="N379" s="260"/>
      <c r="O379" s="99"/>
      <c r="P379" s="99"/>
      <c r="Q379" s="99"/>
      <c r="R379" s="99"/>
      <c r="S379" s="99"/>
      <c r="T379" s="99"/>
      <c r="U379" s="99"/>
      <c r="V379" s="99"/>
      <c r="W379" s="99"/>
      <c r="X379" s="99"/>
      <c r="Y379" s="99"/>
      <c r="Z379" s="99"/>
      <c r="AB379" s="84"/>
      <c r="AC379" s="84"/>
      <c r="AD379" s="84"/>
      <c r="AE379" s="84"/>
      <c r="AF379" s="84"/>
      <c r="AG379" s="84"/>
      <c r="AH379" s="84"/>
      <c r="AI379" s="84"/>
    </row>
    <row r="380" ht="15.75" customHeight="1">
      <c r="A380" s="84"/>
      <c r="B380" s="84"/>
      <c r="C380" s="84"/>
      <c r="D380" s="84"/>
      <c r="E380" s="84"/>
      <c r="F380" s="261"/>
      <c r="G380" s="84"/>
      <c r="H380" s="262"/>
      <c r="I380" s="262"/>
      <c r="J380" s="262"/>
      <c r="K380" s="262"/>
      <c r="L380" s="262"/>
      <c r="M380" s="260"/>
      <c r="N380" s="260"/>
      <c r="O380" s="99"/>
      <c r="P380" s="99"/>
      <c r="Q380" s="99"/>
      <c r="R380" s="99"/>
      <c r="S380" s="99"/>
      <c r="T380" s="99"/>
      <c r="U380" s="99"/>
      <c r="V380" s="99"/>
      <c r="W380" s="99"/>
      <c r="X380" s="99"/>
      <c r="Y380" s="99"/>
      <c r="Z380" s="99"/>
      <c r="AB380" s="84"/>
      <c r="AC380" s="84"/>
      <c r="AD380" s="84"/>
      <c r="AE380" s="84"/>
      <c r="AF380" s="84"/>
      <c r="AG380" s="84"/>
      <c r="AH380" s="84"/>
      <c r="AI380" s="84"/>
    </row>
    <row r="381" ht="15.75" customHeight="1">
      <c r="A381" s="84"/>
      <c r="B381" s="84"/>
      <c r="C381" s="84"/>
      <c r="D381" s="84"/>
      <c r="E381" s="84"/>
      <c r="F381" s="261"/>
      <c r="G381" s="84"/>
      <c r="H381" s="262"/>
      <c r="I381" s="262"/>
      <c r="J381" s="262"/>
      <c r="K381" s="262"/>
      <c r="L381" s="262"/>
      <c r="M381" s="260"/>
      <c r="N381" s="260"/>
      <c r="O381" s="99"/>
      <c r="P381" s="99"/>
      <c r="Q381" s="99"/>
      <c r="R381" s="99"/>
      <c r="S381" s="99"/>
      <c r="T381" s="99"/>
      <c r="U381" s="99"/>
      <c r="V381" s="99"/>
      <c r="W381" s="99"/>
      <c r="X381" s="99"/>
      <c r="Y381" s="99"/>
      <c r="Z381" s="99"/>
      <c r="AB381" s="84"/>
      <c r="AC381" s="84"/>
      <c r="AD381" s="84"/>
      <c r="AE381" s="84"/>
      <c r="AF381" s="84"/>
      <c r="AG381" s="84"/>
      <c r="AH381" s="84"/>
      <c r="AI381" s="84"/>
    </row>
    <row r="382" ht="15.75" customHeight="1">
      <c r="A382" s="84"/>
      <c r="B382" s="84"/>
      <c r="C382" s="84"/>
      <c r="D382" s="84"/>
      <c r="E382" s="84"/>
      <c r="F382" s="261"/>
      <c r="G382" s="84"/>
      <c r="H382" s="262"/>
      <c r="I382" s="262"/>
      <c r="J382" s="262"/>
      <c r="K382" s="262"/>
      <c r="L382" s="262"/>
      <c r="M382" s="260"/>
      <c r="N382" s="260"/>
      <c r="O382" s="99"/>
      <c r="P382" s="99"/>
      <c r="Q382" s="99"/>
      <c r="R382" s="99"/>
      <c r="S382" s="99"/>
      <c r="T382" s="99"/>
      <c r="U382" s="99"/>
      <c r="V382" s="99"/>
      <c r="W382" s="99"/>
      <c r="X382" s="99"/>
      <c r="Y382" s="99"/>
      <c r="Z382" s="99"/>
      <c r="AB382" s="84"/>
      <c r="AC382" s="84"/>
      <c r="AD382" s="84"/>
      <c r="AE382" s="84"/>
      <c r="AF382" s="84"/>
      <c r="AG382" s="84"/>
      <c r="AH382" s="84"/>
      <c r="AI382" s="84"/>
    </row>
    <row r="383" ht="15.75" customHeight="1">
      <c r="A383" s="84"/>
      <c r="B383" s="84"/>
      <c r="C383" s="84"/>
      <c r="D383" s="84"/>
      <c r="E383" s="84"/>
      <c r="F383" s="261"/>
      <c r="G383" s="84"/>
      <c r="H383" s="262"/>
      <c r="I383" s="262"/>
      <c r="J383" s="262"/>
      <c r="K383" s="262"/>
      <c r="L383" s="262"/>
      <c r="M383" s="260"/>
      <c r="N383" s="260"/>
      <c r="O383" s="99"/>
      <c r="P383" s="99"/>
      <c r="Q383" s="99"/>
      <c r="R383" s="99"/>
      <c r="S383" s="99"/>
      <c r="T383" s="99"/>
      <c r="U383" s="99"/>
      <c r="V383" s="99"/>
      <c r="W383" s="99"/>
      <c r="X383" s="99"/>
      <c r="Y383" s="99"/>
      <c r="Z383" s="99"/>
      <c r="AB383" s="84"/>
      <c r="AC383" s="84"/>
      <c r="AD383" s="84"/>
      <c r="AE383" s="84"/>
      <c r="AF383" s="84"/>
      <c r="AG383" s="84"/>
      <c r="AH383" s="84"/>
      <c r="AI383" s="84"/>
    </row>
    <row r="384" ht="15.75" customHeight="1">
      <c r="A384" s="84"/>
      <c r="B384" s="84"/>
      <c r="C384" s="84"/>
      <c r="D384" s="84"/>
      <c r="E384" s="84"/>
      <c r="F384" s="261"/>
      <c r="G384" s="84"/>
      <c r="H384" s="262"/>
      <c r="I384" s="262"/>
      <c r="J384" s="262"/>
      <c r="K384" s="262"/>
      <c r="L384" s="262"/>
      <c r="M384" s="260"/>
      <c r="N384" s="260"/>
      <c r="O384" s="99"/>
      <c r="P384" s="99"/>
      <c r="Q384" s="99"/>
      <c r="R384" s="99"/>
      <c r="S384" s="99"/>
      <c r="T384" s="99"/>
      <c r="U384" s="99"/>
      <c r="V384" s="99"/>
      <c r="W384" s="99"/>
      <c r="X384" s="99"/>
      <c r="Y384" s="99"/>
      <c r="Z384" s="99"/>
      <c r="AB384" s="84"/>
      <c r="AC384" s="84"/>
      <c r="AD384" s="84"/>
      <c r="AE384" s="84"/>
      <c r="AF384" s="84"/>
      <c r="AG384" s="84"/>
      <c r="AH384" s="84"/>
      <c r="AI384" s="84"/>
    </row>
    <row r="385" ht="15.75" customHeight="1">
      <c r="A385" s="84"/>
      <c r="B385" s="84"/>
      <c r="C385" s="84"/>
      <c r="D385" s="84"/>
      <c r="E385" s="84"/>
      <c r="F385" s="261"/>
      <c r="G385" s="84"/>
      <c r="H385" s="262"/>
      <c r="I385" s="262"/>
      <c r="J385" s="262"/>
      <c r="K385" s="262"/>
      <c r="L385" s="262"/>
      <c r="M385" s="260"/>
      <c r="N385" s="260"/>
      <c r="O385" s="99"/>
      <c r="P385" s="99"/>
      <c r="Q385" s="99"/>
      <c r="R385" s="99"/>
      <c r="S385" s="99"/>
      <c r="T385" s="99"/>
      <c r="U385" s="99"/>
      <c r="V385" s="99"/>
      <c r="W385" s="99"/>
      <c r="X385" s="99"/>
      <c r="Y385" s="99"/>
      <c r="Z385" s="99"/>
      <c r="AB385" s="84"/>
      <c r="AC385" s="84"/>
      <c r="AD385" s="84"/>
      <c r="AE385" s="84"/>
      <c r="AF385" s="84"/>
      <c r="AG385" s="84"/>
      <c r="AH385" s="84"/>
      <c r="AI385" s="84"/>
    </row>
    <row r="386" ht="15.75" customHeight="1">
      <c r="A386" s="84"/>
      <c r="B386" s="84"/>
      <c r="C386" s="84"/>
      <c r="D386" s="84"/>
      <c r="E386" s="84"/>
      <c r="F386" s="261"/>
      <c r="G386" s="84"/>
      <c r="H386" s="262"/>
      <c r="I386" s="262"/>
      <c r="J386" s="262"/>
      <c r="K386" s="262"/>
      <c r="L386" s="262"/>
      <c r="M386" s="260"/>
      <c r="N386" s="260"/>
      <c r="O386" s="99"/>
      <c r="P386" s="99"/>
      <c r="Q386" s="99"/>
      <c r="R386" s="99"/>
      <c r="S386" s="99"/>
      <c r="T386" s="99"/>
      <c r="U386" s="99"/>
      <c r="V386" s="99"/>
      <c r="W386" s="99"/>
      <c r="X386" s="99"/>
      <c r="Y386" s="99"/>
      <c r="Z386" s="99"/>
      <c r="AB386" s="84"/>
      <c r="AC386" s="84"/>
      <c r="AD386" s="84"/>
      <c r="AE386" s="84"/>
      <c r="AF386" s="84"/>
      <c r="AG386" s="84"/>
      <c r="AH386" s="84"/>
      <c r="AI386" s="84"/>
    </row>
    <row r="387" ht="15.75" customHeight="1">
      <c r="A387" s="84"/>
      <c r="B387" s="84"/>
      <c r="C387" s="84"/>
      <c r="D387" s="84"/>
      <c r="E387" s="84"/>
      <c r="F387" s="261"/>
      <c r="G387" s="84"/>
      <c r="H387" s="262"/>
      <c r="I387" s="262"/>
      <c r="J387" s="262"/>
      <c r="K387" s="262"/>
      <c r="L387" s="262"/>
      <c r="M387" s="260"/>
      <c r="N387" s="260"/>
      <c r="O387" s="99"/>
      <c r="P387" s="99"/>
      <c r="Q387" s="99"/>
      <c r="R387" s="99"/>
      <c r="S387" s="99"/>
      <c r="T387" s="99"/>
      <c r="U387" s="99"/>
      <c r="V387" s="99"/>
      <c r="W387" s="99"/>
      <c r="X387" s="99"/>
      <c r="Y387" s="99"/>
      <c r="Z387" s="99"/>
      <c r="AB387" s="84"/>
      <c r="AC387" s="84"/>
      <c r="AD387" s="84"/>
      <c r="AE387" s="84"/>
      <c r="AF387" s="84"/>
      <c r="AG387" s="84"/>
      <c r="AH387" s="84"/>
      <c r="AI387" s="84"/>
    </row>
    <row r="388" ht="15.75" customHeight="1">
      <c r="A388" s="84"/>
      <c r="B388" s="84"/>
      <c r="C388" s="84"/>
      <c r="D388" s="84"/>
      <c r="E388" s="84"/>
      <c r="F388" s="261"/>
      <c r="G388" s="84"/>
      <c r="H388" s="262"/>
      <c r="I388" s="262"/>
      <c r="J388" s="262"/>
      <c r="K388" s="262"/>
      <c r="L388" s="262"/>
      <c r="M388" s="260"/>
      <c r="N388" s="260"/>
      <c r="O388" s="99"/>
      <c r="P388" s="99"/>
      <c r="Q388" s="99"/>
      <c r="R388" s="99"/>
      <c r="S388" s="99"/>
      <c r="T388" s="99"/>
      <c r="U388" s="99"/>
      <c r="V388" s="99"/>
      <c r="W388" s="99"/>
      <c r="X388" s="99"/>
      <c r="Y388" s="99"/>
      <c r="Z388" s="99"/>
      <c r="AB388" s="84"/>
      <c r="AC388" s="84"/>
      <c r="AD388" s="84"/>
      <c r="AE388" s="84"/>
      <c r="AF388" s="84"/>
      <c r="AG388" s="84"/>
      <c r="AH388" s="84"/>
      <c r="AI388" s="84"/>
    </row>
    <row r="389" ht="15.75" customHeight="1">
      <c r="A389" s="84"/>
      <c r="B389" s="84"/>
      <c r="C389" s="84"/>
      <c r="D389" s="84"/>
      <c r="E389" s="84"/>
      <c r="F389" s="261"/>
      <c r="G389" s="84"/>
      <c r="H389" s="262"/>
      <c r="I389" s="262"/>
      <c r="J389" s="262"/>
      <c r="K389" s="262"/>
      <c r="L389" s="262"/>
      <c r="M389" s="260"/>
      <c r="N389" s="260"/>
      <c r="O389" s="99"/>
      <c r="P389" s="99"/>
      <c r="Q389" s="99"/>
      <c r="R389" s="99"/>
      <c r="S389" s="99"/>
      <c r="T389" s="99"/>
      <c r="U389" s="99"/>
      <c r="V389" s="99"/>
      <c r="W389" s="99"/>
      <c r="X389" s="99"/>
      <c r="Y389" s="99"/>
      <c r="Z389" s="99"/>
      <c r="AB389" s="84"/>
      <c r="AC389" s="84"/>
      <c r="AD389" s="84"/>
      <c r="AE389" s="84"/>
      <c r="AF389" s="84"/>
      <c r="AG389" s="84"/>
      <c r="AH389" s="84"/>
      <c r="AI389" s="84"/>
    </row>
    <row r="390" ht="15.75" customHeight="1">
      <c r="A390" s="84"/>
      <c r="B390" s="84"/>
      <c r="C390" s="84"/>
      <c r="D390" s="84"/>
      <c r="E390" s="84"/>
      <c r="F390" s="261"/>
      <c r="G390" s="84"/>
      <c r="H390" s="262"/>
      <c r="I390" s="262"/>
      <c r="J390" s="262"/>
      <c r="K390" s="262"/>
      <c r="L390" s="262"/>
      <c r="M390" s="260"/>
      <c r="N390" s="260"/>
      <c r="O390" s="99"/>
      <c r="P390" s="99"/>
      <c r="Q390" s="99"/>
      <c r="R390" s="99"/>
      <c r="S390" s="99"/>
      <c r="T390" s="99"/>
      <c r="U390" s="99"/>
      <c r="V390" s="99"/>
      <c r="W390" s="99"/>
      <c r="X390" s="99"/>
      <c r="Y390" s="99"/>
      <c r="Z390" s="99"/>
      <c r="AB390" s="84"/>
      <c r="AC390" s="84"/>
      <c r="AD390" s="84"/>
      <c r="AE390" s="84"/>
      <c r="AF390" s="84"/>
      <c r="AG390" s="84"/>
      <c r="AH390" s="84"/>
      <c r="AI390" s="84"/>
    </row>
    <row r="391" ht="15.75" customHeight="1">
      <c r="A391" s="84"/>
      <c r="B391" s="84"/>
      <c r="C391" s="84"/>
      <c r="D391" s="84"/>
      <c r="E391" s="84"/>
      <c r="F391" s="261"/>
      <c r="G391" s="84"/>
      <c r="H391" s="262"/>
      <c r="I391" s="262"/>
      <c r="J391" s="262"/>
      <c r="K391" s="262"/>
      <c r="L391" s="262"/>
      <c r="M391" s="260"/>
      <c r="N391" s="260"/>
      <c r="O391" s="99"/>
      <c r="P391" s="99"/>
      <c r="Q391" s="99"/>
      <c r="R391" s="99"/>
      <c r="S391" s="99"/>
      <c r="T391" s="99"/>
      <c r="U391" s="99"/>
      <c r="V391" s="99"/>
      <c r="W391" s="99"/>
      <c r="X391" s="99"/>
      <c r="Y391" s="99"/>
      <c r="Z391" s="99"/>
      <c r="AB391" s="84"/>
      <c r="AC391" s="84"/>
      <c r="AD391" s="84"/>
      <c r="AE391" s="84"/>
      <c r="AF391" s="84"/>
      <c r="AG391" s="84"/>
      <c r="AH391" s="84"/>
      <c r="AI391" s="84"/>
    </row>
    <row r="392" ht="15.75" customHeight="1">
      <c r="A392" s="84"/>
      <c r="B392" s="84"/>
      <c r="C392" s="84"/>
      <c r="D392" s="84"/>
      <c r="E392" s="84"/>
      <c r="F392" s="261"/>
      <c r="G392" s="84"/>
      <c r="H392" s="262"/>
      <c r="I392" s="262"/>
      <c r="J392" s="262"/>
      <c r="K392" s="262"/>
      <c r="L392" s="262"/>
      <c r="M392" s="260"/>
      <c r="N392" s="260"/>
      <c r="O392" s="99"/>
      <c r="P392" s="99"/>
      <c r="Q392" s="99"/>
      <c r="R392" s="99"/>
      <c r="S392" s="99"/>
      <c r="T392" s="99"/>
      <c r="U392" s="99"/>
      <c r="V392" s="99"/>
      <c r="W392" s="99"/>
      <c r="X392" s="99"/>
      <c r="Y392" s="99"/>
      <c r="Z392" s="99"/>
      <c r="AB392" s="84"/>
      <c r="AC392" s="84"/>
      <c r="AD392" s="84"/>
      <c r="AE392" s="84"/>
      <c r="AF392" s="84"/>
      <c r="AG392" s="84"/>
      <c r="AH392" s="84"/>
      <c r="AI392" s="84"/>
    </row>
    <row r="393" ht="15.75" customHeight="1">
      <c r="A393" s="84"/>
      <c r="B393" s="84"/>
      <c r="C393" s="84"/>
      <c r="D393" s="84"/>
      <c r="E393" s="84"/>
      <c r="F393" s="261"/>
      <c r="G393" s="84"/>
      <c r="H393" s="262"/>
      <c r="I393" s="262"/>
      <c r="J393" s="262"/>
      <c r="K393" s="262"/>
      <c r="L393" s="262"/>
      <c r="M393" s="260"/>
      <c r="N393" s="260"/>
      <c r="O393" s="99"/>
      <c r="P393" s="99"/>
      <c r="Q393" s="99"/>
      <c r="R393" s="99"/>
      <c r="S393" s="99"/>
      <c r="T393" s="99"/>
      <c r="U393" s="99"/>
      <c r="V393" s="99"/>
      <c r="W393" s="99"/>
      <c r="X393" s="99"/>
      <c r="Y393" s="99"/>
      <c r="Z393" s="99"/>
      <c r="AB393" s="84"/>
      <c r="AC393" s="84"/>
      <c r="AD393" s="84"/>
      <c r="AE393" s="84"/>
      <c r="AF393" s="84"/>
      <c r="AG393" s="84"/>
      <c r="AH393" s="84"/>
      <c r="AI393" s="84"/>
    </row>
    <row r="394" ht="15.75" customHeight="1">
      <c r="A394" s="84"/>
      <c r="B394" s="84"/>
      <c r="C394" s="84"/>
      <c r="D394" s="84"/>
      <c r="E394" s="84"/>
      <c r="F394" s="261"/>
      <c r="G394" s="84"/>
      <c r="H394" s="262"/>
      <c r="I394" s="262"/>
      <c r="J394" s="262"/>
      <c r="K394" s="262"/>
      <c r="L394" s="262"/>
      <c r="M394" s="260"/>
      <c r="N394" s="260"/>
      <c r="O394" s="99"/>
      <c r="P394" s="99"/>
      <c r="Q394" s="99"/>
      <c r="R394" s="99"/>
      <c r="S394" s="99"/>
      <c r="T394" s="99"/>
      <c r="U394" s="99"/>
      <c r="V394" s="99"/>
      <c r="W394" s="99"/>
      <c r="X394" s="99"/>
      <c r="Y394" s="99"/>
      <c r="Z394" s="99"/>
      <c r="AB394" s="84"/>
      <c r="AC394" s="84"/>
      <c r="AD394" s="84"/>
      <c r="AE394" s="84"/>
      <c r="AF394" s="84"/>
      <c r="AG394" s="84"/>
      <c r="AH394" s="84"/>
      <c r="AI394" s="84"/>
    </row>
    <row r="395" ht="15.75" customHeight="1">
      <c r="A395" s="84"/>
      <c r="B395" s="84"/>
      <c r="C395" s="84"/>
      <c r="D395" s="84"/>
      <c r="E395" s="84"/>
      <c r="F395" s="261"/>
      <c r="G395" s="84"/>
      <c r="H395" s="262"/>
      <c r="I395" s="262"/>
      <c r="J395" s="262"/>
      <c r="K395" s="262"/>
      <c r="L395" s="262"/>
      <c r="M395" s="260"/>
      <c r="N395" s="260"/>
      <c r="O395" s="99"/>
      <c r="P395" s="99"/>
      <c r="Q395" s="99"/>
      <c r="R395" s="99"/>
      <c r="S395" s="99"/>
      <c r="T395" s="99"/>
      <c r="U395" s="99"/>
      <c r="V395" s="99"/>
      <c r="W395" s="99"/>
      <c r="X395" s="99"/>
      <c r="Y395" s="99"/>
      <c r="Z395" s="99"/>
      <c r="AB395" s="84"/>
      <c r="AC395" s="84"/>
      <c r="AD395" s="84"/>
      <c r="AE395" s="84"/>
      <c r="AF395" s="84"/>
      <c r="AG395" s="84"/>
      <c r="AH395" s="84"/>
      <c r="AI395" s="84"/>
    </row>
    <row r="396" ht="15.75" customHeight="1">
      <c r="A396" s="84"/>
      <c r="B396" s="84"/>
      <c r="C396" s="84"/>
      <c r="D396" s="84"/>
      <c r="E396" s="84"/>
      <c r="F396" s="261"/>
      <c r="G396" s="84"/>
      <c r="H396" s="262"/>
      <c r="I396" s="262"/>
      <c r="J396" s="262"/>
      <c r="K396" s="262"/>
      <c r="L396" s="262"/>
      <c r="M396" s="260"/>
      <c r="N396" s="260"/>
      <c r="O396" s="99"/>
      <c r="P396" s="99"/>
      <c r="Q396" s="99"/>
      <c r="R396" s="99"/>
      <c r="S396" s="99"/>
      <c r="T396" s="99"/>
      <c r="U396" s="99"/>
      <c r="V396" s="99"/>
      <c r="W396" s="99"/>
      <c r="X396" s="99"/>
      <c r="Y396" s="99"/>
      <c r="Z396" s="99"/>
      <c r="AB396" s="84"/>
      <c r="AC396" s="84"/>
      <c r="AD396" s="84"/>
      <c r="AE396" s="84"/>
      <c r="AF396" s="84"/>
      <c r="AG396" s="84"/>
      <c r="AH396" s="84"/>
      <c r="AI396" s="84"/>
    </row>
    <row r="397" ht="15.75" customHeight="1">
      <c r="A397" s="84"/>
      <c r="B397" s="84"/>
      <c r="C397" s="84"/>
      <c r="D397" s="84"/>
      <c r="E397" s="84"/>
      <c r="F397" s="261"/>
      <c r="G397" s="84"/>
      <c r="H397" s="262"/>
      <c r="I397" s="262"/>
      <c r="J397" s="262"/>
      <c r="K397" s="262"/>
      <c r="L397" s="262"/>
      <c r="M397" s="260"/>
      <c r="N397" s="260"/>
      <c r="O397" s="99"/>
      <c r="P397" s="99"/>
      <c r="Q397" s="99"/>
      <c r="R397" s="99"/>
      <c r="S397" s="99"/>
      <c r="T397" s="99"/>
      <c r="U397" s="99"/>
      <c r="V397" s="99"/>
      <c r="W397" s="99"/>
      <c r="X397" s="99"/>
      <c r="Y397" s="99"/>
      <c r="Z397" s="99"/>
      <c r="AB397" s="84"/>
      <c r="AC397" s="84"/>
      <c r="AD397" s="84"/>
      <c r="AE397" s="84"/>
      <c r="AF397" s="84"/>
      <c r="AG397" s="84"/>
      <c r="AH397" s="84"/>
      <c r="AI397" s="84"/>
    </row>
    <row r="398" ht="15.75" customHeight="1">
      <c r="A398" s="84"/>
      <c r="B398" s="84"/>
      <c r="C398" s="84"/>
      <c r="D398" s="84"/>
      <c r="E398" s="84"/>
      <c r="F398" s="261"/>
      <c r="G398" s="84"/>
      <c r="H398" s="262"/>
      <c r="I398" s="262"/>
      <c r="J398" s="262"/>
      <c r="K398" s="262"/>
      <c r="L398" s="262"/>
      <c r="M398" s="260"/>
      <c r="N398" s="260"/>
      <c r="O398" s="99"/>
      <c r="P398" s="99"/>
      <c r="Q398" s="99"/>
      <c r="R398" s="99"/>
      <c r="S398" s="99"/>
      <c r="T398" s="99"/>
      <c r="U398" s="99"/>
      <c r="V398" s="99"/>
      <c r="W398" s="99"/>
      <c r="X398" s="99"/>
      <c r="Y398" s="99"/>
      <c r="Z398" s="99"/>
      <c r="AB398" s="84"/>
      <c r="AC398" s="84"/>
      <c r="AD398" s="84"/>
      <c r="AE398" s="84"/>
      <c r="AF398" s="84"/>
      <c r="AG398" s="84"/>
      <c r="AH398" s="84"/>
      <c r="AI398" s="84"/>
    </row>
    <row r="399" ht="15.75" customHeight="1">
      <c r="A399" s="84"/>
      <c r="B399" s="84"/>
      <c r="C399" s="84"/>
      <c r="D399" s="84"/>
      <c r="E399" s="84"/>
      <c r="F399" s="261"/>
      <c r="G399" s="84"/>
      <c r="H399" s="262"/>
      <c r="I399" s="262"/>
      <c r="J399" s="262"/>
      <c r="K399" s="262"/>
      <c r="L399" s="262"/>
      <c r="M399" s="260"/>
      <c r="N399" s="260"/>
      <c r="O399" s="99"/>
      <c r="P399" s="99"/>
      <c r="Q399" s="99"/>
      <c r="R399" s="99"/>
      <c r="S399" s="99"/>
      <c r="T399" s="99"/>
      <c r="U399" s="99"/>
      <c r="V399" s="99"/>
      <c r="W399" s="99"/>
      <c r="X399" s="99"/>
      <c r="Y399" s="99"/>
      <c r="Z399" s="99"/>
      <c r="AB399" s="84"/>
      <c r="AC399" s="84"/>
      <c r="AD399" s="84"/>
      <c r="AE399" s="84"/>
      <c r="AF399" s="84"/>
      <c r="AG399" s="84"/>
      <c r="AH399" s="84"/>
      <c r="AI399" s="84"/>
    </row>
    <row r="400" ht="15.75" customHeight="1">
      <c r="A400" s="84"/>
      <c r="B400" s="84"/>
      <c r="C400" s="84"/>
      <c r="D400" s="84"/>
      <c r="E400" s="84"/>
      <c r="F400" s="261"/>
      <c r="G400" s="84"/>
      <c r="H400" s="262"/>
      <c r="I400" s="262"/>
      <c r="J400" s="262"/>
      <c r="K400" s="262"/>
      <c r="L400" s="262"/>
      <c r="M400" s="260"/>
      <c r="N400" s="260"/>
      <c r="O400" s="99"/>
      <c r="P400" s="99"/>
      <c r="Q400" s="99"/>
      <c r="R400" s="99"/>
      <c r="S400" s="99"/>
      <c r="T400" s="99"/>
      <c r="U400" s="99"/>
      <c r="V400" s="99"/>
      <c r="W400" s="99"/>
      <c r="X400" s="99"/>
      <c r="Y400" s="99"/>
      <c r="Z400" s="99"/>
      <c r="AB400" s="84"/>
      <c r="AC400" s="84"/>
      <c r="AD400" s="84"/>
      <c r="AE400" s="84"/>
      <c r="AF400" s="84"/>
      <c r="AG400" s="84"/>
      <c r="AH400" s="84"/>
      <c r="AI400" s="84"/>
    </row>
    <row r="401" ht="15.75" customHeight="1">
      <c r="A401" s="84"/>
      <c r="B401" s="84"/>
      <c r="C401" s="84"/>
      <c r="D401" s="84"/>
      <c r="E401" s="84"/>
      <c r="F401" s="261"/>
      <c r="G401" s="84"/>
      <c r="H401" s="262"/>
      <c r="I401" s="262"/>
      <c r="J401" s="262"/>
      <c r="K401" s="262"/>
      <c r="L401" s="262"/>
      <c r="M401" s="260"/>
      <c r="N401" s="260"/>
      <c r="O401" s="99"/>
      <c r="P401" s="99"/>
      <c r="Q401" s="99"/>
      <c r="R401" s="99"/>
      <c r="S401" s="99"/>
      <c r="T401" s="99"/>
      <c r="U401" s="99"/>
      <c r="V401" s="99"/>
      <c r="W401" s="99"/>
      <c r="X401" s="99"/>
      <c r="Y401" s="99"/>
      <c r="Z401" s="99"/>
      <c r="AB401" s="84"/>
      <c r="AC401" s="84"/>
      <c r="AD401" s="84"/>
      <c r="AE401" s="84"/>
      <c r="AF401" s="84"/>
      <c r="AG401" s="84"/>
      <c r="AH401" s="84"/>
      <c r="AI401" s="84"/>
    </row>
    <row r="402" ht="15.75" customHeight="1">
      <c r="A402" s="84"/>
      <c r="B402" s="84"/>
      <c r="C402" s="84"/>
      <c r="D402" s="84"/>
      <c r="E402" s="84"/>
      <c r="F402" s="261"/>
      <c r="G402" s="84"/>
      <c r="H402" s="262"/>
      <c r="I402" s="262"/>
      <c r="J402" s="262"/>
      <c r="K402" s="262"/>
      <c r="L402" s="262"/>
      <c r="M402" s="260"/>
      <c r="N402" s="260"/>
      <c r="O402" s="99"/>
      <c r="P402" s="99"/>
      <c r="Q402" s="99"/>
      <c r="R402" s="99"/>
      <c r="S402" s="99"/>
      <c r="T402" s="99"/>
      <c r="U402" s="99"/>
      <c r="V402" s="99"/>
      <c r="W402" s="99"/>
      <c r="X402" s="99"/>
      <c r="Y402" s="99"/>
      <c r="Z402" s="99"/>
      <c r="AB402" s="84"/>
      <c r="AC402" s="84"/>
      <c r="AD402" s="84"/>
      <c r="AE402" s="84"/>
      <c r="AF402" s="84"/>
      <c r="AG402" s="84"/>
      <c r="AH402" s="84"/>
      <c r="AI402" s="84"/>
    </row>
    <row r="403" ht="15.75" customHeight="1">
      <c r="A403" s="84"/>
      <c r="B403" s="84"/>
      <c r="C403" s="84"/>
      <c r="D403" s="84"/>
      <c r="E403" s="84"/>
      <c r="F403" s="261"/>
      <c r="G403" s="84"/>
      <c r="H403" s="262"/>
      <c r="I403" s="262"/>
      <c r="J403" s="262"/>
      <c r="K403" s="262"/>
      <c r="L403" s="262"/>
      <c r="M403" s="260"/>
      <c r="N403" s="260"/>
      <c r="O403" s="99"/>
      <c r="P403" s="99"/>
      <c r="Q403" s="99"/>
      <c r="R403" s="99"/>
      <c r="S403" s="99"/>
      <c r="T403" s="99"/>
      <c r="U403" s="99"/>
      <c r="V403" s="99"/>
      <c r="W403" s="99"/>
      <c r="X403" s="99"/>
      <c r="Y403" s="99"/>
      <c r="Z403" s="99"/>
      <c r="AB403" s="84"/>
      <c r="AC403" s="84"/>
      <c r="AD403" s="84"/>
      <c r="AE403" s="84"/>
      <c r="AF403" s="84"/>
      <c r="AG403" s="84"/>
      <c r="AH403" s="84"/>
      <c r="AI403" s="84"/>
    </row>
    <row r="404" ht="15.75" customHeight="1">
      <c r="A404" s="84"/>
      <c r="B404" s="84"/>
      <c r="C404" s="84"/>
      <c r="D404" s="84"/>
      <c r="E404" s="84"/>
      <c r="F404" s="261"/>
      <c r="G404" s="84"/>
      <c r="H404" s="262"/>
      <c r="I404" s="262"/>
      <c r="J404" s="262"/>
      <c r="K404" s="262"/>
      <c r="L404" s="262"/>
      <c r="M404" s="260"/>
      <c r="N404" s="260"/>
      <c r="O404" s="99"/>
      <c r="P404" s="99"/>
      <c r="Q404" s="99"/>
      <c r="R404" s="99"/>
      <c r="S404" s="99"/>
      <c r="T404" s="99"/>
      <c r="U404" s="99"/>
      <c r="V404" s="99"/>
      <c r="W404" s="99"/>
      <c r="X404" s="99"/>
      <c r="Y404" s="99"/>
      <c r="Z404" s="99"/>
      <c r="AB404" s="84"/>
      <c r="AC404" s="84"/>
      <c r="AD404" s="84"/>
      <c r="AE404" s="84"/>
      <c r="AF404" s="84"/>
      <c r="AG404" s="84"/>
      <c r="AH404" s="84"/>
      <c r="AI404" s="84"/>
    </row>
    <row r="405" ht="15.75" customHeight="1">
      <c r="A405" s="84"/>
      <c r="B405" s="84"/>
      <c r="C405" s="84"/>
      <c r="D405" s="84"/>
      <c r="E405" s="84"/>
      <c r="F405" s="261"/>
      <c r="G405" s="84"/>
      <c r="H405" s="262"/>
      <c r="I405" s="262"/>
      <c r="J405" s="262"/>
      <c r="K405" s="262"/>
      <c r="L405" s="262"/>
      <c r="M405" s="260"/>
      <c r="N405" s="260"/>
      <c r="O405" s="99"/>
      <c r="P405" s="99"/>
      <c r="Q405" s="99"/>
      <c r="R405" s="99"/>
      <c r="S405" s="99"/>
      <c r="T405" s="99"/>
      <c r="U405" s="99"/>
      <c r="V405" s="99"/>
      <c r="W405" s="99"/>
      <c r="X405" s="99"/>
      <c r="Y405" s="99"/>
      <c r="Z405" s="99"/>
      <c r="AB405" s="84"/>
      <c r="AC405" s="84"/>
      <c r="AD405" s="84"/>
      <c r="AE405" s="84"/>
      <c r="AF405" s="84"/>
      <c r="AG405" s="84"/>
      <c r="AH405" s="84"/>
      <c r="AI405" s="84"/>
    </row>
    <row r="406" ht="15.75" customHeight="1">
      <c r="A406" s="84"/>
      <c r="B406" s="84"/>
      <c r="C406" s="84"/>
      <c r="D406" s="84"/>
      <c r="E406" s="84"/>
      <c r="F406" s="261"/>
      <c r="G406" s="84"/>
      <c r="H406" s="262"/>
      <c r="I406" s="262"/>
      <c r="J406" s="262"/>
      <c r="K406" s="262"/>
      <c r="L406" s="262"/>
      <c r="M406" s="260"/>
      <c r="N406" s="260"/>
      <c r="O406" s="99"/>
      <c r="P406" s="99"/>
      <c r="Q406" s="99"/>
      <c r="R406" s="99"/>
      <c r="S406" s="99"/>
      <c r="T406" s="99"/>
      <c r="U406" s="99"/>
      <c r="V406" s="99"/>
      <c r="W406" s="99"/>
      <c r="X406" s="99"/>
      <c r="Y406" s="99"/>
      <c r="Z406" s="99"/>
      <c r="AB406" s="84"/>
      <c r="AC406" s="84"/>
      <c r="AD406" s="84"/>
      <c r="AE406" s="84"/>
      <c r="AF406" s="84"/>
      <c r="AG406" s="84"/>
      <c r="AH406" s="84"/>
      <c r="AI406" s="84"/>
    </row>
    <row r="407" ht="15.75" customHeight="1">
      <c r="A407" s="84"/>
      <c r="B407" s="84"/>
      <c r="C407" s="84"/>
      <c r="D407" s="84"/>
      <c r="E407" s="84"/>
      <c r="F407" s="261"/>
      <c r="G407" s="84"/>
      <c r="H407" s="262"/>
      <c r="I407" s="262"/>
      <c r="J407" s="262"/>
      <c r="K407" s="262"/>
      <c r="L407" s="262"/>
      <c r="M407" s="260"/>
      <c r="N407" s="260"/>
      <c r="O407" s="99"/>
      <c r="P407" s="99"/>
      <c r="Q407" s="99"/>
      <c r="R407" s="99"/>
      <c r="S407" s="99"/>
      <c r="T407" s="99"/>
      <c r="U407" s="99"/>
      <c r="V407" s="99"/>
      <c r="W407" s="99"/>
      <c r="X407" s="99"/>
      <c r="Y407" s="99"/>
      <c r="Z407" s="99"/>
      <c r="AB407" s="84"/>
      <c r="AC407" s="84"/>
      <c r="AD407" s="84"/>
      <c r="AE407" s="84"/>
      <c r="AF407" s="84"/>
      <c r="AG407" s="84"/>
      <c r="AH407" s="84"/>
      <c r="AI407" s="84"/>
    </row>
    <row r="408" ht="15.75" customHeight="1">
      <c r="A408" s="84"/>
      <c r="B408" s="84"/>
      <c r="C408" s="84"/>
      <c r="D408" s="84"/>
      <c r="E408" s="84"/>
      <c r="F408" s="261"/>
      <c r="G408" s="84"/>
      <c r="H408" s="262"/>
      <c r="I408" s="262"/>
      <c r="J408" s="262"/>
      <c r="K408" s="262"/>
      <c r="L408" s="262"/>
      <c r="M408" s="260"/>
      <c r="N408" s="260"/>
      <c r="O408" s="99"/>
      <c r="P408" s="99"/>
      <c r="Q408" s="99"/>
      <c r="R408" s="99"/>
      <c r="S408" s="99"/>
      <c r="T408" s="99"/>
      <c r="U408" s="99"/>
      <c r="V408" s="99"/>
      <c r="W408" s="99"/>
      <c r="X408" s="99"/>
      <c r="Y408" s="99"/>
      <c r="Z408" s="99"/>
      <c r="AB408" s="84"/>
      <c r="AC408" s="84"/>
      <c r="AD408" s="84"/>
      <c r="AE408" s="84"/>
      <c r="AF408" s="84"/>
      <c r="AG408" s="84"/>
      <c r="AH408" s="84"/>
      <c r="AI408" s="84"/>
    </row>
    <row r="409" ht="15.75" customHeight="1">
      <c r="A409" s="84"/>
      <c r="B409" s="84"/>
      <c r="C409" s="84"/>
      <c r="D409" s="84"/>
      <c r="E409" s="84"/>
      <c r="F409" s="261"/>
      <c r="G409" s="84"/>
      <c r="H409" s="262"/>
      <c r="I409" s="262"/>
      <c r="J409" s="262"/>
      <c r="K409" s="262"/>
      <c r="L409" s="262"/>
      <c r="M409" s="260"/>
      <c r="N409" s="260"/>
      <c r="O409" s="99"/>
      <c r="P409" s="99"/>
      <c r="Q409" s="99"/>
      <c r="R409" s="99"/>
      <c r="S409" s="99"/>
      <c r="T409" s="99"/>
      <c r="U409" s="99"/>
      <c r="V409" s="99"/>
      <c r="W409" s="99"/>
      <c r="X409" s="99"/>
      <c r="Y409" s="99"/>
      <c r="Z409" s="99"/>
      <c r="AB409" s="84"/>
      <c r="AC409" s="84"/>
      <c r="AD409" s="84"/>
      <c r="AE409" s="84"/>
      <c r="AF409" s="84"/>
      <c r="AG409" s="84"/>
      <c r="AH409" s="84"/>
      <c r="AI409" s="84"/>
    </row>
    <row r="410" ht="15.75" customHeight="1">
      <c r="A410" s="84"/>
      <c r="B410" s="84"/>
      <c r="C410" s="84"/>
      <c r="D410" s="84"/>
      <c r="E410" s="84"/>
      <c r="F410" s="261"/>
      <c r="G410" s="84"/>
      <c r="H410" s="262"/>
      <c r="I410" s="262"/>
      <c r="J410" s="262"/>
      <c r="K410" s="262"/>
      <c r="L410" s="262"/>
      <c r="M410" s="260"/>
      <c r="N410" s="260"/>
      <c r="O410" s="99"/>
      <c r="P410" s="99"/>
      <c r="Q410" s="99"/>
      <c r="R410" s="99"/>
      <c r="S410" s="99"/>
      <c r="T410" s="99"/>
      <c r="U410" s="99"/>
      <c r="V410" s="99"/>
      <c r="W410" s="99"/>
      <c r="X410" s="99"/>
      <c r="Y410" s="99"/>
      <c r="Z410" s="99"/>
      <c r="AB410" s="84"/>
      <c r="AC410" s="84"/>
      <c r="AD410" s="84"/>
      <c r="AE410" s="84"/>
      <c r="AF410" s="84"/>
      <c r="AG410" s="84"/>
      <c r="AH410" s="84"/>
      <c r="AI410" s="84"/>
    </row>
    <row r="411" ht="15.75" customHeight="1">
      <c r="A411" s="84"/>
      <c r="B411" s="84"/>
      <c r="C411" s="84"/>
      <c r="D411" s="84"/>
      <c r="E411" s="84"/>
      <c r="F411" s="261"/>
      <c r="G411" s="84"/>
      <c r="H411" s="262"/>
      <c r="I411" s="262"/>
      <c r="J411" s="262"/>
      <c r="K411" s="262"/>
      <c r="L411" s="262"/>
      <c r="M411" s="260"/>
      <c r="N411" s="260"/>
      <c r="O411" s="99"/>
      <c r="P411" s="99"/>
      <c r="Q411" s="99"/>
      <c r="R411" s="99"/>
      <c r="S411" s="99"/>
      <c r="T411" s="99"/>
      <c r="U411" s="99"/>
      <c r="V411" s="99"/>
      <c r="W411" s="99"/>
      <c r="X411" s="99"/>
      <c r="Y411" s="99"/>
      <c r="Z411" s="99"/>
      <c r="AB411" s="84"/>
      <c r="AC411" s="84"/>
      <c r="AD411" s="84"/>
      <c r="AE411" s="84"/>
      <c r="AF411" s="84"/>
      <c r="AG411" s="84"/>
      <c r="AH411" s="84"/>
      <c r="AI411" s="84"/>
    </row>
    <row r="412" ht="15.75" customHeight="1">
      <c r="A412" s="84"/>
      <c r="B412" s="84"/>
      <c r="C412" s="84"/>
      <c r="D412" s="84"/>
      <c r="E412" s="84"/>
      <c r="F412" s="261"/>
      <c r="G412" s="84"/>
      <c r="H412" s="262"/>
      <c r="I412" s="262"/>
      <c r="J412" s="262"/>
      <c r="K412" s="262"/>
      <c r="L412" s="262"/>
      <c r="M412" s="260"/>
      <c r="N412" s="260"/>
      <c r="O412" s="99"/>
      <c r="P412" s="99"/>
      <c r="Q412" s="99"/>
      <c r="R412" s="99"/>
      <c r="S412" s="99"/>
      <c r="T412" s="99"/>
      <c r="U412" s="99"/>
      <c r="V412" s="99"/>
      <c r="W412" s="99"/>
      <c r="X412" s="99"/>
      <c r="Y412" s="99"/>
      <c r="Z412" s="99"/>
      <c r="AB412" s="84"/>
      <c r="AC412" s="84"/>
      <c r="AD412" s="84"/>
      <c r="AE412" s="84"/>
      <c r="AF412" s="84"/>
      <c r="AG412" s="84"/>
      <c r="AH412" s="84"/>
      <c r="AI412" s="84"/>
    </row>
    <row r="413" ht="15.75" customHeight="1">
      <c r="A413" s="84"/>
      <c r="B413" s="84"/>
      <c r="C413" s="84"/>
      <c r="D413" s="84"/>
      <c r="E413" s="84"/>
      <c r="F413" s="261"/>
      <c r="G413" s="84"/>
      <c r="H413" s="262"/>
      <c r="I413" s="262"/>
      <c r="J413" s="262"/>
      <c r="K413" s="262"/>
      <c r="L413" s="262"/>
      <c r="M413" s="260"/>
      <c r="N413" s="260"/>
      <c r="O413" s="99"/>
      <c r="P413" s="99"/>
      <c r="Q413" s="99"/>
      <c r="R413" s="99"/>
      <c r="S413" s="99"/>
      <c r="T413" s="99"/>
      <c r="U413" s="99"/>
      <c r="V413" s="99"/>
      <c r="W413" s="99"/>
      <c r="X413" s="99"/>
      <c r="Y413" s="99"/>
      <c r="Z413" s="99"/>
      <c r="AB413" s="84"/>
      <c r="AC413" s="84"/>
      <c r="AD413" s="84"/>
      <c r="AE413" s="84"/>
      <c r="AF413" s="84"/>
      <c r="AG413" s="84"/>
      <c r="AH413" s="84"/>
      <c r="AI413" s="84"/>
    </row>
    <row r="414" ht="15.75" customHeight="1">
      <c r="A414" s="84"/>
      <c r="B414" s="84"/>
      <c r="C414" s="84"/>
      <c r="D414" s="84"/>
      <c r="E414" s="84"/>
      <c r="F414" s="261"/>
      <c r="G414" s="84"/>
      <c r="H414" s="262"/>
      <c r="I414" s="262"/>
      <c r="J414" s="262"/>
      <c r="K414" s="262"/>
      <c r="L414" s="262"/>
      <c r="M414" s="260"/>
      <c r="N414" s="260"/>
      <c r="O414" s="99"/>
      <c r="P414" s="99"/>
      <c r="Q414" s="99"/>
      <c r="R414" s="99"/>
      <c r="S414" s="99"/>
      <c r="T414" s="99"/>
      <c r="U414" s="99"/>
      <c r="V414" s="99"/>
      <c r="W414" s="99"/>
      <c r="X414" s="99"/>
      <c r="Y414" s="99"/>
      <c r="Z414" s="99"/>
      <c r="AB414" s="84"/>
      <c r="AC414" s="84"/>
      <c r="AD414" s="84"/>
      <c r="AE414" s="84"/>
      <c r="AF414" s="84"/>
      <c r="AG414" s="84"/>
      <c r="AH414" s="84"/>
      <c r="AI414" s="84"/>
    </row>
    <row r="415" ht="15.75" customHeight="1">
      <c r="A415" s="84"/>
      <c r="B415" s="84"/>
      <c r="C415" s="84"/>
      <c r="D415" s="84"/>
      <c r="E415" s="84"/>
      <c r="F415" s="261"/>
      <c r="G415" s="84"/>
      <c r="H415" s="262"/>
      <c r="I415" s="262"/>
      <c r="J415" s="262"/>
      <c r="K415" s="262"/>
      <c r="L415" s="262"/>
      <c r="M415" s="260"/>
      <c r="N415" s="260"/>
      <c r="O415" s="99"/>
      <c r="P415" s="99"/>
      <c r="Q415" s="99"/>
      <c r="R415" s="99"/>
      <c r="S415" s="99"/>
      <c r="T415" s="99"/>
      <c r="U415" s="99"/>
      <c r="V415" s="99"/>
      <c r="W415" s="99"/>
      <c r="X415" s="99"/>
      <c r="Y415" s="99"/>
      <c r="Z415" s="99"/>
      <c r="AB415" s="84"/>
      <c r="AC415" s="84"/>
      <c r="AD415" s="84"/>
      <c r="AE415" s="84"/>
      <c r="AF415" s="84"/>
      <c r="AG415" s="84"/>
      <c r="AH415" s="84"/>
      <c r="AI415" s="84"/>
    </row>
    <row r="416" ht="15.75" customHeight="1">
      <c r="A416" s="84"/>
      <c r="B416" s="84"/>
      <c r="C416" s="84"/>
      <c r="D416" s="84"/>
      <c r="E416" s="84"/>
      <c r="F416" s="261"/>
      <c r="G416" s="84"/>
      <c r="H416" s="262"/>
      <c r="I416" s="262"/>
      <c r="J416" s="262"/>
      <c r="K416" s="262"/>
      <c r="L416" s="262"/>
      <c r="M416" s="260"/>
      <c r="N416" s="260"/>
      <c r="O416" s="99"/>
      <c r="P416" s="99"/>
      <c r="Q416" s="99"/>
      <c r="R416" s="99"/>
      <c r="S416" s="99"/>
      <c r="T416" s="99"/>
      <c r="U416" s="99"/>
      <c r="V416" s="99"/>
      <c r="W416" s="99"/>
      <c r="X416" s="99"/>
      <c r="Y416" s="99"/>
      <c r="Z416" s="99"/>
      <c r="AB416" s="84"/>
      <c r="AC416" s="84"/>
      <c r="AD416" s="84"/>
      <c r="AE416" s="84"/>
      <c r="AF416" s="84"/>
      <c r="AG416" s="84"/>
      <c r="AH416" s="84"/>
      <c r="AI416" s="84"/>
    </row>
    <row r="417" ht="15.75" customHeight="1">
      <c r="A417" s="84"/>
      <c r="B417" s="84"/>
      <c r="C417" s="84"/>
      <c r="D417" s="84"/>
      <c r="E417" s="84"/>
      <c r="F417" s="261"/>
      <c r="G417" s="84"/>
      <c r="H417" s="262"/>
      <c r="I417" s="262"/>
      <c r="J417" s="262"/>
      <c r="K417" s="262"/>
      <c r="L417" s="262"/>
      <c r="M417" s="260"/>
      <c r="N417" s="260"/>
      <c r="O417" s="99"/>
      <c r="P417" s="99"/>
      <c r="Q417" s="99"/>
      <c r="R417" s="99"/>
      <c r="S417" s="99"/>
      <c r="T417" s="99"/>
      <c r="U417" s="99"/>
      <c r="V417" s="99"/>
      <c r="W417" s="99"/>
      <c r="X417" s="99"/>
      <c r="Y417" s="99"/>
      <c r="Z417" s="99"/>
      <c r="AB417" s="84"/>
      <c r="AC417" s="84"/>
      <c r="AD417" s="84"/>
      <c r="AE417" s="84"/>
      <c r="AF417" s="84"/>
      <c r="AG417" s="84"/>
      <c r="AH417" s="84"/>
      <c r="AI417" s="84"/>
    </row>
    <row r="418" ht="15.75" customHeight="1">
      <c r="A418" s="84"/>
      <c r="B418" s="84"/>
      <c r="C418" s="84"/>
      <c r="D418" s="84"/>
      <c r="E418" s="84"/>
      <c r="F418" s="261"/>
      <c r="G418" s="84"/>
      <c r="H418" s="262"/>
      <c r="I418" s="262"/>
      <c r="J418" s="262"/>
      <c r="K418" s="262"/>
      <c r="L418" s="262"/>
      <c r="M418" s="260"/>
      <c r="N418" s="260"/>
      <c r="O418" s="99"/>
      <c r="P418" s="99"/>
      <c r="Q418" s="99"/>
      <c r="R418" s="99"/>
      <c r="S418" s="99"/>
      <c r="T418" s="99"/>
      <c r="U418" s="99"/>
      <c r="V418" s="99"/>
      <c r="W418" s="99"/>
      <c r="X418" s="99"/>
      <c r="Y418" s="99"/>
      <c r="Z418" s="99"/>
      <c r="AB418" s="84"/>
      <c r="AC418" s="84"/>
      <c r="AD418" s="84"/>
      <c r="AE418" s="84"/>
      <c r="AF418" s="84"/>
      <c r="AG418" s="84"/>
      <c r="AH418" s="84"/>
      <c r="AI418" s="84"/>
    </row>
    <row r="419" ht="15.75" customHeight="1">
      <c r="A419" s="84"/>
      <c r="B419" s="84"/>
      <c r="C419" s="84"/>
      <c r="D419" s="84"/>
      <c r="E419" s="84"/>
      <c r="F419" s="261"/>
      <c r="G419" s="84"/>
      <c r="H419" s="262"/>
      <c r="I419" s="262"/>
      <c r="J419" s="262"/>
      <c r="K419" s="262"/>
      <c r="L419" s="262"/>
      <c r="M419" s="260"/>
      <c r="N419" s="260"/>
      <c r="O419" s="99"/>
      <c r="P419" s="99"/>
      <c r="Q419" s="99"/>
      <c r="R419" s="99"/>
      <c r="S419" s="99"/>
      <c r="T419" s="99"/>
      <c r="U419" s="99"/>
      <c r="V419" s="99"/>
      <c r="W419" s="99"/>
      <c r="X419" s="99"/>
      <c r="Y419" s="99"/>
      <c r="Z419" s="99"/>
      <c r="AB419" s="84"/>
      <c r="AC419" s="84"/>
      <c r="AD419" s="84"/>
      <c r="AE419" s="84"/>
      <c r="AF419" s="84"/>
      <c r="AG419" s="84"/>
      <c r="AH419" s="84"/>
      <c r="AI419" s="84"/>
    </row>
    <row r="420" ht="15.75" customHeight="1">
      <c r="A420" s="84"/>
      <c r="B420" s="84"/>
      <c r="C420" s="84"/>
      <c r="D420" s="84"/>
      <c r="E420" s="84"/>
      <c r="F420" s="261"/>
      <c r="G420" s="84"/>
      <c r="H420" s="262"/>
      <c r="I420" s="262"/>
      <c r="J420" s="262"/>
      <c r="K420" s="262"/>
      <c r="L420" s="262"/>
      <c r="M420" s="260"/>
      <c r="N420" s="260"/>
      <c r="O420" s="99"/>
      <c r="P420" s="99"/>
      <c r="Q420" s="99"/>
      <c r="R420" s="99"/>
      <c r="S420" s="99"/>
      <c r="T420" s="99"/>
      <c r="U420" s="99"/>
      <c r="V420" s="99"/>
      <c r="W420" s="99"/>
      <c r="X420" s="99"/>
      <c r="Y420" s="99"/>
      <c r="Z420" s="99"/>
      <c r="AB420" s="84"/>
      <c r="AC420" s="84"/>
      <c r="AD420" s="84"/>
      <c r="AE420" s="84"/>
      <c r="AF420" s="84"/>
      <c r="AG420" s="84"/>
      <c r="AH420" s="84"/>
      <c r="AI420" s="84"/>
    </row>
    <row r="421" ht="15.75" customHeight="1">
      <c r="A421" s="84"/>
      <c r="B421" s="84"/>
      <c r="C421" s="84"/>
      <c r="D421" s="84"/>
      <c r="E421" s="84"/>
      <c r="F421" s="261"/>
      <c r="G421" s="84"/>
      <c r="H421" s="262"/>
      <c r="I421" s="262"/>
      <c r="J421" s="262"/>
      <c r="K421" s="262"/>
      <c r="L421" s="262"/>
      <c r="M421" s="260"/>
      <c r="N421" s="260"/>
      <c r="O421" s="99"/>
      <c r="P421" s="99"/>
      <c r="Q421" s="99"/>
      <c r="R421" s="99"/>
      <c r="S421" s="99"/>
      <c r="T421" s="99"/>
      <c r="U421" s="99"/>
      <c r="V421" s="99"/>
      <c r="W421" s="99"/>
      <c r="X421" s="99"/>
      <c r="Y421" s="99"/>
      <c r="Z421" s="99"/>
      <c r="AB421" s="84"/>
      <c r="AC421" s="84"/>
      <c r="AD421" s="84"/>
      <c r="AE421" s="84"/>
      <c r="AF421" s="84"/>
      <c r="AG421" s="84"/>
      <c r="AH421" s="84"/>
      <c r="AI421" s="84"/>
    </row>
    <row r="422" ht="15.75" customHeight="1">
      <c r="A422" s="84"/>
      <c r="B422" s="84"/>
      <c r="C422" s="84"/>
      <c r="D422" s="84"/>
      <c r="E422" s="84"/>
      <c r="F422" s="261"/>
      <c r="G422" s="84"/>
      <c r="H422" s="262"/>
      <c r="I422" s="262"/>
      <c r="J422" s="262"/>
      <c r="K422" s="262"/>
      <c r="L422" s="262"/>
      <c r="M422" s="260"/>
      <c r="N422" s="260"/>
      <c r="O422" s="99"/>
      <c r="P422" s="99"/>
      <c r="Q422" s="99"/>
      <c r="R422" s="99"/>
      <c r="S422" s="99"/>
      <c r="T422" s="99"/>
      <c r="U422" s="99"/>
      <c r="V422" s="99"/>
      <c r="W422" s="99"/>
      <c r="X422" s="99"/>
      <c r="Y422" s="99"/>
      <c r="Z422" s="99"/>
      <c r="AB422" s="84"/>
      <c r="AC422" s="84"/>
      <c r="AD422" s="84"/>
      <c r="AE422" s="84"/>
      <c r="AF422" s="84"/>
      <c r="AG422" s="84"/>
      <c r="AH422" s="84"/>
      <c r="AI422" s="84"/>
    </row>
    <row r="423" ht="15.75" customHeight="1">
      <c r="A423" s="84"/>
      <c r="B423" s="84"/>
      <c r="C423" s="84"/>
      <c r="D423" s="84"/>
      <c r="E423" s="84"/>
      <c r="F423" s="261"/>
      <c r="G423" s="84"/>
      <c r="H423" s="262"/>
      <c r="I423" s="262"/>
      <c r="J423" s="262"/>
      <c r="K423" s="262"/>
      <c r="L423" s="262"/>
      <c r="M423" s="260"/>
      <c r="N423" s="260"/>
      <c r="O423" s="99"/>
      <c r="P423" s="99"/>
      <c r="Q423" s="99"/>
      <c r="R423" s="99"/>
      <c r="S423" s="99"/>
      <c r="T423" s="99"/>
      <c r="U423" s="99"/>
      <c r="V423" s="99"/>
      <c r="W423" s="99"/>
      <c r="X423" s="99"/>
      <c r="Y423" s="99"/>
      <c r="Z423" s="99"/>
      <c r="AB423" s="84"/>
      <c r="AC423" s="84"/>
      <c r="AD423" s="84"/>
      <c r="AE423" s="84"/>
      <c r="AF423" s="84"/>
      <c r="AG423" s="84"/>
      <c r="AH423" s="84"/>
      <c r="AI423" s="84"/>
    </row>
    <row r="424" ht="15.75" customHeight="1">
      <c r="A424" s="84"/>
      <c r="B424" s="84"/>
      <c r="C424" s="84"/>
      <c r="D424" s="84"/>
      <c r="E424" s="84"/>
      <c r="F424" s="261"/>
      <c r="G424" s="84"/>
      <c r="H424" s="262"/>
      <c r="I424" s="262"/>
      <c r="J424" s="262"/>
      <c r="K424" s="262"/>
      <c r="L424" s="262"/>
      <c r="M424" s="260"/>
      <c r="N424" s="260"/>
      <c r="O424" s="99"/>
      <c r="P424" s="99"/>
      <c r="Q424" s="99"/>
      <c r="R424" s="99"/>
      <c r="S424" s="99"/>
      <c r="T424" s="99"/>
      <c r="U424" s="99"/>
      <c r="V424" s="99"/>
      <c r="W424" s="99"/>
      <c r="X424" s="99"/>
      <c r="Y424" s="99"/>
      <c r="Z424" s="99"/>
      <c r="AB424" s="84"/>
      <c r="AC424" s="84"/>
      <c r="AD424" s="84"/>
      <c r="AE424" s="84"/>
      <c r="AF424" s="84"/>
      <c r="AG424" s="84"/>
      <c r="AH424" s="84"/>
      <c r="AI424" s="84"/>
    </row>
    <row r="425" ht="15.75" customHeight="1">
      <c r="A425" s="84"/>
      <c r="B425" s="84"/>
      <c r="C425" s="84"/>
      <c r="D425" s="84"/>
      <c r="E425" s="84"/>
      <c r="F425" s="261"/>
      <c r="G425" s="84"/>
      <c r="H425" s="262"/>
      <c r="I425" s="262"/>
      <c r="J425" s="262"/>
      <c r="K425" s="262"/>
      <c r="L425" s="262"/>
      <c r="M425" s="260"/>
      <c r="N425" s="260"/>
      <c r="O425" s="99"/>
      <c r="P425" s="99"/>
      <c r="Q425" s="99"/>
      <c r="R425" s="99"/>
      <c r="S425" s="99"/>
      <c r="T425" s="99"/>
      <c r="U425" s="99"/>
      <c r="V425" s="99"/>
      <c r="W425" s="99"/>
      <c r="X425" s="99"/>
      <c r="Y425" s="99"/>
      <c r="Z425" s="99"/>
      <c r="AB425" s="84"/>
      <c r="AC425" s="84"/>
      <c r="AD425" s="84"/>
      <c r="AE425" s="84"/>
      <c r="AF425" s="84"/>
      <c r="AG425" s="84"/>
      <c r="AH425" s="84"/>
      <c r="AI425" s="84"/>
    </row>
    <row r="426" ht="15.75" customHeight="1">
      <c r="A426" s="84"/>
      <c r="B426" s="84"/>
      <c r="C426" s="84"/>
      <c r="D426" s="84"/>
      <c r="E426" s="84"/>
      <c r="F426" s="261"/>
      <c r="G426" s="84"/>
      <c r="H426" s="262"/>
      <c r="I426" s="262"/>
      <c r="J426" s="262"/>
      <c r="K426" s="262"/>
      <c r="L426" s="262"/>
      <c r="M426" s="260"/>
      <c r="N426" s="260"/>
      <c r="O426" s="99"/>
      <c r="P426" s="99"/>
      <c r="Q426" s="99"/>
      <c r="R426" s="99"/>
      <c r="S426" s="99"/>
      <c r="T426" s="99"/>
      <c r="U426" s="99"/>
      <c r="V426" s="99"/>
      <c r="W426" s="99"/>
      <c r="X426" s="99"/>
      <c r="Y426" s="99"/>
      <c r="Z426" s="99"/>
      <c r="AB426" s="84"/>
      <c r="AC426" s="84"/>
      <c r="AD426" s="84"/>
      <c r="AE426" s="84"/>
      <c r="AF426" s="84"/>
      <c r="AG426" s="84"/>
      <c r="AH426" s="84"/>
      <c r="AI426" s="84"/>
    </row>
    <row r="427" ht="15.75" customHeight="1">
      <c r="A427" s="84"/>
      <c r="B427" s="84"/>
      <c r="C427" s="84"/>
      <c r="D427" s="84"/>
      <c r="E427" s="84"/>
      <c r="F427" s="261"/>
      <c r="G427" s="84"/>
      <c r="H427" s="262"/>
      <c r="I427" s="262"/>
      <c r="J427" s="262"/>
      <c r="K427" s="262"/>
      <c r="L427" s="262"/>
      <c r="M427" s="260"/>
      <c r="N427" s="260"/>
      <c r="O427" s="99"/>
      <c r="P427" s="99"/>
      <c r="Q427" s="99"/>
      <c r="R427" s="99"/>
      <c r="S427" s="99"/>
      <c r="T427" s="99"/>
      <c r="U427" s="99"/>
      <c r="V427" s="99"/>
      <c r="W427" s="99"/>
      <c r="X427" s="99"/>
      <c r="Y427" s="99"/>
      <c r="Z427" s="99"/>
      <c r="AB427" s="84"/>
      <c r="AC427" s="84"/>
      <c r="AD427" s="84"/>
      <c r="AE427" s="84"/>
      <c r="AF427" s="84"/>
      <c r="AG427" s="84"/>
      <c r="AH427" s="84"/>
      <c r="AI427" s="84"/>
    </row>
    <row r="428" ht="15.75" customHeight="1">
      <c r="A428" s="84"/>
      <c r="B428" s="84"/>
      <c r="C428" s="84"/>
      <c r="D428" s="84"/>
      <c r="E428" s="84"/>
      <c r="F428" s="261"/>
      <c r="G428" s="84"/>
      <c r="H428" s="262"/>
      <c r="I428" s="262"/>
      <c r="J428" s="262"/>
      <c r="K428" s="262"/>
      <c r="L428" s="262"/>
      <c r="M428" s="260"/>
      <c r="N428" s="260"/>
      <c r="O428" s="99"/>
      <c r="P428" s="99"/>
      <c r="Q428" s="99"/>
      <c r="R428" s="99"/>
      <c r="S428" s="99"/>
      <c r="T428" s="99"/>
      <c r="U428" s="99"/>
      <c r="V428" s="99"/>
      <c r="W428" s="99"/>
      <c r="X428" s="99"/>
      <c r="Y428" s="99"/>
      <c r="Z428" s="99"/>
      <c r="AB428" s="84"/>
      <c r="AC428" s="84"/>
      <c r="AD428" s="84"/>
      <c r="AE428" s="84"/>
      <c r="AF428" s="84"/>
      <c r="AG428" s="84"/>
      <c r="AH428" s="84"/>
      <c r="AI428" s="84"/>
    </row>
    <row r="429" ht="15.75" customHeight="1">
      <c r="A429" s="84"/>
      <c r="B429" s="84"/>
      <c r="C429" s="84"/>
      <c r="D429" s="84"/>
      <c r="E429" s="84"/>
      <c r="F429" s="261"/>
      <c r="G429" s="84"/>
      <c r="H429" s="262"/>
      <c r="I429" s="262"/>
      <c r="J429" s="262"/>
      <c r="K429" s="262"/>
      <c r="L429" s="262"/>
      <c r="M429" s="260"/>
      <c r="N429" s="260"/>
      <c r="O429" s="99"/>
      <c r="P429" s="99"/>
      <c r="Q429" s="99"/>
      <c r="R429" s="99"/>
      <c r="S429" s="99"/>
      <c r="T429" s="99"/>
      <c r="U429" s="99"/>
      <c r="V429" s="99"/>
      <c r="W429" s="99"/>
      <c r="X429" s="99"/>
      <c r="Y429" s="99"/>
      <c r="Z429" s="99"/>
      <c r="AB429" s="84"/>
      <c r="AC429" s="84"/>
      <c r="AD429" s="84"/>
      <c r="AE429" s="84"/>
      <c r="AF429" s="84"/>
      <c r="AG429" s="84"/>
      <c r="AH429" s="84"/>
      <c r="AI429" s="84"/>
    </row>
    <row r="430" ht="15.75" customHeight="1">
      <c r="A430" s="84"/>
      <c r="B430" s="84"/>
      <c r="C430" s="84"/>
      <c r="D430" s="84"/>
      <c r="E430" s="84"/>
      <c r="F430" s="261"/>
      <c r="G430" s="84"/>
      <c r="H430" s="262"/>
      <c r="I430" s="262"/>
      <c r="J430" s="262"/>
      <c r="K430" s="262"/>
      <c r="L430" s="262"/>
      <c r="M430" s="260"/>
      <c r="N430" s="260"/>
      <c r="O430" s="99"/>
      <c r="P430" s="99"/>
      <c r="Q430" s="99"/>
      <c r="R430" s="99"/>
      <c r="S430" s="99"/>
      <c r="T430" s="99"/>
      <c r="U430" s="99"/>
      <c r="V430" s="99"/>
      <c r="W430" s="99"/>
      <c r="X430" s="99"/>
      <c r="Y430" s="99"/>
      <c r="Z430" s="99"/>
      <c r="AB430" s="84"/>
      <c r="AC430" s="84"/>
      <c r="AD430" s="84"/>
      <c r="AE430" s="84"/>
      <c r="AF430" s="84"/>
      <c r="AG430" s="84"/>
      <c r="AH430" s="84"/>
      <c r="AI430" s="84"/>
    </row>
    <row r="431" ht="15.75" customHeight="1">
      <c r="A431" s="84"/>
      <c r="B431" s="84"/>
      <c r="C431" s="84"/>
      <c r="D431" s="84"/>
      <c r="E431" s="84"/>
      <c r="F431" s="261"/>
      <c r="G431" s="84"/>
      <c r="H431" s="262"/>
      <c r="I431" s="262"/>
      <c r="J431" s="262"/>
      <c r="K431" s="262"/>
      <c r="L431" s="262"/>
      <c r="M431" s="260"/>
      <c r="N431" s="260"/>
      <c r="O431" s="99"/>
      <c r="P431" s="99"/>
      <c r="Q431" s="99"/>
      <c r="R431" s="99"/>
      <c r="S431" s="99"/>
      <c r="T431" s="99"/>
      <c r="U431" s="99"/>
      <c r="V431" s="99"/>
      <c r="W431" s="99"/>
      <c r="X431" s="99"/>
      <c r="Y431" s="99"/>
      <c r="Z431" s="99"/>
      <c r="AB431" s="84"/>
      <c r="AC431" s="84"/>
      <c r="AD431" s="84"/>
      <c r="AE431" s="84"/>
      <c r="AF431" s="84"/>
      <c r="AG431" s="84"/>
      <c r="AH431" s="84"/>
      <c r="AI431" s="84"/>
    </row>
    <row r="432" ht="15.75" customHeight="1">
      <c r="A432" s="84"/>
      <c r="B432" s="84"/>
      <c r="C432" s="84"/>
      <c r="D432" s="84"/>
      <c r="E432" s="84"/>
      <c r="F432" s="261"/>
      <c r="G432" s="84"/>
      <c r="H432" s="262"/>
      <c r="I432" s="262"/>
      <c r="J432" s="262"/>
      <c r="K432" s="262"/>
      <c r="L432" s="262"/>
      <c r="M432" s="260"/>
      <c r="N432" s="260"/>
      <c r="O432" s="99"/>
      <c r="P432" s="99"/>
      <c r="Q432" s="99"/>
      <c r="R432" s="99"/>
      <c r="S432" s="99"/>
      <c r="T432" s="99"/>
      <c r="U432" s="99"/>
      <c r="V432" s="99"/>
      <c r="W432" s="99"/>
      <c r="X432" s="99"/>
      <c r="Y432" s="99"/>
      <c r="Z432" s="99"/>
      <c r="AB432" s="84"/>
      <c r="AC432" s="84"/>
      <c r="AD432" s="84"/>
      <c r="AE432" s="84"/>
      <c r="AF432" s="84"/>
      <c r="AG432" s="84"/>
      <c r="AH432" s="84"/>
      <c r="AI432" s="84"/>
    </row>
    <row r="433" ht="15.75" customHeight="1">
      <c r="A433" s="84"/>
      <c r="B433" s="84"/>
      <c r="C433" s="84"/>
      <c r="D433" s="84"/>
      <c r="E433" s="84"/>
      <c r="F433" s="261"/>
      <c r="G433" s="84"/>
      <c r="H433" s="262"/>
      <c r="I433" s="262"/>
      <c r="J433" s="262"/>
      <c r="K433" s="262"/>
      <c r="L433" s="262"/>
      <c r="M433" s="260"/>
      <c r="N433" s="260"/>
      <c r="O433" s="99"/>
      <c r="P433" s="99"/>
      <c r="Q433" s="99"/>
      <c r="R433" s="99"/>
      <c r="S433" s="99"/>
      <c r="T433" s="99"/>
      <c r="U433" s="99"/>
      <c r="V433" s="99"/>
      <c r="W433" s="99"/>
      <c r="X433" s="99"/>
      <c r="Y433" s="99"/>
      <c r="Z433" s="99"/>
      <c r="AB433" s="84"/>
      <c r="AC433" s="84"/>
      <c r="AD433" s="84"/>
      <c r="AE433" s="84"/>
      <c r="AF433" s="84"/>
      <c r="AG433" s="84"/>
      <c r="AH433" s="84"/>
      <c r="AI433" s="84"/>
    </row>
    <row r="434" ht="15.75" customHeight="1">
      <c r="A434" s="84"/>
      <c r="B434" s="84"/>
      <c r="C434" s="84"/>
      <c r="D434" s="84"/>
      <c r="E434" s="84"/>
      <c r="F434" s="261"/>
      <c r="G434" s="84"/>
      <c r="H434" s="262"/>
      <c r="I434" s="262"/>
      <c r="J434" s="262"/>
      <c r="K434" s="262"/>
      <c r="L434" s="262"/>
      <c r="M434" s="260"/>
      <c r="N434" s="260"/>
      <c r="O434" s="99"/>
      <c r="P434" s="99"/>
      <c r="Q434" s="99"/>
      <c r="R434" s="99"/>
      <c r="S434" s="99"/>
      <c r="T434" s="99"/>
      <c r="U434" s="99"/>
      <c r="V434" s="99"/>
      <c r="W434" s="99"/>
      <c r="X434" s="99"/>
      <c r="Y434" s="99"/>
      <c r="Z434" s="99"/>
      <c r="AB434" s="84"/>
      <c r="AC434" s="84"/>
      <c r="AD434" s="84"/>
      <c r="AE434" s="84"/>
      <c r="AF434" s="84"/>
      <c r="AG434" s="84"/>
      <c r="AH434" s="84"/>
      <c r="AI434" s="84"/>
    </row>
    <row r="435" ht="15.75" customHeight="1">
      <c r="A435" s="84"/>
      <c r="B435" s="84"/>
      <c r="C435" s="84"/>
      <c r="D435" s="84"/>
      <c r="E435" s="84"/>
      <c r="F435" s="261"/>
      <c r="G435" s="84"/>
      <c r="H435" s="262"/>
      <c r="I435" s="262"/>
      <c r="J435" s="262"/>
      <c r="K435" s="262"/>
      <c r="L435" s="262"/>
      <c r="M435" s="260"/>
      <c r="N435" s="260"/>
      <c r="O435" s="99"/>
      <c r="P435" s="99"/>
      <c r="Q435" s="99"/>
      <c r="R435" s="99"/>
      <c r="S435" s="99"/>
      <c r="T435" s="99"/>
      <c r="U435" s="99"/>
      <c r="V435" s="99"/>
      <c r="W435" s="99"/>
      <c r="X435" s="99"/>
      <c r="Y435" s="99"/>
      <c r="Z435" s="99"/>
      <c r="AB435" s="84"/>
      <c r="AC435" s="84"/>
      <c r="AD435" s="84"/>
      <c r="AE435" s="84"/>
      <c r="AF435" s="84"/>
      <c r="AG435" s="84"/>
      <c r="AH435" s="84"/>
      <c r="AI435" s="84"/>
    </row>
    <row r="436" ht="15.75" customHeight="1">
      <c r="A436" s="84"/>
      <c r="B436" s="84"/>
      <c r="C436" s="84"/>
      <c r="D436" s="84"/>
      <c r="E436" s="84"/>
      <c r="F436" s="261"/>
      <c r="G436" s="84"/>
      <c r="H436" s="262"/>
      <c r="I436" s="262"/>
      <c r="J436" s="262"/>
      <c r="K436" s="262"/>
      <c r="L436" s="262"/>
      <c r="M436" s="260"/>
      <c r="N436" s="260"/>
      <c r="O436" s="99"/>
      <c r="P436" s="99"/>
      <c r="Q436" s="99"/>
      <c r="R436" s="99"/>
      <c r="S436" s="99"/>
      <c r="T436" s="99"/>
      <c r="U436" s="99"/>
      <c r="V436" s="99"/>
      <c r="W436" s="99"/>
      <c r="X436" s="99"/>
      <c r="Y436" s="99"/>
      <c r="Z436" s="99"/>
      <c r="AB436" s="84"/>
      <c r="AC436" s="84"/>
      <c r="AD436" s="84"/>
      <c r="AE436" s="84"/>
      <c r="AF436" s="84"/>
      <c r="AG436" s="84"/>
      <c r="AH436" s="84"/>
      <c r="AI436" s="84"/>
    </row>
    <row r="437" ht="15.75" customHeight="1">
      <c r="A437" s="84"/>
      <c r="B437" s="84"/>
      <c r="C437" s="84"/>
      <c r="D437" s="84"/>
      <c r="E437" s="84"/>
      <c r="F437" s="261"/>
      <c r="G437" s="84"/>
      <c r="H437" s="262"/>
      <c r="I437" s="262"/>
      <c r="J437" s="262"/>
      <c r="K437" s="262"/>
      <c r="L437" s="262"/>
      <c r="M437" s="260"/>
      <c r="N437" s="260"/>
      <c r="O437" s="99"/>
      <c r="P437" s="99"/>
      <c r="Q437" s="99"/>
      <c r="R437" s="99"/>
      <c r="S437" s="99"/>
      <c r="T437" s="99"/>
      <c r="U437" s="99"/>
      <c r="V437" s="99"/>
      <c r="W437" s="99"/>
      <c r="X437" s="99"/>
      <c r="Y437" s="99"/>
      <c r="Z437" s="99"/>
      <c r="AB437" s="84"/>
      <c r="AC437" s="84"/>
      <c r="AD437" s="84"/>
      <c r="AE437" s="84"/>
      <c r="AF437" s="84"/>
      <c r="AG437" s="84"/>
      <c r="AH437" s="84"/>
      <c r="AI437" s="84"/>
    </row>
    <row r="438" ht="15.75" customHeight="1">
      <c r="A438" s="84"/>
      <c r="B438" s="84"/>
      <c r="C438" s="84"/>
      <c r="D438" s="84"/>
      <c r="E438" s="84"/>
      <c r="F438" s="261"/>
      <c r="G438" s="84"/>
      <c r="H438" s="262"/>
      <c r="I438" s="262"/>
      <c r="J438" s="262"/>
      <c r="K438" s="262"/>
      <c r="L438" s="262"/>
      <c r="M438" s="260"/>
      <c r="N438" s="260"/>
      <c r="O438" s="99"/>
      <c r="P438" s="99"/>
      <c r="Q438" s="99"/>
      <c r="R438" s="99"/>
      <c r="S438" s="99"/>
      <c r="T438" s="99"/>
      <c r="U438" s="99"/>
      <c r="V438" s="99"/>
      <c r="W438" s="99"/>
      <c r="X438" s="99"/>
      <c r="Y438" s="99"/>
      <c r="Z438" s="99"/>
      <c r="AB438" s="84"/>
      <c r="AC438" s="84"/>
      <c r="AD438" s="84"/>
      <c r="AE438" s="84"/>
      <c r="AF438" s="84"/>
      <c r="AG438" s="84"/>
      <c r="AH438" s="84"/>
      <c r="AI438" s="84"/>
    </row>
    <row r="439" ht="15.75" customHeight="1">
      <c r="A439" s="84"/>
      <c r="B439" s="84"/>
      <c r="C439" s="84"/>
      <c r="D439" s="84"/>
      <c r="E439" s="84"/>
      <c r="F439" s="261"/>
      <c r="G439" s="84"/>
      <c r="H439" s="262"/>
      <c r="I439" s="262"/>
      <c r="J439" s="262"/>
      <c r="K439" s="262"/>
      <c r="L439" s="262"/>
      <c r="M439" s="260"/>
      <c r="N439" s="260"/>
      <c r="O439" s="99"/>
      <c r="P439" s="99"/>
      <c r="Q439" s="99"/>
      <c r="R439" s="99"/>
      <c r="S439" s="99"/>
      <c r="T439" s="99"/>
      <c r="U439" s="99"/>
      <c r="V439" s="99"/>
      <c r="W439" s="99"/>
      <c r="X439" s="99"/>
      <c r="Y439" s="99"/>
      <c r="Z439" s="99"/>
      <c r="AB439" s="84"/>
      <c r="AC439" s="84"/>
      <c r="AD439" s="84"/>
      <c r="AE439" s="84"/>
      <c r="AF439" s="84"/>
      <c r="AG439" s="84"/>
      <c r="AH439" s="84"/>
      <c r="AI439" s="84"/>
    </row>
    <row r="440" ht="15.75" customHeight="1">
      <c r="A440" s="84"/>
      <c r="B440" s="84"/>
      <c r="C440" s="84"/>
      <c r="D440" s="84"/>
      <c r="E440" s="84"/>
      <c r="F440" s="261"/>
      <c r="G440" s="84"/>
      <c r="H440" s="262"/>
      <c r="I440" s="262"/>
      <c r="J440" s="262"/>
      <c r="K440" s="262"/>
      <c r="L440" s="262"/>
      <c r="M440" s="260"/>
      <c r="N440" s="260"/>
      <c r="O440" s="99"/>
      <c r="P440" s="99"/>
      <c r="Q440" s="99"/>
      <c r="R440" s="99"/>
      <c r="S440" s="99"/>
      <c r="T440" s="99"/>
      <c r="U440" s="99"/>
      <c r="V440" s="99"/>
      <c r="W440" s="99"/>
      <c r="X440" s="99"/>
      <c r="Y440" s="99"/>
      <c r="Z440" s="99"/>
      <c r="AB440" s="84"/>
      <c r="AC440" s="84"/>
      <c r="AD440" s="84"/>
      <c r="AE440" s="84"/>
      <c r="AF440" s="84"/>
      <c r="AG440" s="84"/>
      <c r="AH440" s="84"/>
      <c r="AI440" s="84"/>
    </row>
    <row r="441" ht="15.75" customHeight="1">
      <c r="A441" s="84"/>
      <c r="B441" s="84"/>
      <c r="C441" s="84"/>
      <c r="D441" s="84"/>
      <c r="E441" s="84"/>
      <c r="F441" s="261"/>
      <c r="G441" s="84"/>
      <c r="H441" s="262"/>
      <c r="I441" s="262"/>
      <c r="J441" s="262"/>
      <c r="K441" s="262"/>
      <c r="L441" s="262"/>
      <c r="M441" s="260"/>
      <c r="N441" s="260"/>
      <c r="O441" s="99"/>
      <c r="P441" s="99"/>
      <c r="Q441" s="99"/>
      <c r="R441" s="99"/>
      <c r="S441" s="99"/>
      <c r="T441" s="99"/>
      <c r="U441" s="99"/>
      <c r="V441" s="99"/>
      <c r="W441" s="99"/>
      <c r="X441" s="99"/>
      <c r="Y441" s="99"/>
      <c r="Z441" s="99"/>
      <c r="AB441" s="84"/>
      <c r="AC441" s="84"/>
      <c r="AD441" s="84"/>
      <c r="AE441" s="84"/>
      <c r="AF441" s="84"/>
      <c r="AG441" s="84"/>
      <c r="AH441" s="84"/>
      <c r="AI441" s="84"/>
    </row>
    <row r="442" ht="15.75" customHeight="1">
      <c r="A442" s="84"/>
      <c r="B442" s="84"/>
      <c r="C442" s="84"/>
      <c r="D442" s="84"/>
      <c r="E442" s="84"/>
      <c r="F442" s="261"/>
      <c r="G442" s="84"/>
      <c r="H442" s="262"/>
      <c r="I442" s="262"/>
      <c r="J442" s="262"/>
      <c r="K442" s="262"/>
      <c r="L442" s="262"/>
      <c r="M442" s="260"/>
      <c r="N442" s="260"/>
      <c r="O442" s="99"/>
      <c r="P442" s="99"/>
      <c r="Q442" s="99"/>
      <c r="R442" s="99"/>
      <c r="S442" s="99"/>
      <c r="T442" s="99"/>
      <c r="U442" s="99"/>
      <c r="V442" s="99"/>
      <c r="W442" s="99"/>
      <c r="X442" s="99"/>
      <c r="Y442" s="99"/>
      <c r="Z442" s="99"/>
      <c r="AB442" s="84"/>
      <c r="AC442" s="84"/>
      <c r="AD442" s="84"/>
      <c r="AE442" s="84"/>
      <c r="AF442" s="84"/>
      <c r="AG442" s="84"/>
      <c r="AH442" s="84"/>
      <c r="AI442" s="84"/>
    </row>
    <row r="443" ht="15.75" customHeight="1">
      <c r="A443" s="84"/>
      <c r="B443" s="84"/>
      <c r="C443" s="84"/>
      <c r="D443" s="84"/>
      <c r="E443" s="84"/>
      <c r="F443" s="261"/>
      <c r="G443" s="84"/>
      <c r="H443" s="262"/>
      <c r="I443" s="262"/>
      <c r="J443" s="262"/>
      <c r="K443" s="262"/>
      <c r="L443" s="262"/>
      <c r="M443" s="260"/>
      <c r="N443" s="260"/>
      <c r="O443" s="99"/>
      <c r="P443" s="99"/>
      <c r="Q443" s="99"/>
      <c r="R443" s="99"/>
      <c r="S443" s="99"/>
      <c r="T443" s="99"/>
      <c r="U443" s="99"/>
      <c r="V443" s="99"/>
      <c r="W443" s="99"/>
      <c r="X443" s="99"/>
      <c r="Y443" s="99"/>
      <c r="Z443" s="99"/>
      <c r="AB443" s="84"/>
      <c r="AC443" s="84"/>
      <c r="AD443" s="84"/>
      <c r="AE443" s="84"/>
      <c r="AF443" s="84"/>
      <c r="AG443" s="84"/>
      <c r="AH443" s="84"/>
      <c r="AI443" s="84"/>
    </row>
    <row r="444" ht="15.75" customHeight="1">
      <c r="A444" s="84"/>
      <c r="B444" s="84"/>
      <c r="C444" s="84"/>
      <c r="D444" s="84"/>
      <c r="E444" s="84"/>
      <c r="F444" s="261"/>
      <c r="G444" s="84"/>
      <c r="H444" s="262"/>
      <c r="I444" s="262"/>
      <c r="J444" s="262"/>
      <c r="K444" s="262"/>
      <c r="L444" s="262"/>
      <c r="M444" s="260"/>
      <c r="N444" s="260"/>
      <c r="O444" s="99"/>
      <c r="P444" s="99"/>
      <c r="Q444" s="99"/>
      <c r="R444" s="99"/>
      <c r="S444" s="99"/>
      <c r="T444" s="99"/>
      <c r="U444" s="99"/>
      <c r="V444" s="99"/>
      <c r="W444" s="99"/>
      <c r="X444" s="99"/>
      <c r="Y444" s="99"/>
      <c r="Z444" s="99"/>
      <c r="AB444" s="84"/>
      <c r="AC444" s="84"/>
      <c r="AD444" s="84"/>
      <c r="AE444" s="84"/>
      <c r="AF444" s="84"/>
      <c r="AG444" s="84"/>
      <c r="AH444" s="84"/>
      <c r="AI444" s="84"/>
    </row>
    <row r="445" ht="15.75" customHeight="1">
      <c r="A445" s="84"/>
      <c r="B445" s="84"/>
      <c r="C445" s="84"/>
      <c r="D445" s="84"/>
      <c r="E445" s="84"/>
      <c r="F445" s="261"/>
      <c r="G445" s="84"/>
      <c r="H445" s="262"/>
      <c r="I445" s="262"/>
      <c r="J445" s="262"/>
      <c r="K445" s="262"/>
      <c r="L445" s="262"/>
      <c r="M445" s="260"/>
      <c r="N445" s="260"/>
      <c r="O445" s="99"/>
      <c r="P445" s="99"/>
      <c r="Q445" s="99"/>
      <c r="R445" s="99"/>
      <c r="S445" s="99"/>
      <c r="T445" s="99"/>
      <c r="U445" s="99"/>
      <c r="V445" s="99"/>
      <c r="W445" s="99"/>
      <c r="X445" s="99"/>
      <c r="Y445" s="99"/>
      <c r="Z445" s="99"/>
      <c r="AB445" s="84"/>
      <c r="AC445" s="84"/>
      <c r="AD445" s="84"/>
      <c r="AE445" s="84"/>
      <c r="AF445" s="84"/>
      <c r="AG445" s="84"/>
      <c r="AH445" s="84"/>
      <c r="AI445" s="84"/>
    </row>
    <row r="446" ht="15.75" customHeight="1">
      <c r="A446" s="84"/>
      <c r="B446" s="84"/>
      <c r="C446" s="84"/>
      <c r="D446" s="84"/>
      <c r="E446" s="84"/>
      <c r="F446" s="261"/>
      <c r="G446" s="84"/>
      <c r="H446" s="262"/>
      <c r="I446" s="262"/>
      <c r="J446" s="262"/>
      <c r="K446" s="262"/>
      <c r="L446" s="262"/>
      <c r="M446" s="260"/>
      <c r="N446" s="260"/>
      <c r="O446" s="99"/>
      <c r="P446" s="99"/>
      <c r="Q446" s="99"/>
      <c r="R446" s="99"/>
      <c r="S446" s="99"/>
      <c r="T446" s="99"/>
      <c r="U446" s="99"/>
      <c r="V446" s="99"/>
      <c r="W446" s="99"/>
      <c r="X446" s="99"/>
      <c r="Y446" s="99"/>
      <c r="Z446" s="99"/>
      <c r="AB446" s="84"/>
      <c r="AC446" s="84"/>
      <c r="AD446" s="84"/>
      <c r="AE446" s="84"/>
      <c r="AF446" s="84"/>
      <c r="AG446" s="84"/>
      <c r="AH446" s="84"/>
      <c r="AI446" s="84"/>
    </row>
    <row r="447" ht="15.75" customHeight="1">
      <c r="A447" s="84"/>
      <c r="B447" s="84"/>
      <c r="C447" s="84"/>
      <c r="D447" s="84"/>
      <c r="E447" s="84"/>
      <c r="F447" s="261"/>
      <c r="G447" s="84"/>
      <c r="H447" s="262"/>
      <c r="I447" s="262"/>
      <c r="J447" s="262"/>
      <c r="K447" s="262"/>
      <c r="L447" s="262"/>
      <c r="M447" s="260"/>
      <c r="N447" s="260"/>
      <c r="O447" s="99"/>
      <c r="P447" s="99"/>
      <c r="Q447" s="99"/>
      <c r="R447" s="99"/>
      <c r="S447" s="99"/>
      <c r="T447" s="99"/>
      <c r="U447" s="99"/>
      <c r="V447" s="99"/>
      <c r="W447" s="99"/>
      <c r="X447" s="99"/>
      <c r="Y447" s="99"/>
      <c r="Z447" s="99"/>
      <c r="AB447" s="84"/>
      <c r="AC447" s="84"/>
      <c r="AD447" s="84"/>
      <c r="AE447" s="84"/>
      <c r="AF447" s="84"/>
      <c r="AG447" s="84"/>
      <c r="AH447" s="84"/>
      <c r="AI447" s="84"/>
    </row>
    <row r="448" ht="15.75" customHeight="1">
      <c r="A448" s="84"/>
      <c r="B448" s="84"/>
      <c r="C448" s="84"/>
      <c r="D448" s="84"/>
      <c r="E448" s="84"/>
      <c r="F448" s="261"/>
      <c r="G448" s="84"/>
      <c r="H448" s="262"/>
      <c r="I448" s="262"/>
      <c r="J448" s="262"/>
      <c r="K448" s="262"/>
      <c r="L448" s="262"/>
      <c r="M448" s="260"/>
      <c r="N448" s="260"/>
      <c r="O448" s="99"/>
      <c r="P448" s="99"/>
      <c r="Q448" s="99"/>
      <c r="R448" s="99"/>
      <c r="S448" s="99"/>
      <c r="T448" s="99"/>
      <c r="U448" s="99"/>
      <c r="V448" s="99"/>
      <c r="W448" s="99"/>
      <c r="X448" s="99"/>
      <c r="Y448" s="99"/>
      <c r="Z448" s="99"/>
      <c r="AB448" s="84"/>
      <c r="AC448" s="84"/>
      <c r="AD448" s="84"/>
      <c r="AE448" s="84"/>
      <c r="AF448" s="84"/>
      <c r="AG448" s="84"/>
      <c r="AH448" s="84"/>
      <c r="AI448" s="84"/>
    </row>
    <row r="449" ht="15.75" customHeight="1">
      <c r="A449" s="84"/>
      <c r="B449" s="84"/>
      <c r="C449" s="84"/>
      <c r="D449" s="84"/>
      <c r="E449" s="84"/>
      <c r="F449" s="261"/>
      <c r="G449" s="84"/>
      <c r="H449" s="262"/>
      <c r="I449" s="262"/>
      <c r="J449" s="262"/>
      <c r="K449" s="262"/>
      <c r="L449" s="262"/>
      <c r="M449" s="260"/>
      <c r="N449" s="260"/>
      <c r="O449" s="99"/>
      <c r="P449" s="99"/>
      <c r="Q449" s="99"/>
      <c r="R449" s="99"/>
      <c r="S449" s="99"/>
      <c r="T449" s="99"/>
      <c r="U449" s="99"/>
      <c r="V449" s="99"/>
      <c r="W449" s="99"/>
      <c r="X449" s="99"/>
      <c r="Y449" s="99"/>
      <c r="Z449" s="99"/>
      <c r="AB449" s="84"/>
      <c r="AC449" s="84"/>
      <c r="AD449" s="84"/>
      <c r="AE449" s="84"/>
      <c r="AF449" s="84"/>
      <c r="AG449" s="84"/>
      <c r="AH449" s="84"/>
      <c r="AI449" s="84"/>
    </row>
    <row r="450" ht="15.75" customHeight="1">
      <c r="A450" s="84"/>
      <c r="B450" s="84"/>
      <c r="C450" s="84"/>
      <c r="D450" s="84"/>
      <c r="E450" s="84"/>
      <c r="F450" s="261"/>
      <c r="G450" s="84"/>
      <c r="H450" s="262"/>
      <c r="I450" s="262"/>
      <c r="J450" s="262"/>
      <c r="K450" s="262"/>
      <c r="L450" s="262"/>
      <c r="M450" s="260"/>
      <c r="N450" s="260"/>
      <c r="O450" s="99"/>
      <c r="P450" s="99"/>
      <c r="Q450" s="99"/>
      <c r="R450" s="99"/>
      <c r="S450" s="99"/>
      <c r="T450" s="99"/>
      <c r="U450" s="99"/>
      <c r="V450" s="99"/>
      <c r="W450" s="99"/>
      <c r="X450" s="99"/>
      <c r="Y450" s="99"/>
      <c r="Z450" s="99"/>
      <c r="AB450" s="84"/>
      <c r="AC450" s="84"/>
      <c r="AD450" s="84"/>
      <c r="AE450" s="84"/>
      <c r="AF450" s="84"/>
      <c r="AG450" s="84"/>
      <c r="AH450" s="84"/>
      <c r="AI450" s="84"/>
    </row>
    <row r="451" ht="15.75" customHeight="1">
      <c r="A451" s="84"/>
      <c r="B451" s="84"/>
      <c r="C451" s="84"/>
      <c r="D451" s="84"/>
      <c r="E451" s="84"/>
      <c r="F451" s="261"/>
      <c r="G451" s="84"/>
      <c r="H451" s="262"/>
      <c r="I451" s="262"/>
      <c r="J451" s="262"/>
      <c r="K451" s="262"/>
      <c r="L451" s="262"/>
      <c r="M451" s="260"/>
      <c r="N451" s="260"/>
      <c r="O451" s="99"/>
      <c r="P451" s="99"/>
      <c r="Q451" s="99"/>
      <c r="R451" s="99"/>
      <c r="S451" s="99"/>
      <c r="T451" s="99"/>
      <c r="U451" s="99"/>
      <c r="V451" s="99"/>
      <c r="W451" s="99"/>
      <c r="X451" s="99"/>
      <c r="Y451" s="99"/>
      <c r="Z451" s="99"/>
      <c r="AB451" s="84"/>
      <c r="AC451" s="84"/>
      <c r="AD451" s="84"/>
      <c r="AE451" s="84"/>
      <c r="AF451" s="84"/>
      <c r="AG451" s="84"/>
      <c r="AH451" s="84"/>
      <c r="AI451" s="84"/>
    </row>
    <row r="452" ht="15.75" customHeight="1">
      <c r="A452" s="84"/>
      <c r="B452" s="84"/>
      <c r="C452" s="84"/>
      <c r="D452" s="84"/>
      <c r="E452" s="84"/>
      <c r="F452" s="261"/>
      <c r="G452" s="84"/>
      <c r="H452" s="262"/>
      <c r="I452" s="262"/>
      <c r="J452" s="262"/>
      <c r="K452" s="262"/>
      <c r="L452" s="262"/>
      <c r="M452" s="260"/>
      <c r="N452" s="260"/>
      <c r="O452" s="99"/>
      <c r="P452" s="99"/>
      <c r="Q452" s="99"/>
      <c r="R452" s="99"/>
      <c r="S452" s="99"/>
      <c r="T452" s="99"/>
      <c r="U452" s="99"/>
      <c r="V452" s="99"/>
      <c r="W452" s="99"/>
      <c r="X452" s="99"/>
      <c r="Y452" s="99"/>
      <c r="Z452" s="99"/>
      <c r="AB452" s="84"/>
      <c r="AC452" s="84"/>
      <c r="AD452" s="84"/>
      <c r="AE452" s="84"/>
      <c r="AF452" s="84"/>
      <c r="AG452" s="84"/>
      <c r="AH452" s="84"/>
      <c r="AI452" s="84"/>
    </row>
    <row r="453" ht="15.75" customHeight="1">
      <c r="A453" s="84"/>
      <c r="B453" s="84"/>
      <c r="C453" s="84"/>
      <c r="D453" s="84"/>
      <c r="E453" s="84"/>
      <c r="F453" s="261"/>
      <c r="G453" s="84"/>
      <c r="H453" s="262"/>
      <c r="I453" s="262"/>
      <c r="J453" s="262"/>
      <c r="K453" s="262"/>
      <c r="L453" s="262"/>
      <c r="M453" s="260"/>
      <c r="N453" s="260"/>
      <c r="O453" s="99"/>
      <c r="P453" s="99"/>
      <c r="Q453" s="99"/>
      <c r="R453" s="99"/>
      <c r="S453" s="99"/>
      <c r="T453" s="99"/>
      <c r="U453" s="99"/>
      <c r="V453" s="99"/>
      <c r="W453" s="99"/>
      <c r="X453" s="99"/>
      <c r="Y453" s="99"/>
      <c r="Z453" s="99"/>
      <c r="AB453" s="84"/>
      <c r="AC453" s="84"/>
      <c r="AD453" s="84"/>
      <c r="AE453" s="84"/>
      <c r="AF453" s="84"/>
      <c r="AG453" s="84"/>
      <c r="AH453" s="84"/>
      <c r="AI453" s="84"/>
    </row>
    <row r="454" ht="15.75" customHeight="1">
      <c r="A454" s="84"/>
      <c r="B454" s="84"/>
      <c r="C454" s="84"/>
      <c r="D454" s="84"/>
      <c r="E454" s="84"/>
      <c r="F454" s="261"/>
      <c r="G454" s="84"/>
      <c r="H454" s="262"/>
      <c r="I454" s="262"/>
      <c r="J454" s="262"/>
      <c r="K454" s="262"/>
      <c r="L454" s="262"/>
      <c r="M454" s="260"/>
      <c r="N454" s="260"/>
      <c r="O454" s="99"/>
      <c r="P454" s="99"/>
      <c r="Q454" s="99"/>
      <c r="R454" s="99"/>
      <c r="S454" s="99"/>
      <c r="T454" s="99"/>
      <c r="U454" s="99"/>
      <c r="V454" s="99"/>
      <c r="W454" s="99"/>
      <c r="X454" s="99"/>
      <c r="Y454" s="99"/>
      <c r="Z454" s="99"/>
      <c r="AB454" s="84"/>
      <c r="AC454" s="84"/>
      <c r="AD454" s="84"/>
      <c r="AE454" s="84"/>
      <c r="AF454" s="84"/>
      <c r="AG454" s="84"/>
      <c r="AH454" s="84"/>
      <c r="AI454" s="84"/>
    </row>
    <row r="455" ht="15.75" customHeight="1">
      <c r="A455" s="84"/>
      <c r="B455" s="84"/>
      <c r="C455" s="84"/>
      <c r="D455" s="84"/>
      <c r="E455" s="84"/>
      <c r="F455" s="261"/>
      <c r="G455" s="84"/>
      <c r="H455" s="262"/>
      <c r="I455" s="262"/>
      <c r="J455" s="262"/>
      <c r="K455" s="262"/>
      <c r="L455" s="262"/>
      <c r="M455" s="260"/>
      <c r="N455" s="260"/>
      <c r="O455" s="99"/>
      <c r="P455" s="99"/>
      <c r="Q455" s="99"/>
      <c r="R455" s="99"/>
      <c r="S455" s="99"/>
      <c r="T455" s="99"/>
      <c r="U455" s="99"/>
      <c r="V455" s="99"/>
      <c r="W455" s="99"/>
      <c r="X455" s="99"/>
      <c r="Y455" s="99"/>
      <c r="Z455" s="99"/>
      <c r="AB455" s="84"/>
      <c r="AC455" s="84"/>
      <c r="AD455" s="84"/>
      <c r="AE455" s="84"/>
      <c r="AF455" s="84"/>
      <c r="AG455" s="84"/>
      <c r="AH455" s="84"/>
      <c r="AI455" s="84"/>
    </row>
    <row r="456" ht="15.75" customHeight="1">
      <c r="A456" s="84"/>
      <c r="B456" s="84"/>
      <c r="C456" s="84"/>
      <c r="D456" s="84"/>
      <c r="E456" s="84"/>
      <c r="F456" s="261"/>
      <c r="G456" s="84"/>
      <c r="H456" s="262"/>
      <c r="I456" s="262"/>
      <c r="J456" s="262"/>
      <c r="K456" s="262"/>
      <c r="L456" s="262"/>
      <c r="M456" s="260"/>
      <c r="N456" s="260"/>
      <c r="O456" s="99"/>
      <c r="P456" s="99"/>
      <c r="Q456" s="99"/>
      <c r="R456" s="99"/>
      <c r="S456" s="99"/>
      <c r="T456" s="99"/>
      <c r="U456" s="99"/>
      <c r="V456" s="99"/>
      <c r="W456" s="99"/>
      <c r="X456" s="99"/>
      <c r="Y456" s="99"/>
      <c r="Z456" s="99"/>
      <c r="AB456" s="84"/>
      <c r="AC456" s="84"/>
      <c r="AD456" s="84"/>
      <c r="AE456" s="84"/>
      <c r="AF456" s="84"/>
      <c r="AG456" s="84"/>
      <c r="AH456" s="84"/>
      <c r="AI456" s="84"/>
    </row>
    <row r="457" ht="15.75" customHeight="1">
      <c r="A457" s="84"/>
      <c r="B457" s="84"/>
      <c r="C457" s="84"/>
      <c r="D457" s="84"/>
      <c r="E457" s="84"/>
      <c r="F457" s="261"/>
      <c r="G457" s="84"/>
      <c r="H457" s="262"/>
      <c r="I457" s="262"/>
      <c r="J457" s="262"/>
      <c r="K457" s="262"/>
      <c r="L457" s="262"/>
      <c r="M457" s="260"/>
      <c r="N457" s="260"/>
      <c r="O457" s="99"/>
      <c r="P457" s="99"/>
      <c r="Q457" s="99"/>
      <c r="R457" s="99"/>
      <c r="S457" s="99"/>
      <c r="T457" s="99"/>
      <c r="U457" s="99"/>
      <c r="V457" s="99"/>
      <c r="W457" s="99"/>
      <c r="X457" s="99"/>
      <c r="Y457" s="99"/>
      <c r="Z457" s="99"/>
      <c r="AB457" s="84"/>
      <c r="AC457" s="84"/>
      <c r="AD457" s="84"/>
      <c r="AE457" s="84"/>
      <c r="AF457" s="84"/>
      <c r="AG457" s="84"/>
      <c r="AH457" s="84"/>
      <c r="AI457" s="84"/>
    </row>
    <row r="458" ht="15.75" customHeight="1">
      <c r="A458" s="84"/>
      <c r="B458" s="84"/>
      <c r="C458" s="84"/>
      <c r="D458" s="84"/>
      <c r="E458" s="119"/>
      <c r="F458" s="261"/>
      <c r="G458" s="84"/>
      <c r="H458" s="262"/>
      <c r="I458" s="262"/>
      <c r="J458" s="262"/>
      <c r="K458" s="262"/>
      <c r="L458" s="262"/>
      <c r="M458" s="260"/>
      <c r="N458" s="260"/>
      <c r="O458" s="99"/>
      <c r="P458" s="99"/>
      <c r="Q458" s="99"/>
      <c r="R458" s="99"/>
      <c r="S458" s="99"/>
      <c r="T458" s="99"/>
      <c r="U458" s="99"/>
      <c r="V458" s="99"/>
      <c r="W458" s="99"/>
      <c r="X458" s="99"/>
      <c r="Y458" s="99"/>
      <c r="Z458" s="99"/>
      <c r="AB458" s="84"/>
      <c r="AC458" s="84"/>
      <c r="AD458" s="84"/>
      <c r="AE458" s="84"/>
      <c r="AF458" s="84"/>
      <c r="AG458" s="84"/>
      <c r="AH458" s="84"/>
      <c r="AI458" s="84"/>
    </row>
    <row r="459" ht="15.75" customHeight="1">
      <c r="A459" s="84"/>
      <c r="B459" s="84"/>
      <c r="C459" s="84"/>
      <c r="D459" s="84"/>
      <c r="E459" s="120"/>
      <c r="F459" s="261"/>
      <c r="G459" s="84"/>
      <c r="H459" s="262"/>
      <c r="I459" s="262"/>
      <c r="J459" s="262"/>
      <c r="K459" s="262"/>
      <c r="L459" s="262"/>
      <c r="M459" s="260"/>
      <c r="N459" s="260"/>
      <c r="O459" s="99"/>
      <c r="P459" s="99"/>
      <c r="Q459" s="99"/>
      <c r="R459" s="99"/>
      <c r="S459" s="99"/>
      <c r="T459" s="99"/>
      <c r="U459" s="99"/>
      <c r="V459" s="99"/>
      <c r="W459" s="99"/>
      <c r="X459" s="99"/>
      <c r="Y459" s="99"/>
      <c r="Z459" s="99"/>
      <c r="AB459" s="84"/>
      <c r="AC459" s="84"/>
      <c r="AD459" s="84"/>
      <c r="AE459" s="84"/>
      <c r="AF459" s="84"/>
      <c r="AG459" s="84"/>
      <c r="AH459" s="84"/>
      <c r="AI459" s="84"/>
    </row>
    <row r="460" ht="15.75" customHeight="1">
      <c r="A460" s="84"/>
      <c r="B460" s="84"/>
      <c r="C460" s="84"/>
      <c r="D460" s="84"/>
      <c r="E460" s="84"/>
      <c r="F460" s="261"/>
      <c r="G460" s="84"/>
      <c r="H460" s="262"/>
      <c r="I460" s="262"/>
      <c r="J460" s="262"/>
      <c r="K460" s="262"/>
      <c r="L460" s="262"/>
      <c r="M460" s="260"/>
      <c r="N460" s="260"/>
      <c r="O460" s="99"/>
      <c r="P460" s="99"/>
      <c r="Q460" s="99"/>
      <c r="R460" s="99"/>
      <c r="S460" s="99"/>
      <c r="T460" s="99"/>
      <c r="U460" s="99"/>
      <c r="V460" s="99"/>
      <c r="W460" s="99"/>
      <c r="X460" s="99"/>
      <c r="Y460" s="99"/>
      <c r="Z460" s="99"/>
      <c r="AB460" s="84"/>
      <c r="AC460" s="84"/>
      <c r="AD460" s="84"/>
      <c r="AE460" s="84"/>
      <c r="AF460" s="84"/>
      <c r="AG460" s="84"/>
      <c r="AH460" s="84"/>
      <c r="AI460" s="84"/>
    </row>
    <row r="461" ht="15.75" customHeight="1">
      <c r="A461" s="84"/>
      <c r="B461" s="84"/>
      <c r="C461" s="84"/>
      <c r="D461" s="84"/>
      <c r="E461" s="84"/>
      <c r="F461" s="261"/>
      <c r="G461" s="84"/>
      <c r="H461" s="262"/>
      <c r="I461" s="262"/>
      <c r="J461" s="262"/>
      <c r="K461" s="262"/>
      <c r="L461" s="262"/>
      <c r="M461" s="260"/>
      <c r="N461" s="260"/>
      <c r="O461" s="99"/>
      <c r="P461" s="99"/>
      <c r="Q461" s="99"/>
      <c r="R461" s="99"/>
      <c r="S461" s="99"/>
      <c r="T461" s="99"/>
      <c r="U461" s="99"/>
      <c r="V461" s="99"/>
      <c r="W461" s="99"/>
      <c r="X461" s="99"/>
      <c r="Y461" s="99"/>
      <c r="Z461" s="99"/>
      <c r="AB461" s="84"/>
      <c r="AC461" s="84"/>
      <c r="AD461" s="84"/>
      <c r="AE461" s="84"/>
      <c r="AF461" s="84"/>
      <c r="AG461" s="84"/>
      <c r="AH461" s="84"/>
      <c r="AI461" s="84"/>
    </row>
    <row r="462" ht="15.75" customHeight="1">
      <c r="A462" s="84"/>
      <c r="B462" s="84"/>
      <c r="C462" s="84"/>
      <c r="D462" s="84"/>
      <c r="E462" s="84"/>
      <c r="F462" s="261"/>
      <c r="G462" s="84"/>
      <c r="H462" s="262"/>
      <c r="I462" s="262"/>
      <c r="J462" s="262"/>
      <c r="K462" s="262"/>
      <c r="L462" s="262"/>
      <c r="M462" s="260"/>
      <c r="N462" s="260"/>
      <c r="O462" s="99"/>
      <c r="P462" s="99"/>
      <c r="Q462" s="99"/>
      <c r="R462" s="99"/>
      <c r="S462" s="99"/>
      <c r="T462" s="99"/>
      <c r="U462" s="99"/>
      <c r="V462" s="99"/>
      <c r="W462" s="99"/>
      <c r="X462" s="99"/>
      <c r="Y462" s="99"/>
      <c r="Z462" s="99"/>
      <c r="AB462" s="84"/>
      <c r="AC462" s="84"/>
      <c r="AD462" s="84"/>
      <c r="AE462" s="84"/>
      <c r="AF462" s="84"/>
      <c r="AG462" s="84"/>
      <c r="AH462" s="84"/>
      <c r="AI462" s="84"/>
    </row>
    <row r="463" ht="15.75" customHeight="1">
      <c r="A463" s="84"/>
      <c r="B463" s="84"/>
      <c r="C463" s="84"/>
      <c r="D463" s="84"/>
      <c r="E463" s="84"/>
      <c r="F463" s="261"/>
      <c r="G463" s="84"/>
      <c r="H463" s="262"/>
      <c r="I463" s="262"/>
      <c r="J463" s="262"/>
      <c r="K463" s="262"/>
      <c r="L463" s="262"/>
      <c r="M463" s="260"/>
      <c r="N463" s="260"/>
      <c r="O463" s="99"/>
      <c r="P463" s="99"/>
      <c r="Q463" s="99"/>
      <c r="R463" s="99"/>
      <c r="S463" s="99"/>
      <c r="T463" s="99"/>
      <c r="U463" s="99"/>
      <c r="V463" s="99"/>
      <c r="W463" s="99"/>
      <c r="X463" s="99"/>
      <c r="Y463" s="99"/>
      <c r="Z463" s="99"/>
      <c r="AB463" s="84"/>
      <c r="AC463" s="84"/>
      <c r="AD463" s="84"/>
      <c r="AE463" s="84"/>
      <c r="AF463" s="84"/>
      <c r="AG463" s="84"/>
      <c r="AH463" s="84"/>
      <c r="AI463" s="84"/>
    </row>
    <row r="464" ht="15.75" customHeight="1">
      <c r="A464" s="84"/>
      <c r="B464" s="84"/>
      <c r="C464" s="84"/>
      <c r="D464" s="119"/>
      <c r="E464" s="84"/>
      <c r="F464" s="261"/>
      <c r="G464" s="84"/>
      <c r="H464" s="262"/>
      <c r="I464" s="262"/>
      <c r="J464" s="262"/>
      <c r="K464" s="262"/>
      <c r="L464" s="262"/>
      <c r="M464" s="260"/>
      <c r="N464" s="260"/>
      <c r="O464" s="99"/>
      <c r="P464" s="99"/>
      <c r="Q464" s="99"/>
      <c r="R464" s="99"/>
      <c r="S464" s="99"/>
      <c r="T464" s="99"/>
      <c r="U464" s="99"/>
      <c r="V464" s="99"/>
      <c r="W464" s="99"/>
      <c r="X464" s="99"/>
      <c r="Y464" s="99"/>
      <c r="Z464" s="99"/>
      <c r="AB464" s="84"/>
      <c r="AC464" s="84"/>
      <c r="AD464" s="84"/>
      <c r="AE464" s="84"/>
      <c r="AF464" s="84"/>
      <c r="AG464" s="84"/>
      <c r="AH464" s="84"/>
      <c r="AI464" s="84"/>
    </row>
    <row r="465" ht="15.75" customHeight="1">
      <c r="A465" s="84"/>
      <c r="B465" s="84"/>
      <c r="C465" s="84"/>
      <c r="D465" s="120"/>
      <c r="E465" s="84"/>
      <c r="F465" s="261"/>
      <c r="G465" s="84"/>
      <c r="H465" s="262"/>
      <c r="I465" s="262"/>
      <c r="J465" s="262"/>
      <c r="K465" s="262"/>
      <c r="L465" s="262"/>
      <c r="M465" s="260"/>
      <c r="N465" s="260"/>
      <c r="O465" s="99"/>
      <c r="P465" s="99"/>
      <c r="Q465" s="99"/>
      <c r="R465" s="99"/>
      <c r="S465" s="99"/>
      <c r="T465" s="99"/>
      <c r="U465" s="99"/>
      <c r="V465" s="99"/>
      <c r="W465" s="99"/>
      <c r="X465" s="99"/>
      <c r="Y465" s="99"/>
      <c r="Z465" s="99"/>
      <c r="AB465" s="84"/>
      <c r="AC465" s="84"/>
      <c r="AD465" s="84"/>
      <c r="AE465" s="84"/>
      <c r="AF465" s="84"/>
      <c r="AG465" s="84"/>
      <c r="AH465" s="84"/>
      <c r="AI465" s="84"/>
    </row>
    <row r="466" ht="15.75" customHeight="1">
      <c r="A466" s="84"/>
      <c r="B466" s="84"/>
      <c r="C466" s="84"/>
      <c r="D466" s="84"/>
      <c r="E466" s="84"/>
      <c r="F466" s="261"/>
      <c r="G466" s="84"/>
      <c r="H466" s="262"/>
      <c r="I466" s="262"/>
      <c r="J466" s="262"/>
      <c r="K466" s="262"/>
      <c r="L466" s="262"/>
      <c r="M466" s="260"/>
      <c r="N466" s="260"/>
      <c r="O466" s="99"/>
      <c r="P466" s="99"/>
      <c r="Q466" s="99"/>
      <c r="R466" s="99"/>
      <c r="S466" s="99"/>
      <c r="T466" s="99"/>
      <c r="U466" s="99"/>
      <c r="V466" s="99"/>
      <c r="W466" s="99"/>
      <c r="X466" s="99"/>
      <c r="Y466" s="99"/>
      <c r="Z466" s="99"/>
      <c r="AB466" s="84"/>
      <c r="AC466" s="84"/>
      <c r="AD466" s="84"/>
      <c r="AE466" s="84"/>
      <c r="AF466" s="84"/>
      <c r="AG466" s="84"/>
      <c r="AH466" s="84"/>
      <c r="AI466" s="84"/>
    </row>
    <row r="467" ht="15.75" customHeight="1">
      <c r="A467" s="84"/>
      <c r="B467" s="84"/>
      <c r="C467" s="84"/>
      <c r="D467" s="84"/>
      <c r="E467" s="84"/>
      <c r="F467" s="261"/>
      <c r="G467" s="84"/>
      <c r="H467" s="262"/>
      <c r="I467" s="262"/>
      <c r="J467" s="262"/>
      <c r="K467" s="262"/>
      <c r="L467" s="262"/>
      <c r="M467" s="260"/>
      <c r="N467" s="260"/>
      <c r="O467" s="99"/>
      <c r="P467" s="99"/>
      <c r="Q467" s="99"/>
      <c r="R467" s="99"/>
      <c r="S467" s="99"/>
      <c r="T467" s="99"/>
      <c r="U467" s="99"/>
      <c r="V467" s="99"/>
      <c r="W467" s="99"/>
      <c r="X467" s="99"/>
      <c r="Y467" s="99"/>
      <c r="Z467" s="99"/>
      <c r="AB467" s="84"/>
      <c r="AC467" s="84"/>
      <c r="AD467" s="84"/>
      <c r="AE467" s="84"/>
      <c r="AF467" s="84"/>
      <c r="AG467" s="84"/>
      <c r="AH467" s="84"/>
      <c r="AI467" s="84"/>
    </row>
    <row r="468" ht="15.75" customHeight="1">
      <c r="A468" s="84"/>
      <c r="B468" s="84"/>
      <c r="C468" s="84"/>
      <c r="D468" s="84"/>
      <c r="E468" s="84"/>
      <c r="F468" s="261"/>
      <c r="G468" s="84"/>
      <c r="H468" s="262"/>
      <c r="I468" s="262"/>
      <c r="J468" s="262"/>
      <c r="K468" s="262"/>
      <c r="L468" s="262"/>
      <c r="M468" s="260"/>
      <c r="N468" s="260"/>
      <c r="O468" s="99"/>
      <c r="P468" s="99"/>
      <c r="Q468" s="99"/>
      <c r="R468" s="99"/>
      <c r="S468" s="99"/>
      <c r="T468" s="99"/>
      <c r="U468" s="99"/>
      <c r="V468" s="99"/>
      <c r="W468" s="99"/>
      <c r="X468" s="99"/>
      <c r="Y468" s="99"/>
      <c r="Z468" s="99"/>
      <c r="AB468" s="84"/>
      <c r="AC468" s="84"/>
      <c r="AD468" s="84"/>
      <c r="AE468" s="84"/>
      <c r="AF468" s="84"/>
      <c r="AG468" s="84"/>
      <c r="AH468" s="84"/>
      <c r="AI468" s="84"/>
    </row>
    <row r="469" ht="15.75" customHeight="1">
      <c r="A469" s="84"/>
      <c r="B469" s="84"/>
      <c r="C469" s="84"/>
      <c r="D469" s="84"/>
      <c r="E469" s="84"/>
      <c r="F469" s="261"/>
      <c r="G469" s="84"/>
      <c r="H469" s="262"/>
      <c r="I469" s="262"/>
      <c r="J469" s="262"/>
      <c r="K469" s="262"/>
      <c r="L469" s="262"/>
      <c r="M469" s="260"/>
      <c r="N469" s="260"/>
      <c r="O469" s="99"/>
      <c r="P469" s="99"/>
      <c r="Q469" s="99"/>
      <c r="R469" s="99"/>
      <c r="S469" s="99"/>
      <c r="T469" s="99"/>
      <c r="U469" s="99"/>
      <c r="V469" s="99"/>
      <c r="W469" s="99"/>
      <c r="X469" s="99"/>
      <c r="Y469" s="99"/>
      <c r="Z469" s="99"/>
      <c r="AB469" s="84"/>
      <c r="AC469" s="84"/>
      <c r="AD469" s="84"/>
      <c r="AE469" s="84"/>
      <c r="AF469" s="84"/>
      <c r="AG469" s="84"/>
      <c r="AH469" s="84"/>
      <c r="AI469" s="84"/>
    </row>
    <row r="470" ht="15.75" customHeight="1">
      <c r="A470" s="84"/>
      <c r="B470" s="84"/>
      <c r="C470" s="84"/>
      <c r="D470" s="84"/>
      <c r="E470" s="84"/>
      <c r="F470" s="261"/>
      <c r="G470" s="84"/>
      <c r="H470" s="262"/>
      <c r="I470" s="262"/>
      <c r="J470" s="262"/>
      <c r="K470" s="262"/>
      <c r="L470" s="262"/>
      <c r="M470" s="260"/>
      <c r="N470" s="260"/>
      <c r="O470" s="99"/>
      <c r="P470" s="99"/>
      <c r="Q470" s="99"/>
      <c r="R470" s="99"/>
      <c r="S470" s="99"/>
      <c r="T470" s="99"/>
      <c r="U470" s="99"/>
      <c r="V470" s="99"/>
      <c r="W470" s="99"/>
      <c r="X470" s="99"/>
      <c r="Y470" s="99"/>
      <c r="Z470" s="99"/>
      <c r="AB470" s="84"/>
      <c r="AC470" s="84"/>
      <c r="AD470" s="84"/>
      <c r="AE470" s="84"/>
      <c r="AF470" s="84"/>
      <c r="AG470" s="84"/>
      <c r="AH470" s="84"/>
      <c r="AI470" s="84"/>
    </row>
    <row r="471" ht="15.75" customHeight="1">
      <c r="A471" s="84"/>
      <c r="B471" s="84"/>
      <c r="C471" s="84"/>
      <c r="D471" s="84"/>
      <c r="E471" s="84"/>
      <c r="F471" s="261"/>
      <c r="G471" s="84"/>
      <c r="H471" s="262"/>
      <c r="I471" s="262"/>
      <c r="J471" s="262"/>
      <c r="K471" s="262"/>
      <c r="L471" s="262"/>
      <c r="M471" s="260"/>
      <c r="N471" s="260"/>
      <c r="O471" s="99"/>
      <c r="P471" s="99"/>
      <c r="Q471" s="99"/>
      <c r="R471" s="99"/>
      <c r="S471" s="99"/>
      <c r="T471" s="99"/>
      <c r="U471" s="99"/>
      <c r="V471" s="99"/>
      <c r="W471" s="99"/>
      <c r="X471" s="99"/>
      <c r="Y471" s="99"/>
      <c r="Z471" s="99"/>
      <c r="AB471" s="84"/>
      <c r="AC471" s="119"/>
      <c r="AD471" s="84"/>
      <c r="AE471" s="84"/>
      <c r="AF471" s="84"/>
      <c r="AG471" s="84"/>
      <c r="AH471" s="84"/>
      <c r="AI471" s="84"/>
    </row>
    <row r="472" ht="15.75" customHeight="1">
      <c r="A472" s="84"/>
      <c r="B472" s="84"/>
      <c r="C472" s="84"/>
      <c r="D472" s="84"/>
      <c r="E472" s="84"/>
      <c r="F472" s="261"/>
      <c r="G472" s="84"/>
      <c r="H472" s="262"/>
      <c r="I472" s="262"/>
      <c r="J472" s="262"/>
      <c r="K472" s="262"/>
      <c r="L472" s="262"/>
      <c r="M472" s="260"/>
      <c r="N472" s="260"/>
      <c r="O472" s="99"/>
      <c r="P472" s="99"/>
      <c r="Q472" s="99"/>
      <c r="R472" s="99"/>
      <c r="S472" s="99"/>
      <c r="T472" s="99"/>
      <c r="U472" s="99"/>
      <c r="V472" s="99"/>
      <c r="W472" s="99"/>
      <c r="X472" s="99"/>
      <c r="Y472" s="99"/>
      <c r="Z472" s="99"/>
      <c r="AB472" s="84"/>
      <c r="AC472" s="120"/>
      <c r="AD472" s="84"/>
      <c r="AE472" s="84"/>
      <c r="AF472" s="84"/>
      <c r="AG472" s="84"/>
      <c r="AH472" s="84"/>
      <c r="AI472" s="84"/>
    </row>
    <row r="473" ht="15.75" customHeight="1">
      <c r="A473" s="84"/>
      <c r="B473" s="84"/>
      <c r="C473" s="84"/>
      <c r="D473" s="84"/>
      <c r="E473" s="84"/>
      <c r="F473" s="261"/>
      <c r="G473" s="84"/>
      <c r="H473" s="262"/>
      <c r="I473" s="262"/>
      <c r="J473" s="262"/>
      <c r="K473" s="262"/>
      <c r="L473" s="262"/>
      <c r="M473" s="260"/>
      <c r="N473" s="260"/>
      <c r="O473" s="99"/>
      <c r="P473" s="99"/>
      <c r="Q473" s="99"/>
      <c r="R473" s="99"/>
      <c r="S473" s="99"/>
      <c r="T473" s="99"/>
      <c r="U473" s="99"/>
      <c r="V473" s="99"/>
      <c r="W473" s="99"/>
      <c r="X473" s="99"/>
      <c r="Y473" s="99"/>
      <c r="Z473" s="99"/>
      <c r="AB473" s="84"/>
      <c r="AC473" s="84"/>
      <c r="AD473" s="84"/>
      <c r="AE473" s="84"/>
      <c r="AF473" s="84"/>
      <c r="AG473" s="84"/>
      <c r="AH473" s="84"/>
      <c r="AI473" s="84"/>
    </row>
    <row r="474" ht="15.75" customHeight="1">
      <c r="A474" s="84"/>
      <c r="B474" s="84"/>
      <c r="C474" s="84"/>
      <c r="D474" s="84"/>
      <c r="E474" s="84"/>
      <c r="F474" s="261"/>
      <c r="G474" s="84"/>
      <c r="H474" s="262"/>
      <c r="I474" s="262"/>
      <c r="J474" s="262"/>
      <c r="K474" s="262"/>
      <c r="L474" s="262"/>
      <c r="M474" s="260"/>
      <c r="N474" s="260"/>
      <c r="O474" s="99"/>
      <c r="P474" s="99"/>
      <c r="Q474" s="99"/>
      <c r="R474" s="99"/>
      <c r="S474" s="99"/>
      <c r="T474" s="99"/>
      <c r="U474" s="99"/>
      <c r="V474" s="99"/>
      <c r="W474" s="99"/>
      <c r="X474" s="99"/>
      <c r="Y474" s="99"/>
      <c r="Z474" s="99"/>
      <c r="AB474" s="84"/>
      <c r="AC474" s="84"/>
      <c r="AD474" s="84"/>
      <c r="AE474" s="84"/>
      <c r="AF474" s="84"/>
      <c r="AG474" s="84"/>
      <c r="AH474" s="84"/>
      <c r="AI474" s="84"/>
    </row>
    <row r="475" ht="15.75" customHeight="1">
      <c r="A475" s="119"/>
      <c r="B475" s="119"/>
      <c r="C475" s="119"/>
      <c r="D475" s="84"/>
      <c r="E475" s="84"/>
      <c r="F475" s="261"/>
      <c r="G475" s="84"/>
      <c r="H475" s="262"/>
      <c r="I475" s="262"/>
      <c r="J475" s="262"/>
      <c r="K475" s="262"/>
      <c r="L475" s="262"/>
      <c r="M475" s="260"/>
      <c r="N475" s="260"/>
      <c r="O475" s="99"/>
      <c r="P475" s="99"/>
      <c r="Q475" s="99"/>
      <c r="R475" s="99"/>
      <c r="S475" s="99"/>
      <c r="T475" s="99"/>
      <c r="U475" s="99"/>
      <c r="V475" s="99"/>
      <c r="W475" s="99"/>
      <c r="X475" s="99"/>
      <c r="Y475" s="99"/>
      <c r="Z475" s="99"/>
      <c r="AB475" s="84"/>
      <c r="AC475" s="84"/>
      <c r="AD475" s="84"/>
      <c r="AE475" s="84"/>
      <c r="AF475" s="84"/>
      <c r="AG475" s="84"/>
      <c r="AH475" s="84"/>
      <c r="AI475" s="84"/>
    </row>
    <row r="476" ht="15.75" customHeight="1">
      <c r="A476" s="120"/>
      <c r="B476" s="120"/>
      <c r="C476" s="120"/>
      <c r="D476" s="84"/>
      <c r="E476" s="84"/>
      <c r="F476" s="261"/>
      <c r="G476" s="84"/>
      <c r="H476" s="262"/>
      <c r="I476" s="262"/>
      <c r="J476" s="262"/>
      <c r="K476" s="262"/>
      <c r="L476" s="262"/>
      <c r="M476" s="260"/>
      <c r="N476" s="260"/>
      <c r="O476" s="99"/>
      <c r="P476" s="99"/>
      <c r="Q476" s="99"/>
      <c r="R476" s="99"/>
      <c r="S476" s="99"/>
      <c r="T476" s="99"/>
      <c r="U476" s="99"/>
      <c r="V476" s="99"/>
      <c r="W476" s="99"/>
      <c r="X476" s="99"/>
      <c r="Y476" s="99"/>
      <c r="Z476" s="99"/>
      <c r="AB476" s="84"/>
      <c r="AC476" s="84"/>
      <c r="AD476" s="84"/>
      <c r="AE476" s="84"/>
      <c r="AF476" s="84"/>
      <c r="AG476" s="84"/>
      <c r="AH476" s="84"/>
      <c r="AI476" s="84"/>
    </row>
    <row r="477" ht="15.75" customHeight="1">
      <c r="A477" s="84"/>
      <c r="B477" s="84"/>
      <c r="C477" s="84"/>
      <c r="D477" s="84"/>
      <c r="E477" s="84"/>
      <c r="F477" s="261"/>
      <c r="G477" s="84"/>
      <c r="H477" s="262"/>
      <c r="I477" s="262"/>
      <c r="J477" s="262"/>
      <c r="K477" s="262"/>
      <c r="L477" s="262"/>
      <c r="M477" s="260"/>
      <c r="N477" s="260"/>
      <c r="O477" s="99"/>
      <c r="P477" s="99"/>
      <c r="Q477" s="99"/>
      <c r="R477" s="99"/>
      <c r="S477" s="99"/>
      <c r="T477" s="99"/>
      <c r="U477" s="99"/>
      <c r="V477" s="99"/>
      <c r="W477" s="99"/>
      <c r="X477" s="99"/>
      <c r="Y477" s="99"/>
      <c r="Z477" s="99"/>
      <c r="AB477" s="84"/>
      <c r="AC477" s="84"/>
      <c r="AD477" s="84"/>
      <c r="AE477" s="84"/>
      <c r="AF477" s="84"/>
      <c r="AG477" s="84"/>
      <c r="AH477" s="84"/>
      <c r="AI477" s="84"/>
    </row>
    <row r="478" ht="15.75" customHeight="1">
      <c r="A478" s="84"/>
      <c r="B478" s="84"/>
      <c r="C478" s="84"/>
      <c r="D478" s="84"/>
      <c r="E478" s="84"/>
      <c r="F478" s="261"/>
      <c r="G478" s="84"/>
      <c r="H478" s="262"/>
      <c r="I478" s="262"/>
      <c r="J478" s="262"/>
      <c r="K478" s="262"/>
      <c r="L478" s="262"/>
      <c r="M478" s="260"/>
      <c r="N478" s="260"/>
      <c r="O478" s="99"/>
      <c r="P478" s="99"/>
      <c r="Q478" s="99"/>
      <c r="R478" s="99"/>
      <c r="S478" s="99"/>
      <c r="T478" s="99"/>
      <c r="U478" s="99"/>
      <c r="V478" s="99"/>
      <c r="W478" s="99"/>
      <c r="X478" s="99"/>
      <c r="Y478" s="99"/>
      <c r="Z478" s="99"/>
      <c r="AB478" s="84"/>
      <c r="AC478" s="84"/>
      <c r="AD478" s="84"/>
      <c r="AE478" s="84"/>
      <c r="AF478" s="84"/>
      <c r="AG478" s="84"/>
      <c r="AH478" s="84"/>
      <c r="AI478" s="84"/>
    </row>
    <row r="479" ht="15.75" customHeight="1">
      <c r="A479" s="84"/>
      <c r="B479" s="84"/>
      <c r="C479" s="84"/>
      <c r="D479" s="84"/>
      <c r="E479" s="84"/>
      <c r="F479" s="261"/>
      <c r="G479" s="84"/>
      <c r="H479" s="262"/>
      <c r="I479" s="262"/>
      <c r="J479" s="262"/>
      <c r="K479" s="262"/>
      <c r="L479" s="262"/>
      <c r="M479" s="260"/>
      <c r="N479" s="260"/>
      <c r="O479" s="99"/>
      <c r="P479" s="99"/>
      <c r="Q479" s="99"/>
      <c r="R479" s="99"/>
      <c r="S479" s="99"/>
      <c r="T479" s="99"/>
      <c r="U479" s="99"/>
      <c r="V479" s="99"/>
      <c r="W479" s="99"/>
      <c r="X479" s="99"/>
      <c r="Y479" s="99"/>
      <c r="Z479" s="99"/>
      <c r="AB479" s="84"/>
      <c r="AC479" s="84"/>
      <c r="AD479" s="84"/>
      <c r="AE479" s="84"/>
      <c r="AF479" s="84"/>
      <c r="AG479" s="84"/>
      <c r="AH479" s="84"/>
      <c r="AI479" s="84"/>
    </row>
    <row r="480" ht="15.75" customHeight="1">
      <c r="A480" s="84"/>
      <c r="B480" s="84"/>
      <c r="C480" s="84"/>
      <c r="D480" s="84"/>
      <c r="E480" s="84"/>
      <c r="F480" s="261"/>
      <c r="G480" s="84"/>
      <c r="H480" s="262"/>
      <c r="I480" s="262"/>
      <c r="J480" s="262"/>
      <c r="K480" s="262"/>
      <c r="L480" s="262"/>
      <c r="M480" s="260"/>
      <c r="N480" s="260"/>
      <c r="O480" s="99"/>
      <c r="P480" s="99"/>
      <c r="Q480" s="99"/>
      <c r="R480" s="99"/>
      <c r="S480" s="99"/>
      <c r="T480" s="99"/>
      <c r="U480" s="99"/>
      <c r="V480" s="99"/>
      <c r="W480" s="99"/>
      <c r="X480" s="99"/>
      <c r="Y480" s="99"/>
      <c r="Z480" s="99"/>
      <c r="AB480" s="84"/>
      <c r="AC480" s="84"/>
      <c r="AD480" s="84"/>
      <c r="AE480" s="84"/>
      <c r="AF480" s="84"/>
      <c r="AG480" s="84"/>
      <c r="AH480" s="84"/>
      <c r="AI480" s="84"/>
    </row>
    <row r="481" ht="15.75" customHeight="1">
      <c r="A481" s="84"/>
      <c r="B481" s="84"/>
      <c r="C481" s="84"/>
      <c r="D481" s="84"/>
      <c r="E481" s="84"/>
      <c r="F481" s="261"/>
      <c r="G481" s="84"/>
      <c r="H481" s="262"/>
      <c r="I481" s="262"/>
      <c r="J481" s="262"/>
      <c r="K481" s="262"/>
      <c r="L481" s="262"/>
      <c r="M481" s="260"/>
      <c r="N481" s="260"/>
      <c r="O481" s="99"/>
      <c r="P481" s="99"/>
      <c r="Q481" s="99"/>
      <c r="R481" s="99"/>
      <c r="S481" s="99"/>
      <c r="T481" s="99"/>
      <c r="U481" s="99"/>
      <c r="V481" s="99"/>
      <c r="W481" s="99"/>
      <c r="X481" s="99"/>
      <c r="Y481" s="99"/>
      <c r="Z481" s="99"/>
      <c r="AB481" s="84"/>
      <c r="AC481" s="84"/>
      <c r="AD481" s="84"/>
      <c r="AE481" s="84"/>
      <c r="AF481" s="84"/>
      <c r="AG481" s="84"/>
      <c r="AH481" s="84"/>
      <c r="AI481" s="84"/>
    </row>
    <row r="482" ht="15.75" customHeight="1">
      <c r="A482" s="84"/>
      <c r="B482" s="84"/>
      <c r="C482" s="84"/>
      <c r="D482" s="84"/>
      <c r="E482" s="121"/>
      <c r="F482" s="261"/>
      <c r="G482" s="84"/>
      <c r="H482" s="262"/>
      <c r="I482" s="262"/>
      <c r="J482" s="262"/>
      <c r="K482" s="262"/>
      <c r="L482" s="262"/>
      <c r="M482" s="260"/>
      <c r="N482" s="260"/>
      <c r="O482" s="99"/>
      <c r="P482" s="99"/>
      <c r="Q482" s="99"/>
      <c r="R482" s="99"/>
      <c r="S482" s="99"/>
      <c r="T482" s="99"/>
      <c r="U482" s="99"/>
      <c r="V482" s="99"/>
      <c r="W482" s="99"/>
      <c r="X482" s="99"/>
      <c r="Y482" s="99"/>
      <c r="Z482" s="99"/>
      <c r="AB482" s="119"/>
      <c r="AC482" s="84"/>
      <c r="AD482" s="119"/>
      <c r="AE482" s="119"/>
      <c r="AF482" s="119"/>
      <c r="AG482" s="119"/>
      <c r="AH482" s="119"/>
      <c r="AI482" s="119"/>
    </row>
    <row r="483" ht="15.75" customHeight="1">
      <c r="A483" s="84"/>
      <c r="B483" s="84"/>
      <c r="C483" s="84"/>
      <c r="D483" s="84"/>
      <c r="E483" s="121"/>
      <c r="F483" s="261"/>
      <c r="G483" s="84"/>
      <c r="H483" s="262"/>
      <c r="I483" s="262"/>
      <c r="J483" s="262"/>
      <c r="K483" s="262"/>
      <c r="L483" s="262"/>
      <c r="M483" s="260"/>
      <c r="N483" s="260"/>
      <c r="O483" s="99"/>
      <c r="P483" s="99"/>
      <c r="Q483" s="99"/>
      <c r="R483" s="99"/>
      <c r="S483" s="99"/>
      <c r="T483" s="99"/>
      <c r="U483" s="99"/>
      <c r="V483" s="99"/>
      <c r="W483" s="99"/>
      <c r="X483" s="99"/>
      <c r="Y483" s="99"/>
      <c r="Z483" s="99"/>
      <c r="AB483" s="120"/>
      <c r="AC483" s="84"/>
      <c r="AD483" s="120"/>
      <c r="AE483" s="120"/>
      <c r="AF483" s="120"/>
      <c r="AG483" s="120"/>
      <c r="AH483" s="120"/>
      <c r="AI483" s="120"/>
    </row>
    <row r="484" ht="15.75" customHeight="1">
      <c r="A484" s="84"/>
      <c r="B484" s="84"/>
      <c r="C484" s="84"/>
      <c r="D484" s="84"/>
      <c r="E484" s="121"/>
      <c r="F484" s="261"/>
      <c r="G484" s="84"/>
      <c r="H484" s="262"/>
      <c r="I484" s="262"/>
      <c r="J484" s="262"/>
      <c r="K484" s="262"/>
      <c r="L484" s="262"/>
      <c r="M484" s="260"/>
      <c r="N484" s="260"/>
      <c r="O484" s="99"/>
      <c r="P484" s="99"/>
      <c r="Q484" s="99"/>
      <c r="R484" s="99"/>
      <c r="S484" s="99"/>
      <c r="T484" s="99"/>
      <c r="U484" s="99"/>
      <c r="V484" s="99"/>
      <c r="W484" s="99"/>
      <c r="X484" s="99"/>
      <c r="Y484" s="99"/>
      <c r="Z484" s="99"/>
      <c r="AB484" s="84"/>
      <c r="AC484" s="84"/>
      <c r="AD484" s="84"/>
      <c r="AE484" s="84"/>
      <c r="AF484" s="84"/>
      <c r="AG484" s="84"/>
      <c r="AH484" s="84"/>
      <c r="AI484" s="84"/>
    </row>
    <row r="485" ht="15.75" customHeight="1">
      <c r="A485" s="84"/>
      <c r="B485" s="84"/>
      <c r="C485" s="84"/>
      <c r="D485" s="84"/>
      <c r="E485" s="121"/>
      <c r="F485" s="261"/>
      <c r="G485" s="84"/>
      <c r="H485" s="262"/>
      <c r="I485" s="262"/>
      <c r="J485" s="262"/>
      <c r="K485" s="262"/>
      <c r="L485" s="262"/>
      <c r="M485" s="260"/>
      <c r="N485" s="260"/>
      <c r="O485" s="99"/>
      <c r="P485" s="99"/>
      <c r="Q485" s="99"/>
      <c r="R485" s="99"/>
      <c r="S485" s="99"/>
      <c r="T485" s="99"/>
      <c r="U485" s="99"/>
      <c r="V485" s="99"/>
      <c r="W485" s="99"/>
      <c r="X485" s="99"/>
      <c r="Y485" s="99"/>
      <c r="Z485" s="99"/>
      <c r="AB485" s="84"/>
      <c r="AC485" s="84"/>
      <c r="AD485" s="84"/>
      <c r="AE485" s="84"/>
      <c r="AF485" s="84"/>
      <c r="AG485" s="84"/>
      <c r="AH485" s="84"/>
      <c r="AI485" s="84"/>
    </row>
    <row r="486" ht="15.75" customHeight="1">
      <c r="A486" s="84"/>
      <c r="B486" s="84"/>
      <c r="C486" s="84"/>
      <c r="D486" s="84"/>
      <c r="E486" s="84"/>
      <c r="F486" s="261"/>
      <c r="G486" s="84"/>
      <c r="H486" s="262"/>
      <c r="I486" s="262"/>
      <c r="J486" s="262"/>
      <c r="K486" s="262"/>
      <c r="L486" s="262"/>
      <c r="M486" s="260"/>
      <c r="N486" s="260"/>
      <c r="O486" s="99"/>
      <c r="P486" s="99"/>
      <c r="Q486" s="99"/>
      <c r="R486" s="99"/>
      <c r="S486" s="99"/>
      <c r="T486" s="99"/>
      <c r="U486" s="99"/>
      <c r="V486" s="99"/>
      <c r="W486" s="99"/>
      <c r="X486" s="99"/>
      <c r="Y486" s="99"/>
      <c r="Z486" s="99"/>
      <c r="AB486" s="84"/>
      <c r="AC486" s="84"/>
      <c r="AD486" s="84"/>
      <c r="AE486" s="84"/>
      <c r="AF486" s="84"/>
      <c r="AG486" s="84"/>
      <c r="AH486" s="84"/>
      <c r="AI486" s="84"/>
    </row>
    <row r="487" ht="15.75" customHeight="1">
      <c r="A487" s="84"/>
      <c r="B487" s="84"/>
      <c r="C487" s="84"/>
      <c r="D487" s="84"/>
      <c r="E487" s="84"/>
      <c r="F487" s="261"/>
      <c r="G487" s="84"/>
      <c r="H487" s="262"/>
      <c r="I487" s="262"/>
      <c r="J487" s="262"/>
      <c r="K487" s="262"/>
      <c r="L487" s="262"/>
      <c r="M487" s="260"/>
      <c r="N487" s="260"/>
      <c r="O487" s="99"/>
      <c r="P487" s="99"/>
      <c r="Q487" s="99"/>
      <c r="R487" s="99"/>
      <c r="S487" s="99"/>
      <c r="T487" s="99"/>
      <c r="U487" s="99"/>
      <c r="V487" s="99"/>
      <c r="W487" s="99"/>
      <c r="X487" s="99"/>
      <c r="Y487" s="99"/>
      <c r="Z487" s="99"/>
      <c r="AB487" s="84"/>
      <c r="AC487" s="84"/>
      <c r="AD487" s="84"/>
      <c r="AE487" s="84"/>
      <c r="AF487" s="84"/>
      <c r="AG487" s="84"/>
      <c r="AH487" s="84"/>
      <c r="AI487" s="84"/>
    </row>
    <row r="488" ht="15.75" customHeight="1">
      <c r="A488" s="84"/>
      <c r="B488" s="84"/>
      <c r="C488" s="84"/>
      <c r="D488" s="121"/>
      <c r="E488" s="84"/>
      <c r="F488" s="261"/>
      <c r="G488" s="84"/>
      <c r="H488" s="262"/>
      <c r="I488" s="262"/>
      <c r="J488" s="262"/>
      <c r="K488" s="262"/>
      <c r="L488" s="262"/>
      <c r="M488" s="260"/>
      <c r="N488" s="260"/>
      <c r="O488" s="99"/>
      <c r="P488" s="99"/>
      <c r="Q488" s="99"/>
      <c r="R488" s="99"/>
      <c r="S488" s="99"/>
      <c r="T488" s="99"/>
      <c r="U488" s="99"/>
      <c r="V488" s="99"/>
      <c r="W488" s="99"/>
      <c r="X488" s="99"/>
      <c r="Y488" s="99"/>
      <c r="Z488" s="99"/>
      <c r="AB488" s="84"/>
      <c r="AC488" s="84"/>
      <c r="AD488" s="84"/>
      <c r="AE488" s="84"/>
      <c r="AF488" s="84"/>
      <c r="AG488" s="84"/>
      <c r="AH488" s="84"/>
      <c r="AI488" s="84"/>
    </row>
    <row r="489" ht="15.75" customHeight="1">
      <c r="A489" s="84"/>
      <c r="B489" s="84"/>
      <c r="C489" s="84"/>
      <c r="D489" s="121"/>
      <c r="E489" s="84"/>
      <c r="F489" s="261"/>
      <c r="G489" s="84"/>
      <c r="H489" s="262"/>
      <c r="I489" s="262"/>
      <c r="J489" s="262"/>
      <c r="K489" s="262"/>
      <c r="L489" s="262"/>
      <c r="M489" s="260"/>
      <c r="N489" s="260"/>
      <c r="O489" s="99"/>
      <c r="P489" s="99"/>
      <c r="Q489" s="99"/>
      <c r="R489" s="99"/>
      <c r="S489" s="99"/>
      <c r="T489" s="99"/>
      <c r="U489" s="99"/>
      <c r="V489" s="99"/>
      <c r="W489" s="99"/>
      <c r="X489" s="99"/>
      <c r="Y489" s="99"/>
      <c r="Z489" s="99"/>
      <c r="AB489" s="84"/>
      <c r="AC489" s="84"/>
      <c r="AD489" s="84"/>
      <c r="AE489" s="84"/>
      <c r="AF489" s="84"/>
      <c r="AG489" s="84"/>
      <c r="AH489" s="84"/>
      <c r="AI489" s="84"/>
    </row>
    <row r="490" ht="15.75" customHeight="1">
      <c r="A490" s="84"/>
      <c r="B490" s="84"/>
      <c r="C490" s="84"/>
      <c r="D490" s="121"/>
      <c r="E490" s="84"/>
      <c r="F490" s="261"/>
      <c r="G490" s="84"/>
      <c r="H490" s="262"/>
      <c r="I490" s="262"/>
      <c r="J490" s="262"/>
      <c r="K490" s="262"/>
      <c r="L490" s="262"/>
      <c r="M490" s="260"/>
      <c r="N490" s="260"/>
      <c r="O490" s="99"/>
      <c r="P490" s="99"/>
      <c r="Q490" s="99"/>
      <c r="R490" s="99"/>
      <c r="S490" s="99"/>
      <c r="T490" s="99"/>
      <c r="U490" s="99"/>
      <c r="V490" s="99"/>
      <c r="W490" s="99"/>
      <c r="X490" s="99"/>
      <c r="Y490" s="99"/>
      <c r="Z490" s="99"/>
      <c r="AB490" s="84"/>
      <c r="AC490" s="84"/>
      <c r="AD490" s="84"/>
      <c r="AE490" s="84"/>
      <c r="AF490" s="84"/>
      <c r="AG490" s="84"/>
      <c r="AH490" s="84"/>
      <c r="AI490" s="84"/>
    </row>
    <row r="491" ht="15.75" customHeight="1">
      <c r="A491" s="84"/>
      <c r="B491" s="84"/>
      <c r="C491" s="84"/>
      <c r="D491" s="121"/>
      <c r="E491" s="84"/>
      <c r="F491" s="261"/>
      <c r="G491" s="84"/>
      <c r="H491" s="262"/>
      <c r="I491" s="262"/>
      <c r="J491" s="262"/>
      <c r="K491" s="262"/>
      <c r="L491" s="262"/>
      <c r="M491" s="260"/>
      <c r="N491" s="260"/>
      <c r="O491" s="99"/>
      <c r="P491" s="99"/>
      <c r="Q491" s="99"/>
      <c r="R491" s="99"/>
      <c r="S491" s="99"/>
      <c r="T491" s="99"/>
      <c r="U491" s="99"/>
      <c r="V491" s="99"/>
      <c r="W491" s="99"/>
      <c r="X491" s="99"/>
      <c r="Y491" s="99"/>
      <c r="Z491" s="99"/>
      <c r="AB491" s="84"/>
      <c r="AC491" s="84"/>
      <c r="AD491" s="84"/>
      <c r="AE491" s="84"/>
      <c r="AF491" s="84"/>
      <c r="AG491" s="84"/>
      <c r="AH491" s="84"/>
      <c r="AI491" s="84"/>
    </row>
    <row r="492" ht="15.75" customHeight="1">
      <c r="A492" s="84"/>
      <c r="B492" s="84"/>
      <c r="C492" s="84"/>
      <c r="D492" s="84"/>
      <c r="E492" s="84"/>
      <c r="F492" s="261"/>
      <c r="G492" s="84"/>
      <c r="H492" s="262"/>
      <c r="I492" s="262"/>
      <c r="J492" s="262"/>
      <c r="K492" s="262"/>
      <c r="L492" s="262"/>
      <c r="M492" s="260"/>
      <c r="N492" s="260"/>
      <c r="O492" s="99"/>
      <c r="P492" s="99"/>
      <c r="Q492" s="99"/>
      <c r="R492" s="99"/>
      <c r="S492" s="99"/>
      <c r="T492" s="99"/>
      <c r="U492" s="99"/>
      <c r="V492" s="99"/>
      <c r="W492" s="99"/>
      <c r="X492" s="99"/>
      <c r="Y492" s="99"/>
      <c r="Z492" s="99"/>
      <c r="AB492" s="84"/>
      <c r="AC492" s="84"/>
      <c r="AD492" s="84"/>
      <c r="AE492" s="84"/>
      <c r="AF492" s="84"/>
      <c r="AG492" s="84"/>
      <c r="AH492" s="84"/>
      <c r="AI492" s="84"/>
    </row>
    <row r="493" ht="15.75" customHeight="1">
      <c r="A493" s="84"/>
      <c r="B493" s="84"/>
      <c r="C493" s="84"/>
      <c r="D493" s="84"/>
      <c r="E493" s="84"/>
      <c r="F493" s="261"/>
      <c r="G493" s="84"/>
      <c r="H493" s="262"/>
      <c r="I493" s="262"/>
      <c r="J493" s="262"/>
      <c r="K493" s="262"/>
      <c r="L493" s="262"/>
      <c r="M493" s="260"/>
      <c r="N493" s="260"/>
      <c r="O493" s="99"/>
      <c r="P493" s="99"/>
      <c r="Q493" s="99"/>
      <c r="R493" s="99"/>
      <c r="S493" s="99"/>
      <c r="T493" s="99"/>
      <c r="U493" s="99"/>
      <c r="V493" s="99"/>
      <c r="W493" s="99"/>
      <c r="X493" s="99"/>
      <c r="Y493" s="99"/>
      <c r="Z493" s="99"/>
      <c r="AB493" s="84"/>
      <c r="AC493" s="84"/>
      <c r="AD493" s="84"/>
      <c r="AE493" s="84"/>
      <c r="AF493" s="84"/>
      <c r="AG493" s="84"/>
      <c r="AH493" s="84"/>
      <c r="AI493" s="84"/>
    </row>
    <row r="494" ht="15.75" customHeight="1">
      <c r="A494" s="84"/>
      <c r="B494" s="84"/>
      <c r="C494" s="84"/>
      <c r="D494" s="84"/>
      <c r="E494" s="84"/>
      <c r="F494" s="261"/>
      <c r="G494" s="84"/>
      <c r="H494" s="262"/>
      <c r="I494" s="262"/>
      <c r="J494" s="262"/>
      <c r="K494" s="262"/>
      <c r="L494" s="262"/>
      <c r="M494" s="260"/>
      <c r="N494" s="260"/>
      <c r="O494" s="99"/>
      <c r="P494" s="99"/>
      <c r="Q494" s="99"/>
      <c r="R494" s="99"/>
      <c r="S494" s="99"/>
      <c r="T494" s="99"/>
      <c r="U494" s="99"/>
      <c r="V494" s="99"/>
      <c r="W494" s="99"/>
      <c r="X494" s="99"/>
      <c r="Y494" s="99"/>
      <c r="Z494" s="99"/>
      <c r="AB494" s="84"/>
      <c r="AC494" s="84"/>
      <c r="AD494" s="84"/>
      <c r="AE494" s="84"/>
      <c r="AF494" s="84"/>
      <c r="AG494" s="84"/>
      <c r="AH494" s="84"/>
      <c r="AI494" s="84"/>
    </row>
    <row r="495" ht="15.75" customHeight="1">
      <c r="A495" s="84"/>
      <c r="B495" s="84"/>
      <c r="C495" s="84"/>
      <c r="D495" s="84"/>
      <c r="E495" s="84"/>
      <c r="F495" s="261"/>
      <c r="G495" s="84"/>
      <c r="H495" s="262"/>
      <c r="I495" s="262"/>
      <c r="J495" s="262"/>
      <c r="K495" s="262"/>
      <c r="L495" s="262"/>
      <c r="M495" s="260"/>
      <c r="N495" s="260"/>
      <c r="O495" s="99"/>
      <c r="P495" s="99"/>
      <c r="Q495" s="99"/>
      <c r="R495" s="99"/>
      <c r="S495" s="99"/>
      <c r="T495" s="99"/>
      <c r="U495" s="99"/>
      <c r="V495" s="99"/>
      <c r="W495" s="99"/>
      <c r="X495" s="99"/>
      <c r="Y495" s="99"/>
      <c r="Z495" s="99"/>
      <c r="AB495" s="84"/>
      <c r="AC495" s="121"/>
      <c r="AD495" s="84"/>
      <c r="AE495" s="84"/>
      <c r="AF495" s="84"/>
      <c r="AG495" s="84"/>
      <c r="AH495" s="84"/>
      <c r="AI495" s="84"/>
    </row>
    <row r="496" ht="15.75" customHeight="1">
      <c r="A496" s="84"/>
      <c r="B496" s="84"/>
      <c r="C496" s="84"/>
      <c r="D496" s="84"/>
      <c r="E496" s="84"/>
      <c r="F496" s="261"/>
      <c r="G496" s="84"/>
      <c r="H496" s="262"/>
      <c r="I496" s="262"/>
      <c r="J496" s="262"/>
      <c r="K496" s="262"/>
      <c r="L496" s="262"/>
      <c r="M496" s="260"/>
      <c r="N496" s="260"/>
      <c r="O496" s="99"/>
      <c r="P496" s="99"/>
      <c r="Q496" s="99"/>
      <c r="R496" s="99"/>
      <c r="S496" s="99"/>
      <c r="T496" s="99"/>
      <c r="U496" s="99"/>
      <c r="V496" s="99"/>
      <c r="W496" s="99"/>
      <c r="X496" s="99"/>
      <c r="Y496" s="99"/>
      <c r="Z496" s="99"/>
      <c r="AB496" s="84"/>
      <c r="AC496" s="121"/>
      <c r="AD496" s="84"/>
      <c r="AE496" s="84"/>
      <c r="AF496" s="84"/>
      <c r="AG496" s="84"/>
      <c r="AH496" s="84"/>
      <c r="AI496" s="84"/>
    </row>
    <row r="497" ht="15.75" customHeight="1">
      <c r="A497" s="84"/>
      <c r="B497" s="84"/>
      <c r="C497" s="84"/>
      <c r="D497" s="84"/>
      <c r="E497" s="84"/>
      <c r="F497" s="261"/>
      <c r="G497" s="84"/>
      <c r="H497" s="262"/>
      <c r="I497" s="262"/>
      <c r="J497" s="262"/>
      <c r="K497" s="262"/>
      <c r="L497" s="262"/>
      <c r="M497" s="260"/>
      <c r="N497" s="260"/>
      <c r="O497" s="99"/>
      <c r="P497" s="99"/>
      <c r="Q497" s="99"/>
      <c r="R497" s="99"/>
      <c r="S497" s="99"/>
      <c r="T497" s="99"/>
      <c r="U497" s="99"/>
      <c r="V497" s="99"/>
      <c r="W497" s="99"/>
      <c r="X497" s="99"/>
      <c r="Y497" s="99"/>
      <c r="Z497" s="99"/>
      <c r="AB497" s="84"/>
      <c r="AC497" s="121"/>
      <c r="AD497" s="84"/>
      <c r="AE497" s="84"/>
      <c r="AF497" s="84"/>
      <c r="AG497" s="84"/>
      <c r="AH497" s="84"/>
      <c r="AI497" s="84"/>
    </row>
    <row r="498" ht="15.75" customHeight="1">
      <c r="A498" s="84"/>
      <c r="B498" s="84"/>
      <c r="C498" s="84"/>
      <c r="D498" s="84"/>
      <c r="E498" s="84"/>
      <c r="F498" s="261"/>
      <c r="G498" s="84"/>
      <c r="H498" s="262"/>
      <c r="I498" s="262"/>
      <c r="J498" s="262"/>
      <c r="K498" s="262"/>
      <c r="L498" s="262"/>
      <c r="M498" s="260"/>
      <c r="N498" s="260"/>
      <c r="O498" s="99"/>
      <c r="P498" s="99"/>
      <c r="Q498" s="99"/>
      <c r="R498" s="99"/>
      <c r="S498" s="99"/>
      <c r="T498" s="99"/>
      <c r="U498" s="99"/>
      <c r="V498" s="99"/>
      <c r="W498" s="99"/>
      <c r="X498" s="99"/>
      <c r="Y498" s="99"/>
      <c r="Z498" s="99"/>
      <c r="AB498" s="84"/>
      <c r="AC498" s="121"/>
      <c r="AD498" s="84"/>
      <c r="AE498" s="84"/>
      <c r="AF498" s="84"/>
      <c r="AG498" s="84"/>
      <c r="AH498" s="84"/>
      <c r="AI498" s="84"/>
    </row>
    <row r="499" ht="15.75" customHeight="1">
      <c r="A499" s="121"/>
      <c r="B499" s="121"/>
      <c r="C499" s="121"/>
      <c r="D499" s="84"/>
      <c r="E499" s="84"/>
      <c r="F499" s="261"/>
      <c r="G499" s="84"/>
      <c r="H499" s="262"/>
      <c r="I499" s="262"/>
      <c r="J499" s="262"/>
      <c r="K499" s="262"/>
      <c r="L499" s="262"/>
      <c r="M499" s="260"/>
      <c r="N499" s="260"/>
      <c r="O499" s="99"/>
      <c r="P499" s="99"/>
      <c r="Q499" s="99"/>
      <c r="R499" s="99"/>
      <c r="S499" s="99"/>
      <c r="T499" s="99"/>
      <c r="U499" s="99"/>
      <c r="V499" s="99"/>
      <c r="W499" s="99"/>
      <c r="X499" s="99"/>
      <c r="Y499" s="99"/>
      <c r="Z499" s="99"/>
      <c r="AB499" s="84"/>
      <c r="AC499" s="84"/>
      <c r="AD499" s="84"/>
      <c r="AE499" s="84"/>
      <c r="AF499" s="84"/>
      <c r="AG499" s="84"/>
      <c r="AH499" s="84"/>
      <c r="AI499" s="84"/>
    </row>
    <row r="500" ht="15.75" customHeight="1">
      <c r="A500" s="121"/>
      <c r="B500" s="121"/>
      <c r="C500" s="121"/>
      <c r="D500" s="84"/>
      <c r="E500" s="84"/>
      <c r="F500" s="261"/>
      <c r="H500" s="275"/>
      <c r="I500" s="275"/>
      <c r="J500" s="275"/>
      <c r="K500" s="275"/>
      <c r="L500" s="275"/>
      <c r="M500" s="260"/>
      <c r="N500" s="260"/>
      <c r="O500" s="99"/>
      <c r="P500" s="99"/>
      <c r="Q500" s="99"/>
      <c r="R500" s="99"/>
      <c r="S500" s="99"/>
      <c r="T500" s="99"/>
      <c r="U500" s="99"/>
      <c r="V500" s="99"/>
      <c r="W500" s="99"/>
      <c r="X500" s="99"/>
      <c r="Y500" s="99"/>
      <c r="Z500" s="99"/>
      <c r="AB500" s="84"/>
      <c r="AC500" s="84"/>
      <c r="AD500" s="84"/>
      <c r="AE500" s="84"/>
      <c r="AF500" s="84"/>
      <c r="AG500" s="84"/>
      <c r="AH500" s="84"/>
      <c r="AI500" s="84"/>
    </row>
    <row r="501" ht="15.75" customHeight="1">
      <c r="A501" s="121"/>
      <c r="B501" s="121"/>
      <c r="C501" s="121"/>
      <c r="D501" s="84"/>
      <c r="E501" s="84"/>
      <c r="F501" s="261"/>
      <c r="H501" s="275"/>
      <c r="I501" s="275"/>
      <c r="J501" s="275"/>
      <c r="K501" s="275"/>
      <c r="L501" s="275"/>
      <c r="M501" s="260"/>
      <c r="N501" s="260"/>
      <c r="O501" s="99"/>
      <c r="P501" s="99"/>
      <c r="Q501" s="99"/>
      <c r="R501" s="99"/>
      <c r="S501" s="99"/>
      <c r="T501" s="99"/>
      <c r="U501" s="99"/>
      <c r="V501" s="99"/>
      <c r="W501" s="99"/>
      <c r="X501" s="99"/>
      <c r="Y501" s="99"/>
      <c r="Z501" s="99"/>
      <c r="AB501" s="84"/>
      <c r="AC501" s="84"/>
      <c r="AD501" s="84"/>
      <c r="AE501" s="84"/>
      <c r="AF501" s="84"/>
      <c r="AG501" s="84"/>
      <c r="AH501" s="84"/>
      <c r="AI501" s="84"/>
    </row>
    <row r="502" ht="15.75" customHeight="1">
      <c r="A502" s="121"/>
      <c r="B502" s="121"/>
      <c r="C502" s="121"/>
      <c r="D502" s="84"/>
      <c r="E502" s="84"/>
      <c r="F502" s="261"/>
      <c r="H502" s="275"/>
      <c r="I502" s="275"/>
      <c r="J502" s="275"/>
      <c r="K502" s="275"/>
      <c r="L502" s="275"/>
      <c r="M502" s="260"/>
      <c r="N502" s="260"/>
      <c r="O502" s="99"/>
      <c r="P502" s="99"/>
      <c r="Q502" s="99"/>
      <c r="R502" s="99"/>
      <c r="S502" s="99"/>
      <c r="T502" s="99"/>
      <c r="U502" s="99"/>
      <c r="V502" s="99"/>
      <c r="W502" s="99"/>
      <c r="X502" s="99"/>
      <c r="Y502" s="99"/>
      <c r="Z502" s="99"/>
      <c r="AB502" s="84"/>
      <c r="AC502" s="84"/>
      <c r="AD502" s="84"/>
      <c r="AE502" s="84"/>
      <c r="AF502" s="84"/>
      <c r="AG502" s="84"/>
      <c r="AH502" s="84"/>
      <c r="AI502" s="84"/>
    </row>
    <row r="503" ht="15.75" customHeight="1">
      <c r="A503" s="84"/>
      <c r="B503" s="84"/>
      <c r="C503" s="84"/>
      <c r="D503" s="84"/>
      <c r="E503" s="84"/>
      <c r="F503" s="261"/>
      <c r="H503" s="275"/>
      <c r="I503" s="275"/>
      <c r="J503" s="275"/>
      <c r="K503" s="275"/>
      <c r="L503" s="275"/>
      <c r="M503" s="260"/>
      <c r="N503" s="260"/>
      <c r="O503" s="99"/>
      <c r="P503" s="99"/>
      <c r="Q503" s="99"/>
      <c r="R503" s="99"/>
      <c r="S503" s="99"/>
      <c r="T503" s="99"/>
      <c r="U503" s="99"/>
      <c r="V503" s="99"/>
      <c r="W503" s="99"/>
      <c r="X503" s="99"/>
      <c r="Y503" s="99"/>
      <c r="Z503" s="99"/>
      <c r="AB503" s="84"/>
      <c r="AC503" s="84"/>
      <c r="AD503" s="84"/>
      <c r="AE503" s="84"/>
      <c r="AF503" s="84"/>
      <c r="AG503" s="84"/>
      <c r="AH503" s="84"/>
      <c r="AI503" s="84"/>
    </row>
    <row r="504" ht="15.75" customHeight="1">
      <c r="A504" s="84"/>
      <c r="B504" s="84"/>
      <c r="C504" s="84"/>
      <c r="D504" s="84"/>
      <c r="E504" s="84"/>
      <c r="F504" s="261"/>
      <c r="H504" s="275"/>
      <c r="I504" s="275"/>
      <c r="J504" s="275"/>
      <c r="K504" s="275"/>
      <c r="L504" s="275"/>
      <c r="M504" s="260"/>
      <c r="N504" s="260"/>
      <c r="O504" s="99"/>
      <c r="P504" s="99"/>
      <c r="Q504" s="99"/>
      <c r="R504" s="99"/>
      <c r="S504" s="99"/>
      <c r="T504" s="99"/>
      <c r="U504" s="99"/>
      <c r="V504" s="99"/>
      <c r="W504" s="99"/>
      <c r="X504" s="99"/>
      <c r="Y504" s="99"/>
      <c r="Z504" s="99"/>
      <c r="AB504" s="84"/>
      <c r="AC504" s="84"/>
      <c r="AD504" s="84"/>
      <c r="AE504" s="84"/>
      <c r="AF504" s="84"/>
      <c r="AG504" s="84"/>
      <c r="AH504" s="84"/>
      <c r="AI504" s="84"/>
    </row>
    <row r="505" ht="15.75" customHeight="1">
      <c r="A505" s="84"/>
      <c r="B505" s="84"/>
      <c r="C505" s="84"/>
      <c r="D505" s="84"/>
      <c r="E505" s="84"/>
      <c r="F505" s="261"/>
      <c r="H505" s="275"/>
      <c r="I505" s="275"/>
      <c r="J505" s="275"/>
      <c r="K505" s="275"/>
      <c r="L505" s="275"/>
      <c r="M505" s="260"/>
      <c r="N505" s="260"/>
      <c r="O505" s="99"/>
      <c r="P505" s="99"/>
      <c r="Q505" s="99"/>
      <c r="R505" s="99"/>
      <c r="S505" s="99"/>
      <c r="T505" s="99"/>
      <c r="U505" s="99"/>
      <c r="V505" s="99"/>
      <c r="W505" s="99"/>
      <c r="X505" s="99"/>
      <c r="Y505" s="99"/>
      <c r="Z505" s="99"/>
      <c r="AB505" s="84"/>
      <c r="AC505" s="84"/>
      <c r="AD505" s="84"/>
      <c r="AE505" s="84"/>
      <c r="AF505" s="84"/>
      <c r="AG505" s="84"/>
      <c r="AH505" s="84"/>
      <c r="AI505" s="84"/>
    </row>
    <row r="506" ht="15.75" customHeight="1">
      <c r="A506" s="84"/>
      <c r="B506" s="84"/>
      <c r="C506" s="84"/>
      <c r="D506" s="84"/>
      <c r="E506" s="84"/>
      <c r="F506" s="261"/>
      <c r="H506" s="275"/>
      <c r="I506" s="275"/>
      <c r="J506" s="275"/>
      <c r="K506" s="275"/>
      <c r="L506" s="275"/>
      <c r="M506" s="260"/>
      <c r="N506" s="260"/>
      <c r="O506" s="99"/>
      <c r="P506" s="99"/>
      <c r="Q506" s="99"/>
      <c r="R506" s="99"/>
      <c r="S506" s="99"/>
      <c r="T506" s="99"/>
      <c r="U506" s="99"/>
      <c r="V506" s="99"/>
      <c r="W506" s="99"/>
      <c r="X506" s="99"/>
      <c r="Y506" s="99"/>
      <c r="Z506" s="99"/>
      <c r="AB506" s="121"/>
      <c r="AC506" s="84"/>
      <c r="AD506" s="121"/>
      <c r="AE506" s="121"/>
      <c r="AF506" s="121"/>
      <c r="AG506" s="121"/>
      <c r="AH506" s="121"/>
      <c r="AI506" s="121"/>
    </row>
    <row r="507" ht="15.75" customHeight="1">
      <c r="A507" s="84"/>
      <c r="B507" s="84"/>
      <c r="C507" s="84"/>
      <c r="D507" s="84"/>
      <c r="E507" s="84"/>
      <c r="F507" s="261"/>
      <c r="H507" s="275"/>
      <c r="I507" s="275"/>
      <c r="J507" s="275"/>
      <c r="K507" s="275"/>
      <c r="L507" s="275"/>
      <c r="M507" s="260"/>
      <c r="N507" s="260"/>
      <c r="O507" s="99"/>
      <c r="P507" s="99"/>
      <c r="Q507" s="99"/>
      <c r="R507" s="99"/>
      <c r="S507" s="99"/>
      <c r="T507" s="99"/>
      <c r="U507" s="99"/>
      <c r="V507" s="99"/>
      <c r="W507" s="99"/>
      <c r="X507" s="99"/>
      <c r="Y507" s="99"/>
      <c r="Z507" s="99"/>
      <c r="AB507" s="121"/>
      <c r="AC507" s="84"/>
      <c r="AD507" s="121"/>
      <c r="AE507" s="121"/>
      <c r="AF507" s="121"/>
      <c r="AG507" s="121"/>
      <c r="AH507" s="121"/>
      <c r="AI507" s="121"/>
    </row>
    <row r="508" ht="15.75" customHeight="1">
      <c r="A508" s="84"/>
      <c r="B508" s="84"/>
      <c r="C508" s="84"/>
      <c r="D508" s="84"/>
      <c r="E508" s="84"/>
      <c r="F508" s="261"/>
      <c r="H508" s="275"/>
      <c r="I508" s="275"/>
      <c r="J508" s="275"/>
      <c r="K508" s="275"/>
      <c r="L508" s="275"/>
      <c r="M508" s="260"/>
      <c r="N508" s="260"/>
      <c r="O508" s="99"/>
      <c r="P508" s="99"/>
      <c r="Q508" s="99"/>
      <c r="R508" s="99"/>
      <c r="S508" s="99"/>
      <c r="T508" s="99"/>
      <c r="U508" s="99"/>
      <c r="V508" s="99"/>
      <c r="W508" s="99"/>
      <c r="X508" s="99"/>
      <c r="Y508" s="99"/>
      <c r="Z508" s="99"/>
      <c r="AB508" s="121"/>
      <c r="AC508" s="84"/>
      <c r="AD508" s="121"/>
      <c r="AE508" s="121"/>
      <c r="AF508" s="121"/>
      <c r="AG508" s="121"/>
      <c r="AH508" s="121"/>
      <c r="AI508" s="121"/>
    </row>
    <row r="509" ht="15.75" customHeight="1">
      <c r="A509" s="84"/>
      <c r="B509" s="84"/>
      <c r="C509" s="84"/>
      <c r="D509" s="84"/>
      <c r="E509" s="84"/>
      <c r="F509" s="261"/>
      <c r="H509" s="275"/>
      <c r="I509" s="275"/>
      <c r="J509" s="275"/>
      <c r="K509" s="275"/>
      <c r="L509" s="275"/>
      <c r="M509" s="260"/>
      <c r="N509" s="260"/>
      <c r="O509" s="99"/>
      <c r="P509" s="99"/>
      <c r="Q509" s="99"/>
      <c r="R509" s="99"/>
      <c r="S509" s="99"/>
      <c r="T509" s="99"/>
      <c r="U509" s="99"/>
      <c r="V509" s="99"/>
      <c r="W509" s="99"/>
      <c r="X509" s="99"/>
      <c r="Y509" s="99"/>
      <c r="Z509" s="99"/>
      <c r="AB509" s="121"/>
      <c r="AC509" s="84"/>
      <c r="AD509" s="121"/>
      <c r="AE509" s="121"/>
      <c r="AF509" s="121"/>
      <c r="AG509" s="121"/>
      <c r="AH509" s="121"/>
      <c r="AI509" s="121"/>
    </row>
    <row r="510" ht="15.75" customHeight="1">
      <c r="A510" s="84"/>
      <c r="B510" s="84"/>
      <c r="C510" s="84"/>
      <c r="D510" s="84"/>
      <c r="E510" s="84"/>
      <c r="F510" s="261"/>
      <c r="H510" s="275"/>
      <c r="I510" s="275"/>
      <c r="J510" s="275"/>
      <c r="K510" s="275"/>
      <c r="L510" s="275"/>
      <c r="M510" s="260"/>
      <c r="N510" s="260"/>
      <c r="O510" s="99"/>
      <c r="P510" s="99"/>
      <c r="Q510" s="99"/>
      <c r="R510" s="99"/>
      <c r="S510" s="99"/>
      <c r="T510" s="99"/>
      <c r="U510" s="99"/>
      <c r="V510" s="99"/>
      <c r="W510" s="99"/>
      <c r="X510" s="99"/>
      <c r="Y510" s="99"/>
      <c r="Z510" s="99"/>
      <c r="AB510" s="84"/>
      <c r="AC510" s="84"/>
      <c r="AD510" s="84"/>
      <c r="AE510" s="84"/>
      <c r="AF510" s="84"/>
      <c r="AG510" s="84"/>
      <c r="AH510" s="84"/>
      <c r="AI510" s="84"/>
    </row>
    <row r="511" ht="15.75" customHeight="1">
      <c r="A511" s="84"/>
      <c r="B511" s="84"/>
      <c r="C511" s="84"/>
      <c r="D511" s="84"/>
      <c r="E511" s="84"/>
      <c r="F511" s="261"/>
      <c r="H511" s="275"/>
      <c r="I511" s="275"/>
      <c r="J511" s="275"/>
      <c r="K511" s="275"/>
      <c r="L511" s="275"/>
      <c r="M511" s="260"/>
      <c r="N511" s="260"/>
      <c r="O511" s="99"/>
      <c r="P511" s="99"/>
      <c r="Q511" s="99"/>
      <c r="R511" s="99"/>
      <c r="S511" s="99"/>
      <c r="T511" s="99"/>
      <c r="U511" s="99"/>
      <c r="V511" s="99"/>
      <c r="W511" s="99"/>
      <c r="X511" s="99"/>
      <c r="Y511" s="99"/>
      <c r="Z511" s="99"/>
      <c r="AB511" s="84"/>
      <c r="AC511" s="84"/>
      <c r="AD511" s="84"/>
      <c r="AE511" s="84"/>
      <c r="AF511" s="84"/>
      <c r="AG511" s="84"/>
      <c r="AH511" s="84"/>
      <c r="AI511" s="84"/>
    </row>
    <row r="512" ht="15.75" customHeight="1">
      <c r="A512" s="84"/>
      <c r="B512" s="84"/>
      <c r="C512" s="84"/>
      <c r="D512" s="84"/>
      <c r="E512" s="84"/>
      <c r="F512" s="261"/>
      <c r="H512" s="275"/>
      <c r="I512" s="275"/>
      <c r="J512" s="275"/>
      <c r="K512" s="275"/>
      <c r="L512" s="275"/>
      <c r="M512" s="260"/>
      <c r="N512" s="260"/>
      <c r="O512" s="99"/>
      <c r="P512" s="99"/>
      <c r="Q512" s="99"/>
      <c r="R512" s="99"/>
      <c r="S512" s="99"/>
      <c r="T512" s="99"/>
      <c r="U512" s="99"/>
      <c r="V512" s="99"/>
      <c r="W512" s="99"/>
      <c r="X512" s="99"/>
      <c r="Y512" s="99"/>
      <c r="Z512" s="99"/>
      <c r="AB512" s="84"/>
      <c r="AC512" s="84"/>
      <c r="AD512" s="84"/>
      <c r="AE512" s="84"/>
      <c r="AF512" s="84"/>
      <c r="AG512" s="84"/>
      <c r="AH512" s="84"/>
      <c r="AI512" s="84"/>
    </row>
    <row r="513" ht="15.75" customHeight="1">
      <c r="A513" s="84"/>
      <c r="B513" s="84"/>
      <c r="C513" s="84"/>
      <c r="D513" s="84"/>
      <c r="E513" s="84"/>
      <c r="F513" s="261"/>
      <c r="H513" s="275"/>
      <c r="I513" s="275"/>
      <c r="J513" s="275"/>
      <c r="K513" s="275"/>
      <c r="L513" s="275"/>
      <c r="M513" s="260"/>
      <c r="N513" s="260"/>
      <c r="O513" s="99"/>
      <c r="P513" s="99"/>
      <c r="Q513" s="99"/>
      <c r="R513" s="99"/>
      <c r="S513" s="99"/>
      <c r="T513" s="99"/>
      <c r="U513" s="99"/>
      <c r="V513" s="99"/>
      <c r="W513" s="99"/>
      <c r="X513" s="99"/>
      <c r="Y513" s="99"/>
      <c r="Z513" s="99"/>
      <c r="AB513" s="84"/>
      <c r="AC513" s="84"/>
      <c r="AD513" s="84"/>
      <c r="AE513" s="84"/>
      <c r="AF513" s="84"/>
      <c r="AG513" s="84"/>
      <c r="AH513" s="84"/>
      <c r="AI513" s="84"/>
    </row>
    <row r="514" ht="15.75" customHeight="1">
      <c r="A514" s="84"/>
      <c r="B514" s="84"/>
      <c r="C514" s="84"/>
      <c r="D514" s="84"/>
      <c r="E514" s="84"/>
      <c r="F514" s="261"/>
      <c r="H514" s="275"/>
      <c r="I514" s="275"/>
      <c r="J514" s="275"/>
      <c r="K514" s="275"/>
      <c r="L514" s="275"/>
      <c r="M514" s="260"/>
      <c r="N514" s="260"/>
      <c r="O514" s="99"/>
      <c r="P514" s="99"/>
      <c r="Q514" s="99"/>
      <c r="R514" s="99"/>
      <c r="S514" s="99"/>
      <c r="T514" s="99"/>
      <c r="U514" s="99"/>
      <c r="V514" s="99"/>
      <c r="W514" s="99"/>
      <c r="X514" s="99"/>
      <c r="Y514" s="99"/>
      <c r="Z514" s="99"/>
      <c r="AB514" s="84"/>
      <c r="AC514" s="84"/>
      <c r="AD514" s="84"/>
      <c r="AE514" s="84"/>
      <c r="AF514" s="84"/>
      <c r="AG514" s="84"/>
      <c r="AH514" s="84"/>
      <c r="AI514" s="84"/>
    </row>
    <row r="515" ht="15.75" customHeight="1">
      <c r="A515" s="84"/>
      <c r="B515" s="84"/>
      <c r="C515" s="84"/>
      <c r="D515" s="84"/>
      <c r="E515" s="84"/>
      <c r="F515" s="261"/>
      <c r="H515" s="275"/>
      <c r="I515" s="275"/>
      <c r="J515" s="275"/>
      <c r="K515" s="275"/>
      <c r="L515" s="275"/>
      <c r="M515" s="260"/>
      <c r="N515" s="260"/>
      <c r="O515" s="99"/>
      <c r="P515" s="99"/>
      <c r="Q515" s="99"/>
      <c r="R515" s="99"/>
      <c r="S515" s="99"/>
      <c r="T515" s="99"/>
      <c r="U515" s="99"/>
      <c r="V515" s="99"/>
      <c r="W515" s="99"/>
      <c r="X515" s="99"/>
      <c r="Y515" s="99"/>
      <c r="Z515" s="99"/>
      <c r="AB515" s="84"/>
      <c r="AC515" s="84"/>
      <c r="AD515" s="84"/>
      <c r="AE515" s="84"/>
      <c r="AF515" s="84"/>
      <c r="AG515" s="84"/>
      <c r="AH515" s="84"/>
      <c r="AI515" s="84"/>
    </row>
    <row r="516" ht="15.75" customHeight="1">
      <c r="A516" s="84"/>
      <c r="B516" s="84"/>
      <c r="C516" s="84"/>
      <c r="D516" s="84"/>
      <c r="E516" s="84"/>
      <c r="F516" s="261"/>
      <c r="H516" s="275"/>
      <c r="I516" s="275"/>
      <c r="J516" s="275"/>
      <c r="K516" s="275"/>
      <c r="L516" s="275"/>
      <c r="M516" s="260"/>
      <c r="N516" s="260"/>
      <c r="O516" s="99"/>
      <c r="P516" s="99"/>
      <c r="Q516" s="99"/>
      <c r="R516" s="99"/>
      <c r="S516" s="99"/>
      <c r="T516" s="99"/>
      <c r="U516" s="99"/>
      <c r="V516" s="99"/>
      <c r="W516" s="99"/>
      <c r="X516" s="99"/>
      <c r="Y516" s="99"/>
      <c r="Z516" s="99"/>
      <c r="AB516" s="84"/>
      <c r="AC516" s="84"/>
      <c r="AD516" s="84"/>
      <c r="AE516" s="84"/>
      <c r="AF516" s="84"/>
      <c r="AG516" s="84"/>
      <c r="AH516" s="84"/>
      <c r="AI516" s="84"/>
    </row>
    <row r="517" ht="15.75" customHeight="1">
      <c r="A517" s="84"/>
      <c r="B517" s="84"/>
      <c r="C517" s="84"/>
      <c r="D517" s="84"/>
      <c r="E517" s="84"/>
      <c r="F517" s="261"/>
      <c r="H517" s="275"/>
      <c r="I517" s="275"/>
      <c r="J517" s="275"/>
      <c r="K517" s="275"/>
      <c r="L517" s="275"/>
      <c r="M517" s="260"/>
      <c r="N517" s="260"/>
      <c r="O517" s="99"/>
      <c r="P517" s="99"/>
      <c r="Q517" s="99"/>
      <c r="R517" s="99"/>
      <c r="S517" s="99"/>
      <c r="T517" s="99"/>
      <c r="U517" s="99"/>
      <c r="V517" s="99"/>
      <c r="W517" s="99"/>
      <c r="X517" s="99"/>
      <c r="Y517" s="99"/>
      <c r="Z517" s="99"/>
      <c r="AB517" s="84"/>
      <c r="AC517" s="84"/>
      <c r="AD517" s="84"/>
      <c r="AE517" s="84"/>
      <c r="AF517" s="84"/>
      <c r="AG517" s="84"/>
      <c r="AH517" s="84"/>
      <c r="AI517" s="84"/>
    </row>
    <row r="518" ht="15.75" customHeight="1">
      <c r="A518" s="84"/>
      <c r="B518" s="84"/>
      <c r="C518" s="84"/>
      <c r="D518" s="84"/>
      <c r="E518" s="84"/>
      <c r="F518" s="261"/>
      <c r="H518" s="275"/>
      <c r="I518" s="275"/>
      <c r="J518" s="275"/>
      <c r="K518" s="275"/>
      <c r="L518" s="275"/>
      <c r="M518" s="260"/>
      <c r="N518" s="260"/>
      <c r="O518" s="99"/>
      <c r="P518" s="99"/>
      <c r="Q518" s="99"/>
      <c r="R518" s="99"/>
      <c r="S518" s="99"/>
      <c r="T518" s="99"/>
      <c r="U518" s="99"/>
      <c r="V518" s="99"/>
      <c r="W518" s="99"/>
      <c r="X518" s="99"/>
      <c r="Y518" s="99"/>
      <c r="Z518" s="99"/>
      <c r="AB518" s="84"/>
      <c r="AC518" s="84"/>
      <c r="AD518" s="84"/>
      <c r="AE518" s="84"/>
      <c r="AF518" s="84"/>
      <c r="AG518" s="84"/>
      <c r="AH518" s="84"/>
      <c r="AI518" s="84"/>
    </row>
    <row r="519" ht="15.75" customHeight="1">
      <c r="A519" s="84"/>
      <c r="B519" s="84"/>
      <c r="C519" s="84"/>
      <c r="D519" s="84"/>
      <c r="E519" s="84"/>
      <c r="F519" s="261"/>
      <c r="H519" s="275"/>
      <c r="I519" s="275"/>
      <c r="J519" s="275"/>
      <c r="K519" s="275"/>
      <c r="L519" s="275"/>
      <c r="M519" s="260"/>
      <c r="N519" s="260"/>
      <c r="O519" s="99"/>
      <c r="P519" s="99"/>
      <c r="Q519" s="99"/>
      <c r="R519" s="99"/>
      <c r="S519" s="99"/>
      <c r="T519" s="99"/>
      <c r="U519" s="99"/>
      <c r="V519" s="99"/>
      <c r="W519" s="99"/>
      <c r="X519" s="99"/>
      <c r="Y519" s="99"/>
      <c r="Z519" s="99"/>
      <c r="AB519" s="84"/>
      <c r="AC519" s="84"/>
      <c r="AD519" s="84"/>
      <c r="AE519" s="84"/>
      <c r="AF519" s="84"/>
      <c r="AG519" s="84"/>
      <c r="AH519" s="84"/>
      <c r="AI519" s="84"/>
    </row>
    <row r="520" ht="15.75" customHeight="1">
      <c r="A520" s="84"/>
      <c r="B520" s="84"/>
      <c r="C520" s="84"/>
      <c r="D520" s="84"/>
      <c r="E520" s="84"/>
      <c r="F520" s="261"/>
      <c r="H520" s="275"/>
      <c r="I520" s="275"/>
      <c r="J520" s="275"/>
      <c r="K520" s="275"/>
      <c r="L520" s="275"/>
      <c r="M520" s="260"/>
      <c r="N520" s="260"/>
      <c r="O520" s="99"/>
      <c r="P520" s="99"/>
      <c r="Q520" s="99"/>
      <c r="R520" s="99"/>
      <c r="S520" s="99"/>
      <c r="T520" s="99"/>
      <c r="U520" s="99"/>
      <c r="V520" s="99"/>
      <c r="W520" s="99"/>
      <c r="X520" s="99"/>
      <c r="Y520" s="99"/>
      <c r="Z520" s="99"/>
      <c r="AB520" s="84"/>
      <c r="AC520" s="84"/>
      <c r="AD520" s="84"/>
      <c r="AE520" s="84"/>
      <c r="AF520" s="84"/>
      <c r="AG520" s="84"/>
      <c r="AH520" s="84"/>
      <c r="AI520" s="84"/>
    </row>
    <row r="521" ht="15.75" customHeight="1">
      <c r="A521" s="84"/>
      <c r="B521" s="84"/>
      <c r="C521" s="84"/>
      <c r="D521" s="84"/>
      <c r="E521" s="84"/>
      <c r="F521" s="261"/>
      <c r="H521" s="275"/>
      <c r="I521" s="275"/>
      <c r="J521" s="275"/>
      <c r="K521" s="275"/>
      <c r="L521" s="275"/>
      <c r="M521" s="260"/>
      <c r="N521" s="260"/>
      <c r="O521" s="99"/>
      <c r="P521" s="99"/>
      <c r="Q521" s="99"/>
      <c r="R521" s="99"/>
      <c r="S521" s="99"/>
      <c r="T521" s="99"/>
      <c r="U521" s="99"/>
      <c r="V521" s="99"/>
      <c r="W521" s="99"/>
      <c r="X521" s="99"/>
      <c r="Y521" s="99"/>
      <c r="Z521" s="99"/>
      <c r="AB521" s="84"/>
      <c r="AC521" s="84"/>
      <c r="AD521" s="84"/>
      <c r="AE521" s="84"/>
      <c r="AF521" s="84"/>
      <c r="AG521" s="84"/>
      <c r="AH521" s="84"/>
      <c r="AI521" s="84"/>
    </row>
    <row r="522" ht="15.75" customHeight="1">
      <c r="A522" s="84"/>
      <c r="B522" s="84"/>
      <c r="C522" s="84"/>
      <c r="D522" s="84"/>
      <c r="E522" s="84"/>
      <c r="F522" s="261"/>
      <c r="H522" s="275"/>
      <c r="I522" s="275"/>
      <c r="J522" s="275"/>
      <c r="K522" s="275"/>
      <c r="L522" s="275"/>
      <c r="M522" s="260"/>
      <c r="N522" s="260"/>
      <c r="O522" s="99"/>
      <c r="P522" s="99"/>
      <c r="Q522" s="99"/>
      <c r="R522" s="99"/>
      <c r="S522" s="99"/>
      <c r="T522" s="99"/>
      <c r="U522" s="99"/>
      <c r="V522" s="99"/>
      <c r="W522" s="99"/>
      <c r="X522" s="99"/>
      <c r="Y522" s="99"/>
      <c r="Z522" s="99"/>
      <c r="AB522" s="84"/>
      <c r="AC522" s="84"/>
      <c r="AD522" s="84"/>
      <c r="AE522" s="84"/>
      <c r="AF522" s="84"/>
      <c r="AG522" s="84"/>
      <c r="AH522" s="84"/>
      <c r="AI522" s="84"/>
    </row>
    <row r="523" ht="15.75" customHeight="1">
      <c r="A523" s="84"/>
      <c r="B523" s="84"/>
      <c r="C523" s="84"/>
      <c r="D523" s="84"/>
      <c r="E523" s="84"/>
      <c r="F523" s="261"/>
      <c r="H523" s="275"/>
      <c r="I523" s="275"/>
      <c r="J523" s="275"/>
      <c r="K523" s="275"/>
      <c r="L523" s="275"/>
      <c r="M523" s="260"/>
      <c r="N523" s="260"/>
      <c r="O523" s="99"/>
      <c r="P523" s="99"/>
      <c r="Q523" s="99"/>
      <c r="R523" s="99"/>
      <c r="S523" s="99"/>
      <c r="T523" s="99"/>
      <c r="U523" s="99"/>
      <c r="V523" s="99"/>
      <c r="W523" s="99"/>
      <c r="X523" s="99"/>
      <c r="Y523" s="99"/>
      <c r="Z523" s="99"/>
      <c r="AB523" s="84"/>
      <c r="AC523" s="84"/>
      <c r="AD523" s="84"/>
      <c r="AE523" s="84"/>
      <c r="AF523" s="84"/>
      <c r="AG523" s="84"/>
      <c r="AH523" s="84"/>
      <c r="AI523" s="84"/>
    </row>
    <row r="524" ht="15.75" customHeight="1">
      <c r="A524" s="84"/>
      <c r="B524" s="84"/>
      <c r="C524" s="84"/>
      <c r="D524" s="84"/>
      <c r="E524" s="122"/>
      <c r="F524" s="261"/>
      <c r="H524" s="275"/>
      <c r="I524" s="275"/>
      <c r="J524" s="275"/>
      <c r="K524" s="275"/>
      <c r="L524" s="275"/>
      <c r="M524" s="260"/>
      <c r="N524" s="260"/>
      <c r="O524" s="99"/>
      <c r="P524" s="99"/>
      <c r="Q524" s="99"/>
      <c r="R524" s="99"/>
      <c r="S524" s="99"/>
      <c r="T524" s="99"/>
      <c r="U524" s="99"/>
      <c r="V524" s="99"/>
      <c r="W524" s="99"/>
      <c r="X524" s="99"/>
      <c r="Y524" s="99"/>
      <c r="Z524" s="99"/>
      <c r="AB524" s="84"/>
      <c r="AC524" s="84"/>
      <c r="AD524" s="84"/>
      <c r="AE524" s="84"/>
      <c r="AF524" s="84"/>
      <c r="AG524" s="84"/>
      <c r="AH524" s="84"/>
      <c r="AI524" s="84"/>
    </row>
    <row r="525" ht="15.75" customHeight="1">
      <c r="A525" s="84"/>
      <c r="B525" s="84"/>
      <c r="C525" s="84"/>
      <c r="D525" s="84"/>
      <c r="E525" s="122"/>
      <c r="F525" s="261"/>
      <c r="H525" s="275"/>
      <c r="I525" s="275"/>
      <c r="J525" s="275"/>
      <c r="K525" s="275"/>
      <c r="L525" s="275"/>
      <c r="M525" s="260"/>
      <c r="N525" s="260"/>
      <c r="O525" s="99"/>
      <c r="P525" s="99"/>
      <c r="Q525" s="99"/>
      <c r="R525" s="99"/>
      <c r="S525" s="99"/>
      <c r="T525" s="99"/>
      <c r="U525" s="99"/>
      <c r="V525" s="99"/>
      <c r="W525" s="99"/>
      <c r="X525" s="99"/>
      <c r="Y525" s="99"/>
      <c r="Z525" s="99"/>
      <c r="AB525" s="84"/>
      <c r="AC525" s="84"/>
      <c r="AD525" s="84"/>
      <c r="AE525" s="84"/>
      <c r="AF525" s="84"/>
      <c r="AG525" s="84"/>
      <c r="AH525" s="84"/>
      <c r="AI525" s="84"/>
    </row>
    <row r="526" ht="15.75" customHeight="1">
      <c r="A526" s="84"/>
      <c r="B526" s="84"/>
      <c r="C526" s="84"/>
      <c r="D526" s="84"/>
      <c r="E526" s="122"/>
      <c r="F526" s="261"/>
      <c r="H526" s="275"/>
      <c r="I526" s="275"/>
      <c r="J526" s="275"/>
      <c r="K526" s="275"/>
      <c r="L526" s="275"/>
      <c r="M526" s="260"/>
      <c r="N526" s="260"/>
      <c r="O526" s="99"/>
      <c r="P526" s="99"/>
      <c r="Q526" s="99"/>
      <c r="R526" s="99"/>
      <c r="S526" s="99"/>
      <c r="T526" s="99"/>
      <c r="U526" s="99"/>
      <c r="V526" s="99"/>
      <c r="W526" s="99"/>
      <c r="X526" s="99"/>
      <c r="Y526" s="99"/>
      <c r="Z526" s="99"/>
      <c r="AB526" s="84"/>
      <c r="AC526" s="84"/>
      <c r="AD526" s="84"/>
      <c r="AE526" s="84"/>
      <c r="AF526" s="84"/>
      <c r="AG526" s="84"/>
      <c r="AH526" s="84"/>
      <c r="AI526" s="84"/>
    </row>
    <row r="527" ht="15.75" customHeight="1">
      <c r="A527" s="84"/>
      <c r="B527" s="84"/>
      <c r="C527" s="84"/>
      <c r="D527" s="84"/>
      <c r="E527" s="122"/>
      <c r="F527" s="261"/>
      <c r="H527" s="275"/>
      <c r="I527" s="275"/>
      <c r="J527" s="275"/>
      <c r="K527" s="275"/>
      <c r="L527" s="275"/>
      <c r="M527" s="260"/>
      <c r="N527" s="260"/>
      <c r="O527" s="99"/>
      <c r="P527" s="99"/>
      <c r="Q527" s="99"/>
      <c r="R527" s="99"/>
      <c r="S527" s="99"/>
      <c r="T527" s="99"/>
      <c r="U527" s="99"/>
      <c r="V527" s="99"/>
      <c r="W527" s="99"/>
      <c r="X527" s="99"/>
      <c r="Y527" s="99"/>
      <c r="Z527" s="99"/>
      <c r="AB527" s="84"/>
      <c r="AC527" s="84"/>
      <c r="AD527" s="84"/>
      <c r="AE527" s="84"/>
      <c r="AF527" s="84"/>
      <c r="AG527" s="84"/>
      <c r="AH527" s="84"/>
      <c r="AI527" s="84"/>
    </row>
    <row r="528" ht="15.75" customHeight="1">
      <c r="A528" s="84"/>
      <c r="B528" s="84"/>
      <c r="C528" s="84"/>
      <c r="D528" s="84"/>
      <c r="E528" s="122"/>
      <c r="F528" s="261"/>
      <c r="H528" s="275"/>
      <c r="I528" s="275"/>
      <c r="J528" s="275"/>
      <c r="K528" s="275"/>
      <c r="L528" s="275"/>
      <c r="M528" s="260"/>
      <c r="N528" s="260"/>
      <c r="O528" s="99"/>
      <c r="P528" s="99"/>
      <c r="Q528" s="99"/>
      <c r="R528" s="99"/>
      <c r="S528" s="99"/>
      <c r="T528" s="99"/>
      <c r="U528" s="99"/>
      <c r="V528" s="99"/>
      <c r="W528" s="99"/>
      <c r="X528" s="99"/>
      <c r="Y528" s="99"/>
      <c r="Z528" s="99"/>
      <c r="AB528" s="84"/>
      <c r="AC528" s="84"/>
      <c r="AD528" s="84"/>
      <c r="AE528" s="84"/>
      <c r="AF528" s="84"/>
      <c r="AG528" s="84"/>
      <c r="AH528" s="84"/>
      <c r="AI528" s="84"/>
    </row>
    <row r="529" ht="15.75" customHeight="1">
      <c r="A529" s="84"/>
      <c r="B529" s="84"/>
      <c r="C529" s="84"/>
      <c r="D529" s="84"/>
      <c r="E529" s="122"/>
      <c r="F529" s="261"/>
      <c r="H529" s="275"/>
      <c r="I529" s="275"/>
      <c r="J529" s="275"/>
      <c r="K529" s="275"/>
      <c r="L529" s="275"/>
      <c r="M529" s="260"/>
      <c r="N529" s="260"/>
      <c r="O529" s="99"/>
      <c r="P529" s="99"/>
      <c r="Q529" s="99"/>
      <c r="R529" s="99"/>
      <c r="S529" s="99"/>
      <c r="T529" s="99"/>
      <c r="U529" s="99"/>
      <c r="V529" s="99"/>
      <c r="W529" s="99"/>
      <c r="X529" s="99"/>
      <c r="Y529" s="99"/>
      <c r="Z529" s="99"/>
      <c r="AB529" s="84"/>
      <c r="AC529" s="84"/>
      <c r="AD529" s="84"/>
      <c r="AE529" s="84"/>
      <c r="AF529" s="84"/>
      <c r="AG529" s="84"/>
      <c r="AH529" s="84"/>
      <c r="AI529" s="84"/>
    </row>
    <row r="530" ht="15.75" customHeight="1">
      <c r="A530" s="84"/>
      <c r="B530" s="84"/>
      <c r="C530" s="84"/>
      <c r="D530" s="122"/>
      <c r="E530" s="122"/>
      <c r="F530" s="261"/>
      <c r="H530" s="275"/>
      <c r="I530" s="275"/>
      <c r="J530" s="275"/>
      <c r="K530" s="275"/>
      <c r="L530" s="275"/>
      <c r="M530" s="260"/>
      <c r="N530" s="260"/>
      <c r="O530" s="99"/>
      <c r="P530" s="99"/>
      <c r="Q530" s="99"/>
      <c r="R530" s="99"/>
      <c r="S530" s="99"/>
      <c r="T530" s="99"/>
      <c r="U530" s="99"/>
      <c r="V530" s="99"/>
      <c r="W530" s="99"/>
      <c r="X530" s="99"/>
      <c r="Y530" s="99"/>
      <c r="Z530" s="99"/>
      <c r="AB530" s="84"/>
      <c r="AC530" s="84"/>
      <c r="AD530" s="84"/>
      <c r="AE530" s="84"/>
      <c r="AF530" s="84"/>
      <c r="AG530" s="84"/>
      <c r="AH530" s="84"/>
      <c r="AI530" s="84"/>
    </row>
    <row r="531" ht="15.75" customHeight="1">
      <c r="A531" s="84"/>
      <c r="B531" s="84"/>
      <c r="C531" s="84"/>
      <c r="D531" s="122"/>
      <c r="E531" s="122"/>
      <c r="F531" s="261"/>
      <c r="H531" s="275"/>
      <c r="I531" s="275"/>
      <c r="J531" s="275"/>
      <c r="K531" s="275"/>
      <c r="L531" s="275"/>
      <c r="M531" s="260"/>
      <c r="N531" s="260"/>
      <c r="O531" s="99"/>
      <c r="P531" s="99"/>
      <c r="Q531" s="99"/>
      <c r="R531" s="99"/>
      <c r="S531" s="99"/>
      <c r="T531" s="99"/>
      <c r="U531" s="99"/>
      <c r="V531" s="99"/>
      <c r="W531" s="99"/>
      <c r="X531" s="99"/>
      <c r="Y531" s="99"/>
      <c r="Z531" s="99"/>
      <c r="AB531" s="84"/>
      <c r="AC531" s="84"/>
      <c r="AD531" s="84"/>
      <c r="AE531" s="84"/>
      <c r="AF531" s="84"/>
      <c r="AG531" s="84"/>
      <c r="AH531" s="84"/>
      <c r="AI531" s="84"/>
    </row>
    <row r="532" ht="15.75" customHeight="1">
      <c r="A532" s="84"/>
      <c r="B532" s="84"/>
      <c r="C532" s="84"/>
      <c r="D532" s="122"/>
      <c r="E532" s="122"/>
      <c r="F532" s="261"/>
      <c r="H532" s="275"/>
      <c r="I532" s="275"/>
      <c r="J532" s="275"/>
      <c r="K532" s="275"/>
      <c r="L532" s="275"/>
      <c r="M532" s="260"/>
      <c r="N532" s="260"/>
      <c r="O532" s="99"/>
      <c r="P532" s="99"/>
      <c r="Q532" s="99"/>
      <c r="R532" s="99"/>
      <c r="S532" s="99"/>
      <c r="T532" s="99"/>
      <c r="U532" s="99"/>
      <c r="V532" s="99"/>
      <c r="W532" s="99"/>
      <c r="X532" s="99"/>
      <c r="Y532" s="99"/>
      <c r="Z532" s="99"/>
      <c r="AB532" s="84"/>
      <c r="AC532" s="84"/>
      <c r="AD532" s="84"/>
      <c r="AE532" s="84"/>
      <c r="AF532" s="84"/>
      <c r="AG532" s="84"/>
      <c r="AH532" s="84"/>
      <c r="AI532" s="84"/>
    </row>
    <row r="533" ht="15.75" customHeight="1">
      <c r="A533" s="84"/>
      <c r="B533" s="84"/>
      <c r="C533" s="84"/>
      <c r="D533" s="122"/>
      <c r="E533" s="122"/>
      <c r="F533" s="261"/>
      <c r="H533" s="275"/>
      <c r="I533" s="275"/>
      <c r="J533" s="275"/>
      <c r="K533" s="275"/>
      <c r="L533" s="275"/>
      <c r="M533" s="260"/>
      <c r="N533" s="260"/>
      <c r="O533" s="99"/>
      <c r="P533" s="99"/>
      <c r="Q533" s="99"/>
      <c r="R533" s="99"/>
      <c r="S533" s="99"/>
      <c r="T533" s="99"/>
      <c r="U533" s="99"/>
      <c r="V533" s="99"/>
      <c r="W533" s="99"/>
      <c r="X533" s="99"/>
      <c r="Y533" s="99"/>
      <c r="Z533" s="99"/>
      <c r="AB533" s="84"/>
      <c r="AC533" s="84"/>
      <c r="AD533" s="84"/>
      <c r="AE533" s="84"/>
      <c r="AF533" s="84"/>
      <c r="AG533" s="84"/>
      <c r="AH533" s="84"/>
      <c r="AI533" s="84"/>
    </row>
    <row r="534" ht="15.75" customHeight="1">
      <c r="A534" s="84"/>
      <c r="B534" s="84"/>
      <c r="C534" s="84"/>
      <c r="D534" s="122"/>
      <c r="E534" s="123"/>
      <c r="F534" s="261"/>
      <c r="H534" s="275"/>
      <c r="I534" s="275"/>
      <c r="J534" s="275"/>
      <c r="K534" s="275"/>
      <c r="L534" s="275"/>
      <c r="M534" s="260"/>
      <c r="N534" s="260"/>
      <c r="O534" s="99"/>
      <c r="P534" s="99"/>
      <c r="Q534" s="99"/>
      <c r="R534" s="99"/>
      <c r="S534" s="99"/>
      <c r="T534" s="99"/>
      <c r="U534" s="99"/>
      <c r="V534" s="99"/>
      <c r="W534" s="99"/>
      <c r="X534" s="99"/>
      <c r="Y534" s="99"/>
      <c r="Z534" s="99"/>
      <c r="AB534" s="84"/>
      <c r="AC534" s="84"/>
      <c r="AD534" s="84"/>
      <c r="AE534" s="84"/>
      <c r="AF534" s="84"/>
      <c r="AG534" s="84"/>
      <c r="AH534" s="84"/>
      <c r="AI534" s="84"/>
    </row>
    <row r="535" ht="15.75" customHeight="1">
      <c r="A535" s="84"/>
      <c r="B535" s="84"/>
      <c r="C535" s="84"/>
      <c r="D535" s="122"/>
      <c r="E535" s="84"/>
      <c r="F535" s="261"/>
      <c r="H535" s="275"/>
      <c r="I535" s="275"/>
      <c r="J535" s="275"/>
      <c r="K535" s="275"/>
      <c r="L535" s="275"/>
      <c r="M535" s="260"/>
      <c r="N535" s="260"/>
      <c r="O535" s="99"/>
      <c r="P535" s="99"/>
      <c r="Q535" s="99"/>
      <c r="R535" s="99"/>
      <c r="S535" s="99"/>
      <c r="T535" s="99"/>
      <c r="U535" s="99"/>
      <c r="V535" s="99"/>
      <c r="W535" s="99"/>
      <c r="X535" s="99"/>
      <c r="Y535" s="99"/>
      <c r="Z535" s="99"/>
      <c r="AB535" s="84"/>
      <c r="AC535" s="84"/>
      <c r="AD535" s="84"/>
      <c r="AE535" s="84"/>
      <c r="AF535" s="84"/>
      <c r="AG535" s="84"/>
      <c r="AH535" s="84"/>
      <c r="AI535" s="84"/>
    </row>
    <row r="536" ht="15.75" customHeight="1">
      <c r="A536" s="84"/>
      <c r="B536" s="84"/>
      <c r="C536" s="84"/>
      <c r="D536" s="122"/>
      <c r="E536" s="84"/>
      <c r="F536" s="261"/>
      <c r="H536" s="275"/>
      <c r="I536" s="275"/>
      <c r="J536" s="275"/>
      <c r="K536" s="275"/>
      <c r="L536" s="275"/>
      <c r="M536" s="260"/>
      <c r="N536" s="260"/>
      <c r="O536" s="99"/>
      <c r="P536" s="99"/>
      <c r="Q536" s="99"/>
      <c r="R536" s="99"/>
      <c r="S536" s="99"/>
      <c r="T536" s="99"/>
      <c r="U536" s="99"/>
      <c r="V536" s="99"/>
      <c r="W536" s="99"/>
      <c r="X536" s="99"/>
      <c r="Y536" s="99"/>
      <c r="Z536" s="99"/>
      <c r="AB536" s="84"/>
      <c r="AC536" s="84"/>
      <c r="AD536" s="84"/>
      <c r="AE536" s="84"/>
      <c r="AF536" s="84"/>
      <c r="AG536" s="84"/>
      <c r="AH536" s="84"/>
      <c r="AI536" s="84"/>
    </row>
    <row r="537" ht="15.75" customHeight="1">
      <c r="A537" s="84"/>
      <c r="B537" s="84"/>
      <c r="C537" s="84"/>
      <c r="D537" s="122"/>
      <c r="E537" s="84"/>
      <c r="F537" s="261"/>
      <c r="H537" s="275"/>
      <c r="I537" s="275"/>
      <c r="J537" s="275"/>
      <c r="K537" s="275"/>
      <c r="L537" s="275"/>
      <c r="M537" s="260"/>
      <c r="N537" s="260"/>
      <c r="O537" s="99"/>
      <c r="P537" s="99"/>
      <c r="Q537" s="99"/>
      <c r="R537" s="99"/>
      <c r="S537" s="99"/>
      <c r="T537" s="99"/>
      <c r="U537" s="99"/>
      <c r="V537" s="99"/>
      <c r="W537" s="99"/>
      <c r="X537" s="99"/>
      <c r="Y537" s="99"/>
      <c r="Z537" s="99"/>
      <c r="AB537" s="84"/>
      <c r="AC537" s="122"/>
      <c r="AD537" s="84"/>
      <c r="AE537" s="84"/>
      <c r="AF537" s="84"/>
      <c r="AG537" s="84"/>
      <c r="AH537" s="84"/>
      <c r="AI537" s="84"/>
    </row>
    <row r="538" ht="15.75" customHeight="1">
      <c r="A538" s="84"/>
      <c r="B538" s="84"/>
      <c r="C538" s="84"/>
      <c r="D538" s="122"/>
      <c r="E538" s="84"/>
      <c r="F538" s="261"/>
      <c r="H538" s="275"/>
      <c r="I538" s="275"/>
      <c r="J538" s="275"/>
      <c r="K538" s="275"/>
      <c r="L538" s="275"/>
      <c r="M538" s="260"/>
      <c r="N538" s="260"/>
      <c r="O538" s="99"/>
      <c r="P538" s="99"/>
      <c r="Q538" s="99"/>
      <c r="R538" s="99"/>
      <c r="S538" s="99"/>
      <c r="T538" s="99"/>
      <c r="U538" s="99"/>
      <c r="V538" s="99"/>
      <c r="W538" s="99"/>
      <c r="X538" s="99"/>
      <c r="Y538" s="99"/>
      <c r="Z538" s="99"/>
      <c r="AB538" s="84"/>
      <c r="AC538" s="122"/>
      <c r="AD538" s="84"/>
      <c r="AE538" s="84"/>
      <c r="AF538" s="84"/>
      <c r="AG538" s="84"/>
      <c r="AH538" s="84"/>
      <c r="AI538" s="84"/>
    </row>
    <row r="539" ht="15.75" customHeight="1">
      <c r="A539" s="84"/>
      <c r="B539" s="84"/>
      <c r="C539" s="84"/>
      <c r="D539" s="122"/>
      <c r="E539" s="84"/>
      <c r="F539" s="261"/>
      <c r="H539" s="275"/>
      <c r="I539" s="275"/>
      <c r="J539" s="275"/>
      <c r="K539" s="275"/>
      <c r="L539" s="275"/>
      <c r="M539" s="260"/>
      <c r="N539" s="260"/>
      <c r="O539" s="99"/>
      <c r="P539" s="99"/>
      <c r="Q539" s="99"/>
      <c r="R539" s="99"/>
      <c r="S539" s="99"/>
      <c r="T539" s="99"/>
      <c r="U539" s="99"/>
      <c r="V539" s="99"/>
      <c r="W539" s="99"/>
      <c r="X539" s="99"/>
      <c r="Y539" s="99"/>
      <c r="Z539" s="99"/>
      <c r="AB539" s="84"/>
      <c r="AC539" s="122"/>
      <c r="AD539" s="84"/>
      <c r="AE539" s="84"/>
      <c r="AF539" s="84"/>
      <c r="AG539" s="84"/>
      <c r="AH539" s="84"/>
      <c r="AI539" s="84"/>
    </row>
    <row r="540" ht="15.75" customHeight="1">
      <c r="A540" s="84"/>
      <c r="B540" s="84"/>
      <c r="C540" s="84"/>
      <c r="D540" s="123"/>
      <c r="E540" s="84"/>
      <c r="F540" s="261"/>
      <c r="H540" s="275"/>
      <c r="I540" s="275"/>
      <c r="J540" s="275"/>
      <c r="K540" s="275"/>
      <c r="L540" s="275"/>
      <c r="M540" s="260"/>
      <c r="N540" s="260"/>
      <c r="O540" s="99"/>
      <c r="P540" s="99"/>
      <c r="Q540" s="99"/>
      <c r="R540" s="99"/>
      <c r="S540" s="99"/>
      <c r="T540" s="99"/>
      <c r="U540" s="99"/>
      <c r="V540" s="99"/>
      <c r="W540" s="99"/>
      <c r="X540" s="99"/>
      <c r="Y540" s="99"/>
      <c r="Z540" s="99"/>
      <c r="AB540" s="84"/>
      <c r="AC540" s="122"/>
      <c r="AD540" s="84"/>
      <c r="AE540" s="84"/>
      <c r="AF540" s="84"/>
      <c r="AG540" s="84"/>
      <c r="AH540" s="84"/>
      <c r="AI540" s="84"/>
    </row>
    <row r="541" ht="15.75" customHeight="1">
      <c r="A541" s="122"/>
      <c r="B541" s="122"/>
      <c r="C541" s="122"/>
      <c r="D541" s="84"/>
      <c r="E541" s="84"/>
      <c r="F541" s="261"/>
      <c r="H541" s="275"/>
      <c r="I541" s="275"/>
      <c r="J541" s="275"/>
      <c r="K541" s="275"/>
      <c r="L541" s="275"/>
      <c r="M541" s="260"/>
      <c r="N541" s="260"/>
      <c r="O541" s="99"/>
      <c r="P541" s="99"/>
      <c r="Q541" s="99"/>
      <c r="R541" s="99"/>
      <c r="S541" s="99"/>
      <c r="T541" s="99"/>
      <c r="U541" s="99"/>
      <c r="V541" s="99"/>
      <c r="W541" s="99"/>
      <c r="X541" s="99"/>
      <c r="Y541" s="99"/>
      <c r="Z541" s="99"/>
      <c r="AB541" s="84"/>
      <c r="AC541" s="122"/>
      <c r="AD541" s="84"/>
      <c r="AE541" s="84"/>
      <c r="AF541" s="84"/>
      <c r="AG541" s="84"/>
      <c r="AH541" s="84"/>
      <c r="AI541" s="84"/>
    </row>
    <row r="542" ht="15.75" customHeight="1">
      <c r="A542" s="122"/>
      <c r="B542" s="122"/>
      <c r="C542" s="122"/>
      <c r="D542" s="84"/>
      <c r="E542" s="84"/>
      <c r="F542" s="261"/>
      <c r="H542" s="275"/>
      <c r="I542" s="275"/>
      <c r="J542" s="275"/>
      <c r="K542" s="275"/>
      <c r="L542" s="275"/>
      <c r="M542" s="260"/>
      <c r="N542" s="260"/>
      <c r="O542" s="99"/>
      <c r="P542" s="99"/>
      <c r="Q542" s="99"/>
      <c r="R542" s="99"/>
      <c r="S542" s="99"/>
      <c r="T542" s="99"/>
      <c r="U542" s="99"/>
      <c r="V542" s="99"/>
      <c r="W542" s="99"/>
      <c r="X542" s="99"/>
      <c r="Y542" s="99"/>
      <c r="Z542" s="99"/>
      <c r="AB542" s="84"/>
      <c r="AC542" s="122"/>
      <c r="AD542" s="84"/>
      <c r="AE542" s="84"/>
      <c r="AF542" s="84"/>
      <c r="AG542" s="84"/>
      <c r="AH542" s="84"/>
      <c r="AI542" s="84"/>
    </row>
    <row r="543" ht="15.75" customHeight="1">
      <c r="A543" s="122"/>
      <c r="B543" s="122"/>
      <c r="C543" s="122"/>
      <c r="D543" s="84"/>
      <c r="E543" s="84"/>
      <c r="F543" s="261"/>
      <c r="H543" s="275"/>
      <c r="I543" s="275"/>
      <c r="J543" s="275"/>
      <c r="K543" s="275"/>
      <c r="L543" s="275"/>
      <c r="M543" s="260"/>
      <c r="N543" s="260"/>
      <c r="O543" s="99"/>
      <c r="P543" s="99"/>
      <c r="Q543" s="99"/>
      <c r="R543" s="99"/>
      <c r="S543" s="99"/>
      <c r="T543" s="99"/>
      <c r="U543" s="99"/>
      <c r="V543" s="99"/>
      <c r="W543" s="99"/>
      <c r="X543" s="99"/>
      <c r="Y543" s="99"/>
      <c r="Z543" s="99"/>
      <c r="AB543" s="84"/>
      <c r="AC543" s="122"/>
      <c r="AD543" s="84"/>
      <c r="AE543" s="84"/>
      <c r="AF543" s="84"/>
      <c r="AG543" s="84"/>
      <c r="AH543" s="84"/>
      <c r="AI543" s="84"/>
    </row>
    <row r="544" ht="15.75" customHeight="1">
      <c r="A544" s="122"/>
      <c r="B544" s="122"/>
      <c r="C544" s="122"/>
      <c r="D544" s="84"/>
      <c r="E544" s="84"/>
      <c r="F544" s="261"/>
      <c r="H544" s="275"/>
      <c r="I544" s="275"/>
      <c r="J544" s="275"/>
      <c r="K544" s="275"/>
      <c r="L544" s="275"/>
      <c r="M544" s="260"/>
      <c r="N544" s="260"/>
      <c r="O544" s="99"/>
      <c r="P544" s="99"/>
      <c r="Q544" s="99"/>
      <c r="R544" s="99"/>
      <c r="S544" s="99"/>
      <c r="T544" s="99"/>
      <c r="U544" s="99"/>
      <c r="V544" s="99"/>
      <c r="W544" s="99"/>
      <c r="X544" s="99"/>
      <c r="Y544" s="99"/>
      <c r="Z544" s="99"/>
      <c r="AB544" s="84"/>
      <c r="AC544" s="122"/>
      <c r="AD544" s="84"/>
      <c r="AE544" s="84"/>
      <c r="AF544" s="84"/>
      <c r="AG544" s="84"/>
      <c r="AH544" s="84"/>
      <c r="AI544" s="84"/>
    </row>
    <row r="545" ht="15.75" customHeight="1">
      <c r="A545" s="122"/>
      <c r="B545" s="122"/>
      <c r="C545" s="122"/>
      <c r="D545" s="84"/>
      <c r="E545" s="84"/>
      <c r="F545" s="261"/>
      <c r="H545" s="275"/>
      <c r="I545" s="275"/>
      <c r="J545" s="275"/>
      <c r="K545" s="275"/>
      <c r="L545" s="275"/>
      <c r="M545" s="260"/>
      <c r="N545" s="260"/>
      <c r="O545" s="99"/>
      <c r="P545" s="99"/>
      <c r="Q545" s="99"/>
      <c r="R545" s="99"/>
      <c r="S545" s="99"/>
      <c r="T545" s="99"/>
      <c r="U545" s="99"/>
      <c r="V545" s="99"/>
      <c r="W545" s="99"/>
      <c r="X545" s="99"/>
      <c r="Y545" s="99"/>
      <c r="Z545" s="99"/>
      <c r="AB545" s="84"/>
      <c r="AC545" s="122"/>
      <c r="AD545" s="84"/>
      <c r="AE545" s="84"/>
      <c r="AF545" s="84"/>
      <c r="AG545" s="84"/>
      <c r="AH545" s="84"/>
      <c r="AI545" s="84"/>
    </row>
    <row r="546" ht="15.75" customHeight="1">
      <c r="A546" s="122"/>
      <c r="B546" s="122"/>
      <c r="C546" s="122"/>
      <c r="D546" s="84"/>
      <c r="E546" s="84"/>
      <c r="F546" s="261"/>
      <c r="H546" s="275"/>
      <c r="I546" s="275"/>
      <c r="J546" s="275"/>
      <c r="K546" s="275"/>
      <c r="L546" s="275"/>
      <c r="M546" s="260"/>
      <c r="N546" s="260"/>
      <c r="O546" s="99"/>
      <c r="P546" s="99"/>
      <c r="Q546" s="99"/>
      <c r="R546" s="99"/>
      <c r="S546" s="99"/>
      <c r="T546" s="99"/>
      <c r="U546" s="99"/>
      <c r="V546" s="99"/>
      <c r="W546" s="99"/>
      <c r="X546" s="99"/>
      <c r="Y546" s="99"/>
      <c r="Z546" s="99"/>
      <c r="AB546" s="84"/>
      <c r="AC546" s="122"/>
      <c r="AD546" s="84"/>
      <c r="AE546" s="84"/>
      <c r="AF546" s="84"/>
      <c r="AG546" s="84"/>
      <c r="AH546" s="84"/>
      <c r="AI546" s="84"/>
    </row>
    <row r="547" ht="15.75" customHeight="1">
      <c r="A547" s="122"/>
      <c r="B547" s="122"/>
      <c r="C547" s="122"/>
      <c r="D547" s="84"/>
      <c r="E547" s="84"/>
      <c r="F547" s="261"/>
      <c r="H547" s="275"/>
      <c r="I547" s="275"/>
      <c r="J547" s="275"/>
      <c r="K547" s="275"/>
      <c r="L547" s="275"/>
      <c r="M547" s="260"/>
      <c r="N547" s="260"/>
      <c r="O547" s="99"/>
      <c r="P547" s="99"/>
      <c r="Q547" s="99"/>
      <c r="R547" s="99"/>
      <c r="S547" s="99"/>
      <c r="T547" s="99"/>
      <c r="U547" s="99"/>
      <c r="V547" s="99"/>
      <c r="W547" s="99"/>
      <c r="X547" s="99"/>
      <c r="Y547" s="99"/>
      <c r="Z547" s="99"/>
      <c r="AB547" s="84"/>
      <c r="AC547" s="123"/>
      <c r="AD547" s="84"/>
      <c r="AE547" s="84"/>
      <c r="AF547" s="84"/>
      <c r="AG547" s="84"/>
      <c r="AH547" s="84"/>
      <c r="AI547" s="84"/>
    </row>
    <row r="548" ht="15.75" customHeight="1">
      <c r="A548" s="122"/>
      <c r="B548" s="122"/>
      <c r="C548" s="122"/>
      <c r="D548" s="84"/>
      <c r="E548" s="84"/>
      <c r="F548" s="261"/>
      <c r="H548" s="275"/>
      <c r="I548" s="275"/>
      <c r="J548" s="275"/>
      <c r="K548" s="275"/>
      <c r="L548" s="275"/>
      <c r="M548" s="260"/>
      <c r="N548" s="260"/>
      <c r="O548" s="99"/>
      <c r="P548" s="99"/>
      <c r="Q548" s="99"/>
      <c r="R548" s="99"/>
      <c r="S548" s="99"/>
      <c r="T548" s="99"/>
      <c r="U548" s="99"/>
      <c r="V548" s="99"/>
      <c r="W548" s="99"/>
      <c r="X548" s="99"/>
      <c r="Y548" s="99"/>
      <c r="Z548" s="99"/>
      <c r="AB548" s="122"/>
      <c r="AC548" s="84"/>
      <c r="AD548" s="122"/>
      <c r="AE548" s="122"/>
      <c r="AF548" s="122"/>
      <c r="AG548" s="122"/>
      <c r="AH548" s="122"/>
      <c r="AI548" s="122"/>
    </row>
    <row r="549" ht="15.75" customHeight="1">
      <c r="A549" s="122"/>
      <c r="B549" s="122"/>
      <c r="C549" s="122"/>
      <c r="D549" s="84"/>
      <c r="E549" s="84"/>
      <c r="F549" s="261"/>
      <c r="H549" s="275"/>
      <c r="I549" s="275"/>
      <c r="J549" s="275"/>
      <c r="K549" s="275"/>
      <c r="L549" s="275"/>
      <c r="M549" s="260"/>
      <c r="N549" s="260"/>
      <c r="O549" s="99"/>
      <c r="P549" s="99"/>
      <c r="Q549" s="99"/>
      <c r="R549" s="99"/>
      <c r="S549" s="99"/>
      <c r="T549" s="99"/>
      <c r="U549" s="99"/>
      <c r="V549" s="99"/>
      <c r="W549" s="99"/>
      <c r="X549" s="99"/>
      <c r="Y549" s="99"/>
      <c r="Z549" s="99"/>
      <c r="AB549" s="122"/>
      <c r="AC549" s="84"/>
      <c r="AD549" s="122"/>
      <c r="AE549" s="122"/>
      <c r="AF549" s="122"/>
      <c r="AG549" s="122"/>
      <c r="AH549" s="122"/>
      <c r="AI549" s="122"/>
    </row>
    <row r="550" ht="15.75" customHeight="1">
      <c r="A550" s="122"/>
      <c r="B550" s="122"/>
      <c r="C550" s="122"/>
      <c r="D550" s="84"/>
      <c r="E550" s="84"/>
      <c r="F550" s="261"/>
      <c r="H550" s="275"/>
      <c r="I550" s="275"/>
      <c r="J550" s="275"/>
      <c r="K550" s="275"/>
      <c r="L550" s="275"/>
      <c r="M550" s="260"/>
      <c r="N550" s="260"/>
      <c r="O550" s="99"/>
      <c r="P550" s="99"/>
      <c r="Q550" s="99"/>
      <c r="R550" s="99"/>
      <c r="S550" s="99"/>
      <c r="T550" s="99"/>
      <c r="U550" s="99"/>
      <c r="V550" s="99"/>
      <c r="W550" s="99"/>
      <c r="X550" s="99"/>
      <c r="Y550" s="99"/>
      <c r="Z550" s="99"/>
      <c r="AB550" s="122"/>
      <c r="AC550" s="84"/>
      <c r="AD550" s="122"/>
      <c r="AE550" s="122"/>
      <c r="AF550" s="122"/>
      <c r="AG550" s="122"/>
      <c r="AH550" s="122"/>
      <c r="AI550" s="122"/>
    </row>
    <row r="551" ht="15.75" customHeight="1">
      <c r="A551" s="123"/>
      <c r="B551" s="123"/>
      <c r="C551" s="123"/>
      <c r="D551" s="84"/>
      <c r="E551" s="84"/>
      <c r="F551" s="261"/>
      <c r="H551" s="275"/>
      <c r="I551" s="275"/>
      <c r="J551" s="275"/>
      <c r="K551" s="275"/>
      <c r="L551" s="275"/>
      <c r="M551" s="260"/>
      <c r="N551" s="260"/>
      <c r="O551" s="99"/>
      <c r="P551" s="99"/>
      <c r="Q551" s="99"/>
      <c r="R551" s="99"/>
      <c r="S551" s="99"/>
      <c r="T551" s="99"/>
      <c r="U551" s="99"/>
      <c r="V551" s="99"/>
      <c r="W551" s="99"/>
      <c r="X551" s="99"/>
      <c r="Y551" s="99"/>
      <c r="Z551" s="99"/>
      <c r="AB551" s="122"/>
      <c r="AC551" s="84"/>
      <c r="AD551" s="122"/>
      <c r="AE551" s="122"/>
      <c r="AF551" s="122"/>
      <c r="AG551" s="122"/>
      <c r="AH551" s="122"/>
      <c r="AI551" s="122"/>
    </row>
    <row r="552" ht="15.75" customHeight="1">
      <c r="A552" s="84"/>
      <c r="B552" s="84"/>
      <c r="C552" s="84"/>
      <c r="D552" s="84"/>
      <c r="E552" s="84"/>
      <c r="F552" s="261"/>
      <c r="H552" s="275"/>
      <c r="I552" s="275"/>
      <c r="J552" s="275"/>
      <c r="K552" s="275"/>
      <c r="L552" s="275"/>
      <c r="M552" s="260"/>
      <c r="N552" s="260"/>
      <c r="O552" s="99"/>
      <c r="P552" s="99"/>
      <c r="Q552" s="99"/>
      <c r="R552" s="99"/>
      <c r="S552" s="99"/>
      <c r="T552" s="99"/>
      <c r="U552" s="99"/>
      <c r="V552" s="99"/>
      <c r="W552" s="99"/>
      <c r="X552" s="99"/>
      <c r="Y552" s="99"/>
      <c r="Z552" s="99"/>
      <c r="AB552" s="122"/>
      <c r="AC552" s="84"/>
      <c r="AD552" s="122"/>
      <c r="AE552" s="122"/>
      <c r="AF552" s="122"/>
      <c r="AG552" s="122"/>
      <c r="AH552" s="122"/>
      <c r="AI552" s="122"/>
    </row>
    <row r="553" ht="15.75" customHeight="1">
      <c r="A553" s="84"/>
      <c r="B553" s="84"/>
      <c r="C553" s="84"/>
      <c r="D553" s="84"/>
      <c r="E553" s="84"/>
      <c r="F553" s="261"/>
      <c r="H553" s="275"/>
      <c r="I553" s="275"/>
      <c r="J553" s="275"/>
      <c r="K553" s="275"/>
      <c r="L553" s="275"/>
      <c r="M553" s="260"/>
      <c r="N553" s="260"/>
      <c r="O553" s="99"/>
      <c r="P553" s="99"/>
      <c r="Q553" s="99"/>
      <c r="R553" s="99"/>
      <c r="S553" s="99"/>
      <c r="T553" s="99"/>
      <c r="U553" s="99"/>
      <c r="V553" s="99"/>
      <c r="W553" s="99"/>
      <c r="X553" s="99"/>
      <c r="Y553" s="99"/>
      <c r="Z553" s="99"/>
      <c r="AB553" s="122"/>
      <c r="AC553" s="84"/>
      <c r="AD553" s="122"/>
      <c r="AE553" s="122"/>
      <c r="AF553" s="122"/>
      <c r="AG553" s="122"/>
      <c r="AH553" s="122"/>
      <c r="AI553" s="122"/>
    </row>
    <row r="554" ht="15.75" customHeight="1">
      <c r="A554" s="84"/>
      <c r="B554" s="84"/>
      <c r="C554" s="84"/>
      <c r="D554" s="84"/>
      <c r="E554" s="84"/>
      <c r="F554" s="261"/>
      <c r="H554" s="275"/>
      <c r="I554" s="275"/>
      <c r="J554" s="275"/>
      <c r="K554" s="275"/>
      <c r="L554" s="275"/>
      <c r="M554" s="260"/>
      <c r="N554" s="260"/>
      <c r="O554" s="99"/>
      <c r="P554" s="99"/>
      <c r="Q554" s="99"/>
      <c r="R554" s="99"/>
      <c r="S554" s="99"/>
      <c r="T554" s="99"/>
      <c r="U554" s="99"/>
      <c r="V554" s="99"/>
      <c r="W554" s="99"/>
      <c r="X554" s="99"/>
      <c r="Y554" s="99"/>
      <c r="Z554" s="99"/>
      <c r="AB554" s="122"/>
      <c r="AC554" s="84"/>
      <c r="AD554" s="122"/>
      <c r="AE554" s="122"/>
      <c r="AF554" s="122"/>
      <c r="AG554" s="122"/>
      <c r="AH554" s="122"/>
      <c r="AI554" s="122"/>
    </row>
    <row r="555" ht="15.75" customHeight="1">
      <c r="A555" s="84"/>
      <c r="B555" s="84"/>
      <c r="C555" s="84"/>
      <c r="D555" s="84"/>
      <c r="E555" s="84"/>
      <c r="F555" s="261"/>
      <c r="H555" s="275"/>
      <c r="I555" s="275"/>
      <c r="J555" s="275"/>
      <c r="K555" s="275"/>
      <c r="L555" s="275"/>
      <c r="M555" s="260"/>
      <c r="N555" s="260"/>
      <c r="O555" s="99"/>
      <c r="P555" s="99"/>
      <c r="Q555" s="99"/>
      <c r="R555" s="99"/>
      <c r="S555" s="99"/>
      <c r="T555" s="99"/>
      <c r="U555" s="99"/>
      <c r="V555" s="99"/>
      <c r="W555" s="99"/>
      <c r="X555" s="99"/>
      <c r="Y555" s="99"/>
      <c r="Z555" s="99"/>
      <c r="AB555" s="122"/>
      <c r="AC555" s="84"/>
      <c r="AD555" s="122"/>
      <c r="AE555" s="122"/>
      <c r="AF555" s="122"/>
      <c r="AG555" s="122"/>
      <c r="AH555" s="122"/>
      <c r="AI555" s="122"/>
    </row>
    <row r="556" ht="15.75" customHeight="1">
      <c r="A556" s="84"/>
      <c r="B556" s="84"/>
      <c r="C556" s="84"/>
      <c r="D556" s="84"/>
      <c r="E556" s="84"/>
      <c r="F556" s="261"/>
      <c r="H556" s="275"/>
      <c r="I556" s="275"/>
      <c r="J556" s="275"/>
      <c r="K556" s="275"/>
      <c r="L556" s="275"/>
      <c r="M556" s="260"/>
      <c r="N556" s="260"/>
      <c r="O556" s="99"/>
      <c r="P556" s="99"/>
      <c r="Q556" s="99"/>
      <c r="R556" s="99"/>
      <c r="S556" s="99"/>
      <c r="T556" s="99"/>
      <c r="U556" s="99"/>
      <c r="V556" s="99"/>
      <c r="W556" s="99"/>
      <c r="X556" s="99"/>
      <c r="Y556" s="99"/>
      <c r="Z556" s="99"/>
      <c r="AB556" s="122"/>
      <c r="AC556" s="84"/>
      <c r="AD556" s="122"/>
      <c r="AE556" s="122"/>
      <c r="AF556" s="122"/>
      <c r="AG556" s="122"/>
      <c r="AH556" s="122"/>
      <c r="AI556" s="122"/>
    </row>
    <row r="557" ht="15.75" customHeight="1">
      <c r="A557" s="84"/>
      <c r="B557" s="84"/>
      <c r="C557" s="84"/>
      <c r="D557" s="84"/>
      <c r="E557" s="84"/>
      <c r="F557" s="261"/>
      <c r="H557" s="275"/>
      <c r="I557" s="275"/>
      <c r="J557" s="275"/>
      <c r="K557" s="275"/>
      <c r="L557" s="275"/>
      <c r="M557" s="260"/>
      <c r="N557" s="260"/>
      <c r="O557" s="99"/>
      <c r="P557" s="99"/>
      <c r="Q557" s="99"/>
      <c r="R557" s="99"/>
      <c r="S557" s="99"/>
      <c r="T557" s="99"/>
      <c r="U557" s="99"/>
      <c r="V557" s="99"/>
      <c r="W557" s="99"/>
      <c r="X557" s="99"/>
      <c r="Y557" s="99"/>
      <c r="Z557" s="99"/>
      <c r="AB557" s="122"/>
      <c r="AC557" s="84"/>
      <c r="AD557" s="122"/>
      <c r="AE557" s="122"/>
      <c r="AF557" s="122"/>
      <c r="AG557" s="122"/>
      <c r="AH557" s="122"/>
      <c r="AI557" s="122"/>
    </row>
    <row r="558" ht="15.75" customHeight="1">
      <c r="A558" s="84"/>
      <c r="B558" s="84"/>
      <c r="C558" s="84"/>
      <c r="D558" s="84"/>
      <c r="E558" s="84"/>
      <c r="F558" s="261"/>
      <c r="H558" s="275"/>
      <c r="I558" s="275"/>
      <c r="J558" s="275"/>
      <c r="K558" s="275"/>
      <c r="L558" s="275"/>
      <c r="M558" s="260"/>
      <c r="N558" s="260"/>
      <c r="O558" s="99"/>
      <c r="P558" s="99"/>
      <c r="Q558" s="99"/>
      <c r="R558" s="99"/>
      <c r="S558" s="99"/>
      <c r="T558" s="99"/>
      <c r="U558" s="99"/>
      <c r="V558" s="99"/>
      <c r="W558" s="99"/>
      <c r="X558" s="99"/>
      <c r="Y558" s="99"/>
      <c r="Z558" s="99"/>
      <c r="AB558" s="123"/>
      <c r="AC558" s="84"/>
      <c r="AD558" s="123"/>
      <c r="AE558" s="123"/>
      <c r="AF558" s="123"/>
      <c r="AG558" s="123"/>
      <c r="AH558" s="123"/>
      <c r="AI558" s="123"/>
    </row>
    <row r="559" ht="15.75" customHeight="1">
      <c r="A559" s="84"/>
      <c r="B559" s="84"/>
      <c r="C559" s="84"/>
      <c r="D559" s="84"/>
      <c r="E559" s="84"/>
      <c r="F559" s="261"/>
      <c r="H559" s="275"/>
      <c r="I559" s="275"/>
      <c r="J559" s="275"/>
      <c r="K559" s="275"/>
      <c r="L559" s="275"/>
      <c r="M559" s="260"/>
      <c r="N559" s="260"/>
      <c r="O559" s="99"/>
      <c r="P559" s="99"/>
      <c r="Q559" s="99"/>
      <c r="R559" s="99"/>
      <c r="S559" s="99"/>
      <c r="T559" s="99"/>
      <c r="U559" s="99"/>
      <c r="V559" s="99"/>
      <c r="W559" s="99"/>
      <c r="X559" s="99"/>
      <c r="Y559" s="99"/>
      <c r="Z559" s="99"/>
      <c r="AB559" s="84"/>
      <c r="AC559" s="84"/>
      <c r="AD559" s="84"/>
      <c r="AE559" s="84"/>
      <c r="AF559" s="84"/>
      <c r="AG559" s="84"/>
      <c r="AH559" s="84"/>
      <c r="AI559" s="84"/>
    </row>
    <row r="560" ht="15.75" customHeight="1">
      <c r="A560" s="84"/>
      <c r="B560" s="84"/>
      <c r="C560" s="84"/>
      <c r="D560" s="84"/>
      <c r="E560" s="84"/>
      <c r="F560" s="261"/>
      <c r="H560" s="275"/>
      <c r="I560" s="275"/>
      <c r="J560" s="275"/>
      <c r="K560" s="275"/>
      <c r="L560" s="275"/>
      <c r="M560" s="260"/>
      <c r="N560" s="260"/>
      <c r="O560" s="99"/>
      <c r="P560" s="99"/>
      <c r="Q560" s="99"/>
      <c r="R560" s="99"/>
      <c r="S560" s="99"/>
      <c r="T560" s="99"/>
      <c r="U560" s="99"/>
      <c r="V560" s="99"/>
      <c r="W560" s="99"/>
      <c r="X560" s="99"/>
      <c r="Y560" s="99"/>
      <c r="Z560" s="99"/>
      <c r="AB560" s="84"/>
      <c r="AC560" s="84"/>
      <c r="AD560" s="84"/>
      <c r="AE560" s="84"/>
      <c r="AF560" s="84"/>
      <c r="AG560" s="84"/>
      <c r="AH560" s="84"/>
      <c r="AI560" s="84"/>
    </row>
    <row r="561" ht="15.75" customHeight="1">
      <c r="A561" s="84"/>
      <c r="B561" s="84"/>
      <c r="C561" s="84"/>
      <c r="D561" s="84"/>
      <c r="E561" s="84"/>
      <c r="F561" s="261"/>
      <c r="H561" s="275"/>
      <c r="I561" s="275"/>
      <c r="J561" s="275"/>
      <c r="K561" s="275"/>
      <c r="L561" s="275"/>
      <c r="M561" s="260"/>
      <c r="N561" s="260"/>
      <c r="O561" s="99"/>
      <c r="P561" s="99"/>
      <c r="Q561" s="99"/>
      <c r="R561" s="99"/>
      <c r="S561" s="99"/>
      <c r="T561" s="99"/>
      <c r="U561" s="99"/>
      <c r="V561" s="99"/>
      <c r="W561" s="99"/>
      <c r="X561" s="99"/>
      <c r="Y561" s="99"/>
      <c r="Z561" s="99"/>
      <c r="AB561" s="84"/>
      <c r="AC561" s="84"/>
      <c r="AD561" s="84"/>
      <c r="AE561" s="84"/>
      <c r="AF561" s="84"/>
      <c r="AG561" s="84"/>
      <c r="AH561" s="84"/>
      <c r="AI561" s="84"/>
    </row>
    <row r="562" ht="15.75" customHeight="1">
      <c r="A562" s="84"/>
      <c r="B562" s="84"/>
      <c r="C562" s="84"/>
      <c r="D562" s="84"/>
      <c r="E562" s="84"/>
      <c r="F562" s="261"/>
      <c r="H562" s="275"/>
      <c r="I562" s="275"/>
      <c r="J562" s="275"/>
      <c r="K562" s="275"/>
      <c r="L562" s="275"/>
      <c r="M562" s="260"/>
      <c r="N562" s="260"/>
      <c r="O562" s="99"/>
      <c r="P562" s="99"/>
      <c r="Q562" s="99"/>
      <c r="R562" s="99"/>
      <c r="S562" s="99"/>
      <c r="T562" s="99"/>
      <c r="U562" s="99"/>
      <c r="V562" s="99"/>
      <c r="W562" s="99"/>
      <c r="X562" s="99"/>
      <c r="Y562" s="99"/>
      <c r="Z562" s="99"/>
      <c r="AB562" s="84"/>
      <c r="AC562" s="84"/>
      <c r="AD562" s="84"/>
      <c r="AE562" s="84"/>
      <c r="AF562" s="84"/>
      <c r="AG562" s="84"/>
      <c r="AH562" s="84"/>
      <c r="AI562" s="84"/>
    </row>
    <row r="563" ht="15.75" customHeight="1">
      <c r="A563" s="84"/>
      <c r="B563" s="84"/>
      <c r="C563" s="84"/>
      <c r="D563" s="84"/>
      <c r="E563" s="84"/>
      <c r="F563" s="261"/>
      <c r="H563" s="275"/>
      <c r="I563" s="275"/>
      <c r="J563" s="275"/>
      <c r="K563" s="275"/>
      <c r="L563" s="275"/>
      <c r="M563" s="260"/>
      <c r="N563" s="260"/>
      <c r="O563" s="99"/>
      <c r="P563" s="99"/>
      <c r="Q563" s="99"/>
      <c r="R563" s="99"/>
      <c r="S563" s="99"/>
      <c r="T563" s="99"/>
      <c r="U563" s="99"/>
      <c r="V563" s="99"/>
      <c r="W563" s="99"/>
      <c r="X563" s="99"/>
      <c r="Y563" s="99"/>
      <c r="Z563" s="99"/>
      <c r="AB563" s="84"/>
      <c r="AC563" s="84"/>
      <c r="AD563" s="84"/>
      <c r="AE563" s="84"/>
      <c r="AF563" s="84"/>
      <c r="AG563" s="84"/>
      <c r="AH563" s="84"/>
      <c r="AI563" s="84"/>
    </row>
    <row r="564" ht="15.75" customHeight="1">
      <c r="A564" s="84"/>
      <c r="B564" s="84"/>
      <c r="C564" s="84"/>
      <c r="D564" s="84"/>
      <c r="E564" s="84"/>
      <c r="F564" s="261"/>
      <c r="H564" s="275"/>
      <c r="I564" s="275"/>
      <c r="J564" s="275"/>
      <c r="K564" s="275"/>
      <c r="L564" s="275"/>
      <c r="M564" s="260"/>
      <c r="N564" s="260"/>
      <c r="O564" s="99"/>
      <c r="P564" s="99"/>
      <c r="Q564" s="99"/>
      <c r="R564" s="99"/>
      <c r="S564" s="99"/>
      <c r="T564" s="99"/>
      <c r="U564" s="99"/>
      <c r="V564" s="99"/>
      <c r="W564" s="99"/>
      <c r="X564" s="99"/>
      <c r="Y564" s="99"/>
      <c r="Z564" s="99"/>
      <c r="AB564" s="84"/>
      <c r="AC564" s="84"/>
      <c r="AD564" s="84"/>
      <c r="AE564" s="84"/>
      <c r="AF564" s="84"/>
      <c r="AG564" s="84"/>
      <c r="AH564" s="84"/>
      <c r="AI564" s="84"/>
    </row>
    <row r="565" ht="15.75" customHeight="1">
      <c r="A565" s="84"/>
      <c r="B565" s="84"/>
      <c r="C565" s="84"/>
      <c r="D565" s="84"/>
      <c r="E565" s="84"/>
      <c r="F565" s="261"/>
      <c r="H565" s="275"/>
      <c r="I565" s="275"/>
      <c r="J565" s="275"/>
      <c r="K565" s="275"/>
      <c r="L565" s="275"/>
      <c r="M565" s="260"/>
      <c r="N565" s="260"/>
      <c r="O565" s="99"/>
      <c r="P565" s="99"/>
      <c r="Q565" s="99"/>
      <c r="R565" s="99"/>
      <c r="S565" s="99"/>
      <c r="T565" s="99"/>
      <c r="U565" s="99"/>
      <c r="V565" s="99"/>
      <c r="W565" s="99"/>
      <c r="X565" s="99"/>
      <c r="Y565" s="99"/>
      <c r="Z565" s="99"/>
      <c r="AB565" s="84"/>
      <c r="AC565" s="84"/>
      <c r="AD565" s="84"/>
      <c r="AE565" s="84"/>
      <c r="AF565" s="84"/>
      <c r="AG565" s="84"/>
      <c r="AH565" s="84"/>
      <c r="AI565" s="84"/>
    </row>
    <row r="566" ht="15.75" customHeight="1">
      <c r="A566" s="84"/>
      <c r="B566" s="84"/>
      <c r="C566" s="84"/>
      <c r="D566" s="84"/>
      <c r="E566" s="84"/>
      <c r="F566" s="261"/>
      <c r="H566" s="275"/>
      <c r="I566" s="275"/>
      <c r="J566" s="275"/>
      <c r="K566" s="275"/>
      <c r="L566" s="275"/>
      <c r="M566" s="260"/>
      <c r="N566" s="260"/>
      <c r="O566" s="99"/>
      <c r="P566" s="99"/>
      <c r="Q566" s="99"/>
      <c r="R566" s="99"/>
      <c r="S566" s="99"/>
      <c r="T566" s="99"/>
      <c r="U566" s="99"/>
      <c r="V566" s="99"/>
      <c r="W566" s="99"/>
      <c r="X566" s="99"/>
      <c r="Y566" s="99"/>
      <c r="Z566" s="99"/>
      <c r="AB566" s="84"/>
      <c r="AC566" s="84"/>
      <c r="AD566" s="84"/>
      <c r="AE566" s="84"/>
      <c r="AF566" s="84"/>
      <c r="AG566" s="84"/>
      <c r="AH566" s="84"/>
      <c r="AI566" s="84"/>
    </row>
    <row r="567" ht="15.75" customHeight="1">
      <c r="A567" s="84"/>
      <c r="B567" s="84"/>
      <c r="C567" s="84"/>
      <c r="D567" s="84"/>
      <c r="E567" s="84"/>
      <c r="F567" s="261"/>
      <c r="H567" s="275"/>
      <c r="I567" s="275"/>
      <c r="J567" s="275"/>
      <c r="K567" s="275"/>
      <c r="L567" s="275"/>
      <c r="M567" s="260"/>
      <c r="N567" s="260"/>
      <c r="O567" s="99"/>
      <c r="P567" s="99"/>
      <c r="Q567" s="99"/>
      <c r="R567" s="99"/>
      <c r="S567" s="99"/>
      <c r="T567" s="99"/>
      <c r="U567" s="99"/>
      <c r="V567" s="99"/>
      <c r="W567" s="99"/>
      <c r="X567" s="99"/>
      <c r="Y567" s="99"/>
      <c r="Z567" s="99"/>
      <c r="AB567" s="84"/>
      <c r="AC567" s="84"/>
      <c r="AD567" s="84"/>
      <c r="AE567" s="84"/>
      <c r="AF567" s="84"/>
      <c r="AG567" s="84"/>
      <c r="AH567" s="84"/>
      <c r="AI567" s="84"/>
    </row>
    <row r="568" ht="15.75" customHeight="1">
      <c r="A568" s="84"/>
      <c r="B568" s="84"/>
      <c r="C568" s="84"/>
      <c r="D568" s="84"/>
      <c r="E568" s="84"/>
      <c r="F568" s="261"/>
      <c r="H568" s="275"/>
      <c r="I568" s="275"/>
      <c r="J568" s="275"/>
      <c r="K568" s="275"/>
      <c r="L568" s="275"/>
      <c r="M568" s="260"/>
      <c r="N568" s="260"/>
      <c r="O568" s="99"/>
      <c r="P568" s="99"/>
      <c r="Q568" s="99"/>
      <c r="R568" s="99"/>
      <c r="S568" s="99"/>
      <c r="T568" s="99"/>
      <c r="U568" s="99"/>
      <c r="V568" s="99"/>
      <c r="W568" s="99"/>
      <c r="X568" s="99"/>
      <c r="Y568" s="99"/>
      <c r="Z568" s="99"/>
      <c r="AB568" s="84"/>
      <c r="AC568" s="84"/>
      <c r="AD568" s="84"/>
      <c r="AE568" s="84"/>
      <c r="AF568" s="84"/>
      <c r="AG568" s="84"/>
      <c r="AH568" s="84"/>
      <c r="AI568" s="84"/>
    </row>
    <row r="569" ht="15.75" customHeight="1">
      <c r="A569" s="84"/>
      <c r="B569" s="84"/>
      <c r="C569" s="84"/>
      <c r="D569" s="84"/>
      <c r="E569" s="84"/>
      <c r="F569" s="261"/>
      <c r="H569" s="275"/>
      <c r="I569" s="275"/>
      <c r="J569" s="275"/>
      <c r="K569" s="275"/>
      <c r="L569" s="275"/>
      <c r="M569" s="260"/>
      <c r="N569" s="260"/>
      <c r="O569" s="99"/>
      <c r="P569" s="99"/>
      <c r="Q569" s="99"/>
      <c r="R569" s="99"/>
      <c r="S569" s="99"/>
      <c r="T569" s="99"/>
      <c r="U569" s="99"/>
      <c r="V569" s="99"/>
      <c r="W569" s="99"/>
      <c r="X569" s="99"/>
      <c r="Y569" s="99"/>
      <c r="Z569" s="99"/>
      <c r="AB569" s="84"/>
      <c r="AC569" s="84"/>
      <c r="AD569" s="84"/>
      <c r="AE569" s="84"/>
      <c r="AF569" s="84"/>
      <c r="AG569" s="84"/>
      <c r="AH569" s="84"/>
      <c r="AI569" s="84"/>
    </row>
    <row r="570" ht="15.75" customHeight="1">
      <c r="A570" s="84"/>
      <c r="B570" s="84"/>
      <c r="C570" s="84"/>
      <c r="D570" s="84"/>
      <c r="E570" s="84"/>
      <c r="F570" s="261"/>
      <c r="H570" s="275"/>
      <c r="I570" s="275"/>
      <c r="J570" s="275"/>
      <c r="K570" s="275"/>
      <c r="L570" s="275"/>
      <c r="M570" s="260"/>
      <c r="N570" s="260"/>
      <c r="O570" s="99"/>
      <c r="P570" s="99"/>
      <c r="Q570" s="99"/>
      <c r="R570" s="99"/>
      <c r="S570" s="99"/>
      <c r="T570" s="99"/>
      <c r="U570" s="99"/>
      <c r="V570" s="99"/>
      <c r="W570" s="99"/>
      <c r="X570" s="99"/>
      <c r="Y570" s="99"/>
      <c r="Z570" s="99"/>
      <c r="AB570" s="84"/>
      <c r="AC570" s="84"/>
      <c r="AD570" s="84"/>
      <c r="AE570" s="84"/>
      <c r="AF570" s="84"/>
      <c r="AG570" s="84"/>
      <c r="AH570" s="84"/>
      <c r="AI570" s="84"/>
    </row>
    <row r="571" ht="15.75" customHeight="1">
      <c r="A571" s="84"/>
      <c r="B571" s="84"/>
      <c r="C571" s="84"/>
      <c r="D571" s="84"/>
      <c r="E571" s="84"/>
      <c r="F571" s="261"/>
      <c r="H571" s="275"/>
      <c r="I571" s="275"/>
      <c r="J571" s="275"/>
      <c r="K571" s="275"/>
      <c r="L571" s="275"/>
      <c r="M571" s="260"/>
      <c r="N571" s="260"/>
      <c r="O571" s="99"/>
      <c r="P571" s="99"/>
      <c r="Q571" s="99"/>
      <c r="R571" s="99"/>
      <c r="S571" s="99"/>
      <c r="T571" s="99"/>
      <c r="U571" s="99"/>
      <c r="V571" s="99"/>
      <c r="W571" s="99"/>
      <c r="X571" s="99"/>
      <c r="Y571" s="99"/>
      <c r="Z571" s="99"/>
      <c r="AB571" s="84"/>
      <c r="AC571" s="84"/>
      <c r="AD571" s="84"/>
      <c r="AE571" s="84"/>
      <c r="AF571" s="84"/>
      <c r="AG571" s="84"/>
      <c r="AH571" s="84"/>
      <c r="AI571" s="84"/>
    </row>
    <row r="572" ht="15.75" customHeight="1">
      <c r="A572" s="84"/>
      <c r="B572" s="84"/>
      <c r="C572" s="84"/>
      <c r="D572" s="84"/>
      <c r="E572" s="84"/>
      <c r="F572" s="261"/>
      <c r="H572" s="275"/>
      <c r="I572" s="275"/>
      <c r="J572" s="275"/>
      <c r="K572" s="275"/>
      <c r="L572" s="275"/>
      <c r="M572" s="260"/>
      <c r="N572" s="260"/>
      <c r="O572" s="99"/>
      <c r="P572" s="99"/>
      <c r="Q572" s="99"/>
      <c r="R572" s="99"/>
      <c r="S572" s="99"/>
      <c r="T572" s="99"/>
      <c r="U572" s="99"/>
      <c r="V572" s="99"/>
      <c r="W572" s="99"/>
      <c r="X572" s="99"/>
      <c r="Y572" s="99"/>
      <c r="Z572" s="99"/>
      <c r="AB572" s="84"/>
      <c r="AC572" s="84"/>
      <c r="AD572" s="84"/>
      <c r="AE572" s="84"/>
      <c r="AF572" s="84"/>
      <c r="AG572" s="84"/>
      <c r="AH572" s="84"/>
      <c r="AI572" s="84"/>
    </row>
    <row r="573" ht="15.75" customHeight="1">
      <c r="A573" s="84"/>
      <c r="B573" s="84"/>
      <c r="C573" s="84"/>
      <c r="D573" s="84"/>
      <c r="E573" s="84"/>
      <c r="F573" s="261"/>
      <c r="H573" s="275"/>
      <c r="I573" s="275"/>
      <c r="J573" s="275"/>
      <c r="K573" s="275"/>
      <c r="L573" s="275"/>
      <c r="M573" s="260"/>
      <c r="N573" s="260"/>
      <c r="O573" s="99"/>
      <c r="P573" s="99"/>
      <c r="Q573" s="99"/>
      <c r="R573" s="99"/>
      <c r="S573" s="99"/>
      <c r="T573" s="99"/>
      <c r="U573" s="99"/>
      <c r="V573" s="99"/>
      <c r="W573" s="99"/>
      <c r="X573" s="99"/>
      <c r="Y573" s="99"/>
      <c r="Z573" s="99"/>
      <c r="AB573" s="84"/>
      <c r="AC573" s="84"/>
      <c r="AD573" s="84"/>
      <c r="AE573" s="84"/>
      <c r="AF573" s="84"/>
      <c r="AG573" s="84"/>
      <c r="AH573" s="84"/>
      <c r="AI573" s="84"/>
    </row>
    <row r="574" ht="15.75" customHeight="1">
      <c r="A574" s="84"/>
      <c r="B574" s="84"/>
      <c r="C574" s="84"/>
      <c r="D574" s="84"/>
      <c r="E574" s="84"/>
      <c r="F574" s="261"/>
      <c r="H574" s="275"/>
      <c r="I574" s="275"/>
      <c r="J574" s="275"/>
      <c r="K574" s="275"/>
      <c r="L574" s="275"/>
      <c r="M574" s="260"/>
      <c r="N574" s="260"/>
      <c r="O574" s="99"/>
      <c r="P574" s="99"/>
      <c r="Q574" s="99"/>
      <c r="R574" s="99"/>
      <c r="S574" s="99"/>
      <c r="T574" s="99"/>
      <c r="U574" s="99"/>
      <c r="V574" s="99"/>
      <c r="W574" s="99"/>
      <c r="X574" s="99"/>
      <c r="Y574" s="99"/>
      <c r="Z574" s="99"/>
      <c r="AB574" s="84"/>
      <c r="AC574" s="84"/>
      <c r="AD574" s="84"/>
      <c r="AE574" s="84"/>
      <c r="AF574" s="84"/>
      <c r="AG574" s="84"/>
      <c r="AH574" s="84"/>
      <c r="AI574" s="84"/>
    </row>
    <row r="575" ht="15.75" customHeight="1">
      <c r="A575" s="84"/>
      <c r="B575" s="84"/>
      <c r="C575" s="84"/>
      <c r="D575" s="84"/>
      <c r="E575" s="84"/>
      <c r="F575" s="261"/>
      <c r="H575" s="275"/>
      <c r="I575" s="275"/>
      <c r="J575" s="275"/>
      <c r="K575" s="275"/>
      <c r="L575" s="275"/>
      <c r="M575" s="260"/>
      <c r="N575" s="260"/>
      <c r="O575" s="99"/>
      <c r="P575" s="99"/>
      <c r="Q575" s="99"/>
      <c r="R575" s="99"/>
      <c r="S575" s="99"/>
      <c r="T575" s="99"/>
      <c r="U575" s="99"/>
      <c r="V575" s="99"/>
      <c r="W575" s="99"/>
      <c r="X575" s="99"/>
      <c r="Y575" s="99"/>
      <c r="Z575" s="99"/>
      <c r="AB575" s="84"/>
      <c r="AC575" s="84"/>
      <c r="AD575" s="84"/>
      <c r="AE575" s="84"/>
      <c r="AF575" s="84"/>
      <c r="AG575" s="84"/>
      <c r="AH575" s="84"/>
      <c r="AI575" s="84"/>
    </row>
    <row r="576" ht="15.75" customHeight="1">
      <c r="A576" s="84"/>
      <c r="B576" s="84"/>
      <c r="C576" s="84"/>
      <c r="D576" s="84"/>
      <c r="E576" s="84"/>
      <c r="F576" s="261"/>
      <c r="H576" s="275"/>
      <c r="I576" s="275"/>
      <c r="J576" s="275"/>
      <c r="K576" s="275"/>
      <c r="L576" s="275"/>
      <c r="M576" s="260"/>
      <c r="N576" s="260"/>
      <c r="O576" s="99"/>
      <c r="P576" s="99"/>
      <c r="Q576" s="99"/>
      <c r="R576" s="99"/>
      <c r="S576" s="99"/>
      <c r="T576" s="99"/>
      <c r="U576" s="99"/>
      <c r="V576" s="99"/>
      <c r="W576" s="99"/>
      <c r="X576" s="99"/>
      <c r="Y576" s="99"/>
      <c r="Z576" s="99"/>
      <c r="AB576" s="84"/>
      <c r="AC576" s="84"/>
      <c r="AD576" s="84"/>
      <c r="AE576" s="84"/>
      <c r="AF576" s="84"/>
      <c r="AG576" s="84"/>
      <c r="AH576" s="84"/>
      <c r="AI576" s="84"/>
    </row>
    <row r="577" ht="15.75" customHeight="1">
      <c r="A577" s="84"/>
      <c r="B577" s="84"/>
      <c r="C577" s="84"/>
      <c r="D577" s="84"/>
      <c r="E577" s="84"/>
      <c r="F577" s="261"/>
      <c r="H577" s="275"/>
      <c r="I577" s="275"/>
      <c r="J577" s="275"/>
      <c r="K577" s="275"/>
      <c r="L577" s="275"/>
      <c r="M577" s="260"/>
      <c r="N577" s="260"/>
      <c r="O577" s="99"/>
      <c r="P577" s="99"/>
      <c r="Q577" s="99"/>
      <c r="R577" s="99"/>
      <c r="S577" s="99"/>
      <c r="T577" s="99"/>
      <c r="U577" s="99"/>
      <c r="V577" s="99"/>
      <c r="W577" s="99"/>
      <c r="X577" s="99"/>
      <c r="Y577" s="99"/>
      <c r="Z577" s="99"/>
      <c r="AB577" s="84"/>
      <c r="AC577" s="84"/>
      <c r="AD577" s="84"/>
      <c r="AE577" s="84"/>
      <c r="AF577" s="84"/>
      <c r="AG577" s="84"/>
      <c r="AH577" s="84"/>
      <c r="AI577" s="84"/>
    </row>
    <row r="578" ht="15.75" customHeight="1">
      <c r="A578" s="84"/>
      <c r="B578" s="84"/>
      <c r="C578" s="84"/>
      <c r="D578" s="84"/>
      <c r="E578" s="84"/>
      <c r="F578" s="261"/>
      <c r="H578" s="275"/>
      <c r="I578" s="275"/>
      <c r="J578" s="275"/>
      <c r="K578" s="275"/>
      <c r="L578" s="275"/>
      <c r="M578" s="260"/>
      <c r="N578" s="260"/>
      <c r="O578" s="99"/>
      <c r="P578" s="99"/>
      <c r="Q578" s="99"/>
      <c r="R578" s="99"/>
      <c r="S578" s="99"/>
      <c r="T578" s="99"/>
      <c r="U578" s="99"/>
      <c r="V578" s="99"/>
      <c r="W578" s="99"/>
      <c r="X578" s="99"/>
      <c r="Y578" s="99"/>
      <c r="Z578" s="99"/>
      <c r="AB578" s="84"/>
      <c r="AC578" s="84"/>
      <c r="AD578" s="84"/>
      <c r="AE578" s="84"/>
      <c r="AF578" s="84"/>
      <c r="AG578" s="84"/>
      <c r="AH578" s="84"/>
      <c r="AI578" s="84"/>
    </row>
    <row r="579" ht="15.75" customHeight="1">
      <c r="A579" s="84"/>
      <c r="B579" s="84"/>
      <c r="C579" s="84"/>
      <c r="D579" s="84"/>
      <c r="E579" s="84"/>
      <c r="F579" s="261"/>
      <c r="H579" s="275"/>
      <c r="I579" s="275"/>
      <c r="J579" s="275"/>
      <c r="K579" s="275"/>
      <c r="L579" s="275"/>
      <c r="M579" s="260"/>
      <c r="N579" s="260"/>
      <c r="O579" s="99"/>
      <c r="P579" s="99"/>
      <c r="Q579" s="99"/>
      <c r="R579" s="99"/>
      <c r="S579" s="99"/>
      <c r="T579" s="99"/>
      <c r="U579" s="99"/>
      <c r="V579" s="99"/>
      <c r="W579" s="99"/>
      <c r="X579" s="99"/>
      <c r="Y579" s="99"/>
      <c r="Z579" s="99"/>
      <c r="AB579" s="84"/>
      <c r="AC579" s="84"/>
      <c r="AD579" s="84"/>
      <c r="AE579" s="84"/>
      <c r="AF579" s="84"/>
      <c r="AG579" s="84"/>
      <c r="AH579" s="84"/>
      <c r="AI579" s="84"/>
    </row>
    <row r="580" ht="15.75" customHeight="1">
      <c r="A580" s="84"/>
      <c r="B580" s="84"/>
      <c r="C580" s="84"/>
      <c r="D580" s="84"/>
      <c r="E580" s="84"/>
      <c r="F580" s="261"/>
      <c r="H580" s="275"/>
      <c r="I580" s="275"/>
      <c r="J580" s="275"/>
      <c r="K580" s="275"/>
      <c r="L580" s="275"/>
      <c r="M580" s="260"/>
      <c r="N580" s="260"/>
      <c r="O580" s="99"/>
      <c r="P580" s="99"/>
      <c r="Q580" s="99"/>
      <c r="R580" s="99"/>
      <c r="S580" s="99"/>
      <c r="T580" s="99"/>
      <c r="U580" s="99"/>
      <c r="V580" s="99"/>
      <c r="W580" s="99"/>
      <c r="X580" s="99"/>
      <c r="Y580" s="99"/>
      <c r="Z580" s="99"/>
      <c r="AB580" s="84"/>
      <c r="AC580" s="84"/>
      <c r="AD580" s="84"/>
      <c r="AE580" s="84"/>
      <c r="AF580" s="84"/>
      <c r="AG580" s="84"/>
      <c r="AH580" s="84"/>
      <c r="AI580" s="84"/>
    </row>
    <row r="581" ht="15.75" customHeight="1">
      <c r="A581" s="84"/>
      <c r="B581" s="84"/>
      <c r="C581" s="84"/>
      <c r="D581" s="84"/>
      <c r="E581" s="84"/>
      <c r="F581" s="261"/>
      <c r="H581" s="275"/>
      <c r="I581" s="275"/>
      <c r="J581" s="275"/>
      <c r="K581" s="275"/>
      <c r="L581" s="275"/>
      <c r="M581" s="260"/>
      <c r="N581" s="260"/>
      <c r="O581" s="99"/>
      <c r="P581" s="99"/>
      <c r="Q581" s="99"/>
      <c r="R581" s="99"/>
      <c r="S581" s="99"/>
      <c r="T581" s="99"/>
      <c r="U581" s="99"/>
      <c r="V581" s="99"/>
      <c r="W581" s="99"/>
      <c r="X581" s="99"/>
      <c r="Y581" s="99"/>
      <c r="Z581" s="99"/>
      <c r="AB581" s="84"/>
      <c r="AC581" s="84"/>
      <c r="AD581" s="84"/>
      <c r="AE581" s="84"/>
      <c r="AF581" s="84"/>
      <c r="AG581" s="84"/>
      <c r="AH581" s="84"/>
      <c r="AI581" s="84"/>
    </row>
    <row r="582" ht="15.75" customHeight="1">
      <c r="A582" s="84"/>
      <c r="B582" s="84"/>
      <c r="C582" s="84"/>
      <c r="D582" s="84"/>
      <c r="E582" s="84"/>
      <c r="F582" s="261"/>
      <c r="H582" s="275"/>
      <c r="I582" s="275"/>
      <c r="J582" s="275"/>
      <c r="K582" s="275"/>
      <c r="L582" s="275"/>
      <c r="M582" s="260"/>
      <c r="N582" s="260"/>
      <c r="O582" s="99"/>
      <c r="P582" s="99"/>
      <c r="Q582" s="99"/>
      <c r="R582" s="99"/>
      <c r="S582" s="99"/>
      <c r="T582" s="99"/>
      <c r="U582" s="99"/>
      <c r="V582" s="99"/>
      <c r="W582" s="99"/>
      <c r="X582" s="99"/>
      <c r="Y582" s="99"/>
      <c r="Z582" s="99"/>
      <c r="AB582" s="84"/>
      <c r="AC582" s="84"/>
      <c r="AD582" s="84"/>
      <c r="AE582" s="84"/>
      <c r="AF582" s="84"/>
      <c r="AG582" s="84"/>
      <c r="AH582" s="84"/>
      <c r="AI582" s="84"/>
    </row>
    <row r="583" ht="15.75" customHeight="1">
      <c r="A583" s="84"/>
      <c r="B583" s="84"/>
      <c r="C583" s="84"/>
      <c r="D583" s="84"/>
      <c r="E583" s="84"/>
      <c r="F583" s="261"/>
      <c r="H583" s="275"/>
      <c r="I583" s="275"/>
      <c r="J583" s="275"/>
      <c r="K583" s="275"/>
      <c r="L583" s="275"/>
      <c r="M583" s="260"/>
      <c r="N583" s="260"/>
      <c r="O583" s="99"/>
      <c r="P583" s="99"/>
      <c r="Q583" s="99"/>
      <c r="R583" s="99"/>
      <c r="S583" s="99"/>
      <c r="T583" s="99"/>
      <c r="U583" s="99"/>
      <c r="V583" s="99"/>
      <c r="W583" s="99"/>
      <c r="X583" s="99"/>
      <c r="Y583" s="99"/>
      <c r="Z583" s="99"/>
      <c r="AB583" s="84"/>
      <c r="AC583" s="84"/>
      <c r="AD583" s="84"/>
      <c r="AE583" s="84"/>
      <c r="AF583" s="84"/>
      <c r="AG583" s="84"/>
      <c r="AH583" s="84"/>
      <c r="AI583" s="84"/>
    </row>
    <row r="584" ht="15.75" customHeight="1">
      <c r="A584" s="84"/>
      <c r="B584" s="84"/>
      <c r="C584" s="84"/>
      <c r="D584" s="84"/>
      <c r="E584" s="84"/>
      <c r="F584" s="261"/>
      <c r="H584" s="275"/>
      <c r="I584" s="275"/>
      <c r="J584" s="275"/>
      <c r="K584" s="275"/>
      <c r="L584" s="275"/>
      <c r="M584" s="260"/>
      <c r="N584" s="260"/>
      <c r="O584" s="99"/>
      <c r="P584" s="99"/>
      <c r="Q584" s="99"/>
      <c r="R584" s="99"/>
      <c r="S584" s="99"/>
      <c r="T584" s="99"/>
      <c r="U584" s="99"/>
      <c r="V584" s="99"/>
      <c r="W584" s="99"/>
      <c r="X584" s="99"/>
      <c r="Y584" s="99"/>
      <c r="Z584" s="99"/>
      <c r="AB584" s="84"/>
      <c r="AC584" s="84"/>
      <c r="AD584" s="84"/>
      <c r="AE584" s="84"/>
      <c r="AF584" s="84"/>
      <c r="AG584" s="84"/>
      <c r="AH584" s="84"/>
      <c r="AI584" s="84"/>
    </row>
    <row r="585" ht="15.75" customHeight="1">
      <c r="A585" s="84"/>
      <c r="B585" s="84"/>
      <c r="C585" s="84"/>
      <c r="D585" s="84"/>
      <c r="E585" s="84"/>
      <c r="F585" s="261"/>
      <c r="H585" s="275"/>
      <c r="I585" s="275"/>
      <c r="J585" s="275"/>
      <c r="K585" s="275"/>
      <c r="L585" s="275"/>
      <c r="M585" s="260"/>
      <c r="N585" s="260"/>
      <c r="O585" s="99"/>
      <c r="P585" s="99"/>
      <c r="Q585" s="99"/>
      <c r="R585" s="99"/>
      <c r="S585" s="99"/>
      <c r="T585" s="99"/>
      <c r="U585" s="99"/>
      <c r="V585" s="99"/>
      <c r="W585" s="99"/>
      <c r="X585" s="99"/>
      <c r="Y585" s="99"/>
      <c r="Z585" s="99"/>
      <c r="AB585" s="84"/>
      <c r="AC585" s="84"/>
      <c r="AD585" s="84"/>
      <c r="AE585" s="84"/>
      <c r="AF585" s="84"/>
      <c r="AG585" s="84"/>
      <c r="AH585" s="84"/>
      <c r="AI585" s="84"/>
    </row>
    <row r="586" ht="15.75" customHeight="1">
      <c r="A586" s="84"/>
      <c r="B586" s="84"/>
      <c r="C586" s="84"/>
      <c r="D586" s="84"/>
      <c r="E586" s="84"/>
      <c r="F586" s="261"/>
      <c r="H586" s="275"/>
      <c r="I586" s="275"/>
      <c r="J586" s="275"/>
      <c r="K586" s="275"/>
      <c r="L586" s="275"/>
      <c r="M586" s="260"/>
      <c r="N586" s="260"/>
      <c r="O586" s="99"/>
      <c r="P586" s="99"/>
      <c r="Q586" s="99"/>
      <c r="R586" s="99"/>
      <c r="S586" s="99"/>
      <c r="T586" s="99"/>
      <c r="U586" s="99"/>
      <c r="V586" s="99"/>
      <c r="W586" s="99"/>
      <c r="X586" s="99"/>
      <c r="Y586" s="99"/>
      <c r="Z586" s="99"/>
      <c r="AB586" s="84"/>
      <c r="AC586" s="84"/>
      <c r="AD586" s="84"/>
      <c r="AE586" s="84"/>
      <c r="AF586" s="84"/>
      <c r="AG586" s="84"/>
      <c r="AH586" s="84"/>
      <c r="AI586" s="84"/>
    </row>
    <row r="587" ht="15.75" customHeight="1">
      <c r="A587" s="84"/>
      <c r="B587" s="84"/>
      <c r="C587" s="84"/>
      <c r="D587" s="84"/>
      <c r="E587" s="84"/>
      <c r="F587" s="261"/>
      <c r="H587" s="275"/>
      <c r="I587" s="275"/>
      <c r="J587" s="275"/>
      <c r="K587" s="275"/>
      <c r="L587" s="275"/>
      <c r="M587" s="260"/>
      <c r="N587" s="260"/>
      <c r="O587" s="99"/>
      <c r="P587" s="99"/>
      <c r="Q587" s="99"/>
      <c r="R587" s="99"/>
      <c r="S587" s="99"/>
      <c r="T587" s="99"/>
      <c r="U587" s="99"/>
      <c r="V587" s="99"/>
      <c r="W587" s="99"/>
      <c r="X587" s="99"/>
      <c r="Y587" s="99"/>
      <c r="Z587" s="99"/>
      <c r="AB587" s="84"/>
      <c r="AC587" s="84"/>
      <c r="AD587" s="84"/>
      <c r="AE587" s="84"/>
      <c r="AF587" s="84"/>
      <c r="AG587" s="84"/>
      <c r="AH587" s="84"/>
      <c r="AI587" s="84"/>
    </row>
    <row r="588" ht="15.75" customHeight="1">
      <c r="A588" s="84"/>
      <c r="B588" s="84"/>
      <c r="C588" s="84"/>
      <c r="D588" s="84"/>
      <c r="E588" s="84"/>
      <c r="F588" s="261"/>
      <c r="H588" s="275"/>
      <c r="I588" s="275"/>
      <c r="J588" s="275"/>
      <c r="K588" s="275"/>
      <c r="L588" s="275"/>
      <c r="M588" s="260"/>
      <c r="N588" s="260"/>
      <c r="O588" s="99"/>
      <c r="P588" s="99"/>
      <c r="Q588" s="99"/>
      <c r="R588" s="99"/>
      <c r="S588" s="99"/>
      <c r="T588" s="99"/>
      <c r="U588" s="99"/>
      <c r="V588" s="99"/>
      <c r="W588" s="99"/>
      <c r="X588" s="99"/>
      <c r="Y588" s="99"/>
      <c r="Z588" s="99"/>
      <c r="AB588" s="84"/>
      <c r="AC588" s="84"/>
      <c r="AD588" s="84"/>
      <c r="AE588" s="84"/>
      <c r="AF588" s="84"/>
      <c r="AG588" s="84"/>
      <c r="AH588" s="84"/>
      <c r="AI588" s="84"/>
    </row>
    <row r="589" ht="15.75" customHeight="1">
      <c r="A589" s="84"/>
      <c r="B589" s="84"/>
      <c r="C589" s="84"/>
      <c r="D589" s="84"/>
      <c r="E589" s="84"/>
      <c r="F589" s="261"/>
      <c r="H589" s="275"/>
      <c r="I589" s="275"/>
      <c r="J589" s="275"/>
      <c r="K589" s="275"/>
      <c r="L589" s="275"/>
      <c r="M589" s="260"/>
      <c r="N589" s="260"/>
      <c r="O589" s="99"/>
      <c r="P589" s="99"/>
      <c r="Q589" s="99"/>
      <c r="R589" s="99"/>
      <c r="S589" s="99"/>
      <c r="T589" s="99"/>
      <c r="U589" s="99"/>
      <c r="V589" s="99"/>
      <c r="W589" s="99"/>
      <c r="X589" s="99"/>
      <c r="Y589" s="99"/>
      <c r="Z589" s="99"/>
      <c r="AB589" s="84"/>
      <c r="AC589" s="84"/>
      <c r="AD589" s="84"/>
      <c r="AE589" s="84"/>
      <c r="AF589" s="84"/>
      <c r="AG589" s="84"/>
      <c r="AH589" s="84"/>
      <c r="AI589" s="84"/>
    </row>
    <row r="590" ht="15.75" customHeight="1">
      <c r="A590" s="84"/>
      <c r="B590" s="84"/>
      <c r="C590" s="84"/>
      <c r="D590" s="84"/>
      <c r="E590" s="84"/>
      <c r="F590" s="261"/>
      <c r="H590" s="275"/>
      <c r="I590" s="275"/>
      <c r="J590" s="275"/>
      <c r="K590" s="275"/>
      <c r="L590" s="275"/>
      <c r="M590" s="260"/>
      <c r="N590" s="260"/>
      <c r="O590" s="99"/>
      <c r="P590" s="99"/>
      <c r="Q590" s="99"/>
      <c r="R590" s="99"/>
      <c r="S590" s="99"/>
      <c r="T590" s="99"/>
      <c r="U590" s="99"/>
      <c r="V590" s="99"/>
      <c r="W590" s="99"/>
      <c r="X590" s="99"/>
      <c r="Y590" s="99"/>
      <c r="Z590" s="99"/>
      <c r="AB590" s="84"/>
      <c r="AC590" s="84"/>
      <c r="AD590" s="84"/>
      <c r="AE590" s="84"/>
      <c r="AF590" s="84"/>
      <c r="AG590" s="84"/>
      <c r="AH590" s="84"/>
      <c r="AI590" s="84"/>
    </row>
    <row r="591" ht="15.75" customHeight="1">
      <c r="A591" s="84"/>
      <c r="B591" s="84"/>
      <c r="C591" s="84"/>
      <c r="D591" s="84"/>
      <c r="E591" s="84"/>
      <c r="F591" s="261"/>
      <c r="H591" s="275"/>
      <c r="I591" s="275"/>
      <c r="J591" s="275"/>
      <c r="K591" s="275"/>
      <c r="L591" s="275"/>
      <c r="M591" s="260"/>
      <c r="N591" s="260"/>
      <c r="O591" s="99"/>
      <c r="P591" s="99"/>
      <c r="Q591" s="99"/>
      <c r="R591" s="99"/>
      <c r="S591" s="99"/>
      <c r="T591" s="99"/>
      <c r="U591" s="99"/>
      <c r="V591" s="99"/>
      <c r="W591" s="99"/>
      <c r="X591" s="99"/>
      <c r="Y591" s="99"/>
      <c r="Z591" s="99"/>
      <c r="AB591" s="84"/>
      <c r="AC591" s="84"/>
      <c r="AD591" s="84"/>
      <c r="AE591" s="84"/>
      <c r="AF591" s="84"/>
      <c r="AG591" s="84"/>
      <c r="AH591" s="84"/>
      <c r="AI591" s="84"/>
    </row>
    <row r="592" ht="15.75" customHeight="1">
      <c r="A592" s="84"/>
      <c r="B592" s="84"/>
      <c r="C592" s="84"/>
      <c r="D592" s="84"/>
      <c r="E592" s="84"/>
      <c r="F592" s="261"/>
      <c r="H592" s="275"/>
      <c r="I592" s="275"/>
      <c r="J592" s="275"/>
      <c r="K592" s="275"/>
      <c r="L592" s="275"/>
      <c r="M592" s="260"/>
      <c r="N592" s="260"/>
      <c r="O592" s="99"/>
      <c r="P592" s="99"/>
      <c r="Q592" s="99"/>
      <c r="R592" s="99"/>
      <c r="S592" s="99"/>
      <c r="T592" s="99"/>
      <c r="U592" s="99"/>
      <c r="V592" s="99"/>
      <c r="W592" s="99"/>
      <c r="X592" s="99"/>
      <c r="Y592" s="99"/>
      <c r="Z592" s="99"/>
      <c r="AB592" s="84"/>
      <c r="AC592" s="84"/>
      <c r="AD592" s="84"/>
      <c r="AE592" s="84"/>
      <c r="AF592" s="84"/>
      <c r="AG592" s="84"/>
      <c r="AH592" s="84"/>
      <c r="AI592" s="84"/>
    </row>
    <row r="593" ht="15.75" customHeight="1">
      <c r="A593" s="84"/>
      <c r="B593" s="84"/>
      <c r="C593" s="84"/>
      <c r="D593" s="84"/>
      <c r="E593" s="84"/>
      <c r="F593" s="261"/>
      <c r="H593" s="275"/>
      <c r="I593" s="275"/>
      <c r="J593" s="275"/>
      <c r="K593" s="275"/>
      <c r="L593" s="275"/>
      <c r="M593" s="260"/>
      <c r="N593" s="260"/>
      <c r="O593" s="99"/>
      <c r="P593" s="99"/>
      <c r="Q593" s="99"/>
      <c r="R593" s="99"/>
      <c r="S593" s="99"/>
      <c r="T593" s="99"/>
      <c r="U593" s="99"/>
      <c r="V593" s="99"/>
      <c r="W593" s="99"/>
      <c r="X593" s="99"/>
      <c r="Y593" s="99"/>
      <c r="Z593" s="99"/>
      <c r="AB593" s="84"/>
      <c r="AC593" s="84"/>
      <c r="AD593" s="84"/>
      <c r="AE593" s="84"/>
      <c r="AF593" s="84"/>
      <c r="AG593" s="84"/>
      <c r="AH593" s="84"/>
      <c r="AI593" s="84"/>
    </row>
    <row r="594" ht="15.75" customHeight="1">
      <c r="A594" s="84"/>
      <c r="B594" s="84"/>
      <c r="C594" s="84"/>
      <c r="D594" s="84"/>
      <c r="E594" s="84"/>
      <c r="F594" s="261"/>
      <c r="H594" s="275"/>
      <c r="I594" s="275"/>
      <c r="J594" s="275"/>
      <c r="K594" s="275"/>
      <c r="L594" s="275"/>
      <c r="M594" s="260"/>
      <c r="N594" s="260"/>
      <c r="O594" s="99"/>
      <c r="P594" s="99"/>
      <c r="Q594" s="99"/>
      <c r="R594" s="99"/>
      <c r="S594" s="99"/>
      <c r="T594" s="99"/>
      <c r="U594" s="99"/>
      <c r="V594" s="99"/>
      <c r="W594" s="99"/>
      <c r="X594" s="99"/>
      <c r="Y594" s="99"/>
      <c r="Z594" s="99"/>
      <c r="AB594" s="84"/>
      <c r="AC594" s="84"/>
      <c r="AD594" s="84"/>
      <c r="AE594" s="84"/>
      <c r="AF594" s="84"/>
      <c r="AG594" s="84"/>
      <c r="AH594" s="84"/>
      <c r="AI594" s="84"/>
    </row>
    <row r="595" ht="15.75" customHeight="1">
      <c r="A595" s="84"/>
      <c r="B595" s="84"/>
      <c r="C595" s="84"/>
      <c r="D595" s="84"/>
      <c r="E595" s="84"/>
      <c r="F595" s="261"/>
      <c r="H595" s="275"/>
      <c r="I595" s="275"/>
      <c r="J595" s="275"/>
      <c r="K595" s="275"/>
      <c r="L595" s="275"/>
      <c r="M595" s="260"/>
      <c r="N595" s="260"/>
      <c r="O595" s="99"/>
      <c r="P595" s="99"/>
      <c r="Q595" s="99"/>
      <c r="R595" s="99"/>
      <c r="S595" s="99"/>
      <c r="T595" s="99"/>
      <c r="U595" s="99"/>
      <c r="V595" s="99"/>
      <c r="W595" s="99"/>
      <c r="X595" s="99"/>
      <c r="Y595" s="99"/>
      <c r="Z595" s="99"/>
      <c r="AB595" s="84"/>
      <c r="AC595" s="84"/>
      <c r="AD595" s="84"/>
      <c r="AE595" s="84"/>
      <c r="AF595" s="84"/>
      <c r="AG595" s="84"/>
      <c r="AH595" s="84"/>
      <c r="AI595" s="84"/>
    </row>
    <row r="596" ht="15.75" customHeight="1">
      <c r="A596" s="84"/>
      <c r="B596" s="84"/>
      <c r="C596" s="84"/>
      <c r="D596" s="84"/>
      <c r="E596" s="122"/>
      <c r="F596" s="261"/>
      <c r="H596" s="275"/>
      <c r="I596" s="275"/>
      <c r="J596" s="275"/>
      <c r="K596" s="275"/>
      <c r="L596" s="275"/>
      <c r="M596" s="260"/>
      <c r="N596" s="260"/>
      <c r="O596" s="99"/>
      <c r="P596" s="99"/>
      <c r="Q596" s="99"/>
      <c r="R596" s="99"/>
      <c r="S596" s="99"/>
      <c r="T596" s="99"/>
      <c r="U596" s="99"/>
      <c r="V596" s="99"/>
      <c r="W596" s="99"/>
      <c r="X596" s="99"/>
      <c r="Y596" s="99"/>
      <c r="Z596" s="99"/>
      <c r="AB596" s="84"/>
      <c r="AC596" s="84"/>
      <c r="AD596" s="84"/>
      <c r="AE596" s="84"/>
      <c r="AF596" s="84"/>
      <c r="AG596" s="84"/>
      <c r="AH596" s="84"/>
      <c r="AI596" s="84"/>
    </row>
    <row r="597" ht="15.75" customHeight="1">
      <c r="A597" s="84"/>
      <c r="B597" s="84"/>
      <c r="C597" s="84"/>
      <c r="D597" s="84"/>
      <c r="E597" s="122"/>
      <c r="F597" s="261"/>
      <c r="H597" s="275"/>
      <c r="I597" s="275"/>
      <c r="J597" s="275"/>
      <c r="K597" s="275"/>
      <c r="L597" s="275"/>
      <c r="M597" s="260"/>
      <c r="N597" s="260"/>
      <c r="O597" s="99"/>
      <c r="P597" s="99"/>
      <c r="Q597" s="99"/>
      <c r="R597" s="99"/>
      <c r="S597" s="99"/>
      <c r="T597" s="99"/>
      <c r="U597" s="99"/>
      <c r="V597" s="99"/>
      <c r="W597" s="99"/>
      <c r="X597" s="99"/>
      <c r="Y597" s="99"/>
      <c r="Z597" s="99"/>
      <c r="AB597" s="84"/>
      <c r="AC597" s="84"/>
      <c r="AD597" s="84"/>
      <c r="AE597" s="84"/>
      <c r="AF597" s="84"/>
      <c r="AG597" s="84"/>
      <c r="AH597" s="84"/>
      <c r="AI597" s="84"/>
    </row>
    <row r="598" ht="15.75" customHeight="1">
      <c r="A598" s="84"/>
      <c r="B598" s="84"/>
      <c r="C598" s="84"/>
      <c r="D598" s="84"/>
      <c r="E598" s="122"/>
      <c r="F598" s="261"/>
      <c r="H598" s="275"/>
      <c r="I598" s="275"/>
      <c r="J598" s="275"/>
      <c r="K598" s="275"/>
      <c r="L598" s="275"/>
      <c r="M598" s="260"/>
      <c r="N598" s="260"/>
      <c r="O598" s="99"/>
      <c r="P598" s="99"/>
      <c r="Q598" s="99"/>
      <c r="R598" s="99"/>
      <c r="S598" s="99"/>
      <c r="T598" s="99"/>
      <c r="U598" s="99"/>
      <c r="V598" s="99"/>
      <c r="W598" s="99"/>
      <c r="X598" s="99"/>
      <c r="Y598" s="99"/>
      <c r="Z598" s="99"/>
      <c r="AB598" s="84"/>
      <c r="AC598" s="84"/>
      <c r="AD598" s="84"/>
      <c r="AE598" s="84"/>
      <c r="AF598" s="84"/>
      <c r="AG598" s="84"/>
      <c r="AH598" s="84"/>
      <c r="AI598" s="84"/>
    </row>
    <row r="599" ht="15.75" customHeight="1">
      <c r="A599" s="84"/>
      <c r="B599" s="84"/>
      <c r="C599" s="84"/>
      <c r="D599" s="84"/>
      <c r="E599" s="122"/>
      <c r="F599" s="261"/>
      <c r="H599" s="275"/>
      <c r="I599" s="275"/>
      <c r="J599" s="275"/>
      <c r="K599" s="275"/>
      <c r="L599" s="275"/>
      <c r="M599" s="260"/>
      <c r="N599" s="260"/>
      <c r="O599" s="99"/>
      <c r="P599" s="99"/>
      <c r="Q599" s="99"/>
      <c r="R599" s="99"/>
      <c r="S599" s="99"/>
      <c r="T599" s="99"/>
      <c r="U599" s="99"/>
      <c r="V599" s="99"/>
      <c r="W599" s="99"/>
      <c r="X599" s="99"/>
      <c r="Y599" s="99"/>
      <c r="Z599" s="99"/>
      <c r="AB599" s="84"/>
      <c r="AC599" s="84"/>
      <c r="AD599" s="84"/>
      <c r="AE599" s="84"/>
      <c r="AF599" s="84"/>
      <c r="AG599" s="84"/>
      <c r="AH599" s="84"/>
      <c r="AI599" s="84"/>
    </row>
    <row r="600" ht="15.75" customHeight="1">
      <c r="A600" s="84"/>
      <c r="B600" s="84"/>
      <c r="C600" s="84"/>
      <c r="D600" s="84"/>
      <c r="E600" s="122"/>
      <c r="F600" s="261"/>
      <c r="H600" s="275"/>
      <c r="I600" s="275"/>
      <c r="J600" s="275"/>
      <c r="K600" s="275"/>
      <c r="L600" s="275"/>
      <c r="M600" s="260"/>
      <c r="N600" s="260"/>
      <c r="O600" s="99"/>
      <c r="P600" s="99"/>
      <c r="Q600" s="99"/>
      <c r="R600" s="99"/>
      <c r="S600" s="99"/>
      <c r="T600" s="99"/>
      <c r="U600" s="99"/>
      <c r="V600" s="99"/>
      <c r="W600" s="99"/>
      <c r="X600" s="99"/>
      <c r="Y600" s="99"/>
      <c r="Z600" s="99"/>
      <c r="AB600" s="84"/>
      <c r="AC600" s="84"/>
      <c r="AD600" s="84"/>
      <c r="AE600" s="84"/>
      <c r="AF600" s="84"/>
      <c r="AG600" s="84"/>
      <c r="AH600" s="84"/>
      <c r="AI600" s="84"/>
    </row>
    <row r="601" ht="15.75" customHeight="1">
      <c r="A601" s="84"/>
      <c r="B601" s="84"/>
      <c r="C601" s="84"/>
      <c r="D601" s="84"/>
      <c r="E601" s="122"/>
      <c r="F601" s="261"/>
      <c r="H601" s="275"/>
      <c r="I601" s="275"/>
      <c r="J601" s="275"/>
      <c r="K601" s="275"/>
      <c r="L601" s="275"/>
      <c r="M601" s="260"/>
      <c r="N601" s="260"/>
      <c r="O601" s="99"/>
      <c r="P601" s="99"/>
      <c r="Q601" s="99"/>
      <c r="R601" s="99"/>
      <c r="S601" s="99"/>
      <c r="T601" s="99"/>
      <c r="U601" s="99"/>
      <c r="V601" s="99"/>
      <c r="W601" s="99"/>
      <c r="X601" s="99"/>
      <c r="Y601" s="99"/>
      <c r="Z601" s="99"/>
      <c r="AB601" s="84"/>
      <c r="AC601" s="84"/>
      <c r="AD601" s="84"/>
      <c r="AE601" s="84"/>
      <c r="AF601" s="84"/>
      <c r="AG601" s="84"/>
      <c r="AH601" s="84"/>
      <c r="AI601" s="84"/>
    </row>
    <row r="602" ht="15.75" customHeight="1">
      <c r="A602" s="84"/>
      <c r="B602" s="84"/>
      <c r="C602" s="84"/>
      <c r="D602" s="122"/>
      <c r="E602" s="122"/>
      <c r="F602" s="261"/>
      <c r="H602" s="275"/>
      <c r="I602" s="275"/>
      <c r="J602" s="275"/>
      <c r="K602" s="275"/>
      <c r="L602" s="275"/>
      <c r="M602" s="260"/>
      <c r="N602" s="260"/>
      <c r="O602" s="99"/>
      <c r="P602" s="99"/>
      <c r="Q602" s="99"/>
      <c r="R602" s="99"/>
      <c r="S602" s="99"/>
      <c r="T602" s="99"/>
      <c r="U602" s="99"/>
      <c r="V602" s="99"/>
      <c r="W602" s="99"/>
      <c r="X602" s="99"/>
      <c r="Y602" s="99"/>
      <c r="Z602" s="99"/>
      <c r="AB602" s="84"/>
      <c r="AC602" s="84"/>
      <c r="AD602" s="84"/>
      <c r="AE602" s="84"/>
      <c r="AF602" s="84"/>
      <c r="AG602" s="84"/>
      <c r="AH602" s="84"/>
      <c r="AI602" s="84"/>
    </row>
    <row r="603" ht="15.75" customHeight="1">
      <c r="A603" s="84"/>
      <c r="B603" s="84"/>
      <c r="C603" s="84"/>
      <c r="D603" s="122"/>
      <c r="E603" s="122"/>
      <c r="F603" s="261"/>
      <c r="H603" s="275"/>
      <c r="I603" s="275"/>
      <c r="J603" s="275"/>
      <c r="K603" s="275"/>
      <c r="L603" s="275"/>
      <c r="M603" s="260"/>
      <c r="N603" s="260"/>
      <c r="O603" s="99"/>
      <c r="P603" s="99"/>
      <c r="Q603" s="99"/>
      <c r="R603" s="99"/>
      <c r="S603" s="99"/>
      <c r="T603" s="99"/>
      <c r="U603" s="99"/>
      <c r="V603" s="99"/>
      <c r="W603" s="99"/>
      <c r="X603" s="99"/>
      <c r="Y603" s="99"/>
      <c r="Z603" s="99"/>
      <c r="AB603" s="84"/>
      <c r="AC603" s="84"/>
      <c r="AD603" s="84"/>
      <c r="AE603" s="84"/>
      <c r="AF603" s="84"/>
      <c r="AG603" s="84"/>
      <c r="AH603" s="84"/>
      <c r="AI603" s="84"/>
    </row>
    <row r="604" ht="15.75" customHeight="1">
      <c r="A604" s="84"/>
      <c r="B604" s="84"/>
      <c r="C604" s="84"/>
      <c r="D604" s="122"/>
      <c r="E604" s="122"/>
      <c r="F604" s="261"/>
      <c r="H604" s="275"/>
      <c r="I604" s="275"/>
      <c r="J604" s="275"/>
      <c r="K604" s="275"/>
      <c r="L604" s="275"/>
      <c r="M604" s="260"/>
      <c r="N604" s="260"/>
      <c r="O604" s="99"/>
      <c r="P604" s="99"/>
      <c r="Q604" s="99"/>
      <c r="R604" s="99"/>
      <c r="S604" s="99"/>
      <c r="T604" s="99"/>
      <c r="U604" s="99"/>
      <c r="V604" s="99"/>
      <c r="W604" s="99"/>
      <c r="X604" s="99"/>
      <c r="Y604" s="99"/>
      <c r="Z604" s="99"/>
      <c r="AB604" s="84"/>
      <c r="AC604" s="84"/>
      <c r="AD604" s="84"/>
      <c r="AE604" s="84"/>
      <c r="AF604" s="84"/>
      <c r="AG604" s="84"/>
      <c r="AH604" s="84"/>
      <c r="AI604" s="84"/>
    </row>
    <row r="605" ht="15.75" customHeight="1">
      <c r="A605" s="84"/>
      <c r="B605" s="84"/>
      <c r="C605" s="84"/>
      <c r="D605" s="122"/>
      <c r="E605" s="122"/>
      <c r="F605" s="261"/>
      <c r="H605" s="275"/>
      <c r="I605" s="275"/>
      <c r="J605" s="275"/>
      <c r="K605" s="275"/>
      <c r="L605" s="275"/>
      <c r="M605" s="260"/>
      <c r="N605" s="260"/>
      <c r="O605" s="99"/>
      <c r="P605" s="99"/>
      <c r="Q605" s="99"/>
      <c r="R605" s="99"/>
      <c r="S605" s="99"/>
      <c r="T605" s="99"/>
      <c r="U605" s="99"/>
      <c r="V605" s="99"/>
      <c r="W605" s="99"/>
      <c r="X605" s="99"/>
      <c r="Y605" s="99"/>
      <c r="Z605" s="99"/>
      <c r="AB605" s="84"/>
      <c r="AC605" s="84"/>
      <c r="AD605" s="84"/>
      <c r="AE605" s="84"/>
      <c r="AF605" s="84"/>
      <c r="AG605" s="84"/>
      <c r="AH605" s="84"/>
      <c r="AI605" s="84"/>
    </row>
    <row r="606" ht="15.75" customHeight="1">
      <c r="A606" s="84"/>
      <c r="B606" s="84"/>
      <c r="C606" s="84"/>
      <c r="D606" s="122"/>
      <c r="E606" s="127"/>
      <c r="F606" s="261"/>
      <c r="H606" s="275"/>
      <c r="I606" s="275"/>
      <c r="J606" s="275"/>
      <c r="K606" s="275"/>
      <c r="L606" s="275"/>
      <c r="M606" s="260"/>
      <c r="N606" s="260"/>
      <c r="O606" s="99"/>
      <c r="P606" s="99"/>
      <c r="Q606" s="99"/>
      <c r="R606" s="99"/>
      <c r="S606" s="99"/>
      <c r="T606" s="99"/>
      <c r="U606" s="99"/>
      <c r="V606" s="99"/>
      <c r="W606" s="99"/>
      <c r="X606" s="99"/>
      <c r="Y606" s="99"/>
      <c r="Z606" s="99"/>
      <c r="AB606" s="84"/>
      <c r="AC606" s="84"/>
      <c r="AD606" s="84"/>
      <c r="AE606" s="84"/>
      <c r="AF606" s="84"/>
      <c r="AG606" s="84"/>
      <c r="AH606" s="84"/>
      <c r="AI606" s="84"/>
    </row>
    <row r="607" ht="15.75" customHeight="1">
      <c r="A607" s="84"/>
      <c r="B607" s="84"/>
      <c r="C607" s="84"/>
      <c r="D607" s="122"/>
      <c r="E607" s="84"/>
      <c r="F607" s="261"/>
      <c r="H607" s="275"/>
      <c r="I607" s="275"/>
      <c r="J607" s="275"/>
      <c r="K607" s="275"/>
      <c r="L607" s="275"/>
      <c r="M607" s="260"/>
      <c r="N607" s="260"/>
      <c r="O607" s="99"/>
      <c r="P607" s="99"/>
      <c r="Q607" s="99"/>
      <c r="R607" s="99"/>
      <c r="S607" s="99"/>
      <c r="T607" s="99"/>
      <c r="U607" s="99"/>
      <c r="V607" s="99"/>
      <c r="W607" s="99"/>
      <c r="X607" s="99"/>
      <c r="Y607" s="99"/>
      <c r="Z607" s="99"/>
      <c r="AB607" s="84"/>
      <c r="AC607" s="84"/>
      <c r="AD607" s="84"/>
      <c r="AE607" s="84"/>
      <c r="AF607" s="84"/>
      <c r="AG607" s="84"/>
      <c r="AH607" s="84"/>
      <c r="AI607" s="84"/>
    </row>
    <row r="608" ht="15.75" customHeight="1">
      <c r="A608" s="84"/>
      <c r="B608" s="84"/>
      <c r="C608" s="84"/>
      <c r="D608" s="122"/>
      <c r="E608" s="84"/>
      <c r="F608" s="261"/>
      <c r="H608" s="275"/>
      <c r="I608" s="275"/>
      <c r="J608" s="275"/>
      <c r="K608" s="275"/>
      <c r="L608" s="275"/>
      <c r="M608" s="260"/>
      <c r="N608" s="260"/>
      <c r="O608" s="99"/>
      <c r="P608" s="99"/>
      <c r="Q608" s="99"/>
      <c r="R608" s="99"/>
      <c r="S608" s="99"/>
      <c r="T608" s="99"/>
      <c r="U608" s="99"/>
      <c r="V608" s="99"/>
      <c r="W608" s="99"/>
      <c r="X608" s="99"/>
      <c r="Y608" s="99"/>
      <c r="Z608" s="99"/>
      <c r="AB608" s="84"/>
      <c r="AC608" s="84"/>
      <c r="AD608" s="84"/>
      <c r="AE608" s="84"/>
      <c r="AF608" s="84"/>
      <c r="AG608" s="84"/>
      <c r="AH608" s="84"/>
      <c r="AI608" s="84"/>
    </row>
    <row r="609" ht="15.75" customHeight="1">
      <c r="A609" s="84"/>
      <c r="B609" s="84"/>
      <c r="C609" s="84"/>
      <c r="D609" s="122"/>
      <c r="E609" s="84"/>
      <c r="F609" s="261"/>
      <c r="H609" s="275"/>
      <c r="I609" s="275"/>
      <c r="J609" s="275"/>
      <c r="K609" s="275"/>
      <c r="L609" s="275"/>
      <c r="M609" s="260"/>
      <c r="N609" s="260"/>
      <c r="O609" s="99"/>
      <c r="P609" s="99"/>
      <c r="Q609" s="99"/>
      <c r="R609" s="99"/>
      <c r="S609" s="99"/>
      <c r="T609" s="99"/>
      <c r="U609" s="99"/>
      <c r="V609" s="99"/>
      <c r="W609" s="99"/>
      <c r="X609" s="99"/>
      <c r="Y609" s="99"/>
      <c r="Z609" s="99"/>
      <c r="AB609" s="84"/>
      <c r="AC609" s="122"/>
      <c r="AD609" s="84"/>
      <c r="AE609" s="84"/>
      <c r="AF609" s="84"/>
      <c r="AG609" s="84"/>
      <c r="AH609" s="84"/>
      <c r="AI609" s="84"/>
    </row>
    <row r="610" ht="15.75" customHeight="1">
      <c r="A610" s="84"/>
      <c r="B610" s="84"/>
      <c r="C610" s="84"/>
      <c r="D610" s="122"/>
      <c r="E610" s="84"/>
      <c r="F610" s="261"/>
      <c r="H610" s="275"/>
      <c r="I610" s="275"/>
      <c r="J610" s="275"/>
      <c r="K610" s="275"/>
      <c r="L610" s="275"/>
      <c r="M610" s="260"/>
      <c r="N610" s="260"/>
      <c r="O610" s="99"/>
      <c r="P610" s="99"/>
      <c r="Q610" s="99"/>
      <c r="R610" s="99"/>
      <c r="S610" s="99"/>
      <c r="T610" s="99"/>
      <c r="U610" s="99"/>
      <c r="V610" s="99"/>
      <c r="W610" s="99"/>
      <c r="X610" s="99"/>
      <c r="Y610" s="99"/>
      <c r="Z610" s="99"/>
      <c r="AB610" s="84"/>
      <c r="AC610" s="122"/>
      <c r="AD610" s="84"/>
      <c r="AE610" s="84"/>
      <c r="AF610" s="84"/>
      <c r="AG610" s="84"/>
      <c r="AH610" s="84"/>
      <c r="AI610" s="84"/>
    </row>
    <row r="611" ht="15.75" customHeight="1">
      <c r="A611" s="84"/>
      <c r="B611" s="84"/>
      <c r="C611" s="84"/>
      <c r="D611" s="122"/>
      <c r="E611" s="84"/>
      <c r="F611" s="261"/>
      <c r="H611" s="275"/>
      <c r="I611" s="275"/>
      <c r="J611" s="275"/>
      <c r="K611" s="275"/>
      <c r="L611" s="275"/>
      <c r="M611" s="260"/>
      <c r="N611" s="260"/>
      <c r="O611" s="99"/>
      <c r="P611" s="99"/>
      <c r="Q611" s="99"/>
      <c r="R611" s="99"/>
      <c r="S611" s="99"/>
      <c r="T611" s="99"/>
      <c r="U611" s="99"/>
      <c r="V611" s="99"/>
      <c r="W611" s="99"/>
      <c r="X611" s="99"/>
      <c r="Y611" s="99"/>
      <c r="Z611" s="99"/>
      <c r="AB611" s="84"/>
      <c r="AC611" s="122"/>
      <c r="AD611" s="84"/>
      <c r="AE611" s="84"/>
      <c r="AF611" s="84"/>
      <c r="AG611" s="84"/>
      <c r="AH611" s="84"/>
      <c r="AI611" s="84"/>
    </row>
    <row r="612" ht="15.75" customHeight="1">
      <c r="A612" s="84"/>
      <c r="B612" s="84"/>
      <c r="C612" s="84"/>
      <c r="D612" s="127"/>
      <c r="E612" s="84"/>
      <c r="F612" s="261"/>
      <c r="H612" s="275"/>
      <c r="I612" s="275"/>
      <c r="J612" s="275"/>
      <c r="K612" s="275"/>
      <c r="L612" s="275"/>
      <c r="M612" s="260"/>
      <c r="N612" s="260"/>
      <c r="O612" s="99"/>
      <c r="P612" s="99"/>
      <c r="Q612" s="99"/>
      <c r="R612" s="99"/>
      <c r="S612" s="99"/>
      <c r="T612" s="99"/>
      <c r="U612" s="99"/>
      <c r="V612" s="99"/>
      <c r="W612" s="99"/>
      <c r="X612" s="99"/>
      <c r="Y612" s="99"/>
      <c r="Z612" s="99"/>
      <c r="AB612" s="84"/>
      <c r="AC612" s="122"/>
      <c r="AD612" s="84"/>
      <c r="AE612" s="84"/>
      <c r="AF612" s="84"/>
      <c r="AG612" s="84"/>
      <c r="AH612" s="84"/>
      <c r="AI612" s="84"/>
    </row>
    <row r="613" ht="15.75" customHeight="1">
      <c r="A613" s="122"/>
      <c r="B613" s="122"/>
      <c r="C613" s="122"/>
      <c r="D613" s="84"/>
      <c r="E613" s="84"/>
      <c r="F613" s="261"/>
      <c r="H613" s="275"/>
      <c r="I613" s="275"/>
      <c r="J613" s="275"/>
      <c r="K613" s="275"/>
      <c r="L613" s="275"/>
      <c r="M613" s="260"/>
      <c r="N613" s="260"/>
      <c r="O613" s="99"/>
      <c r="P613" s="99"/>
      <c r="Q613" s="99"/>
      <c r="R613" s="99"/>
      <c r="S613" s="99"/>
      <c r="T613" s="99"/>
      <c r="U613" s="99"/>
      <c r="V613" s="99"/>
      <c r="W613" s="99"/>
      <c r="X613" s="99"/>
      <c r="Y613" s="99"/>
      <c r="Z613" s="99"/>
      <c r="AB613" s="84"/>
      <c r="AC613" s="122"/>
      <c r="AD613" s="84"/>
      <c r="AE613" s="84"/>
      <c r="AF613" s="84"/>
      <c r="AG613" s="84"/>
      <c r="AH613" s="84"/>
      <c r="AI613" s="84"/>
    </row>
    <row r="614" ht="15.75" customHeight="1">
      <c r="A614" s="122"/>
      <c r="B614" s="122"/>
      <c r="C614" s="122"/>
      <c r="D614" s="84"/>
      <c r="E614" s="84"/>
      <c r="F614" s="261"/>
      <c r="H614" s="275"/>
      <c r="I614" s="275"/>
      <c r="J614" s="275"/>
      <c r="K614" s="275"/>
      <c r="L614" s="275"/>
      <c r="M614" s="260"/>
      <c r="N614" s="260"/>
      <c r="O614" s="99"/>
      <c r="P614" s="99"/>
      <c r="Q614" s="99"/>
      <c r="R614" s="99"/>
      <c r="S614" s="99"/>
      <c r="T614" s="99"/>
      <c r="U614" s="99"/>
      <c r="V614" s="99"/>
      <c r="W614" s="99"/>
      <c r="X614" s="99"/>
      <c r="Y614" s="99"/>
      <c r="Z614" s="99"/>
      <c r="AB614" s="84"/>
      <c r="AC614" s="122"/>
      <c r="AD614" s="84"/>
      <c r="AE614" s="84"/>
      <c r="AF614" s="84"/>
      <c r="AG614" s="84"/>
      <c r="AH614" s="84"/>
      <c r="AI614" s="84"/>
    </row>
    <row r="615" ht="15.75" customHeight="1">
      <c r="A615" s="122"/>
      <c r="B615" s="122"/>
      <c r="C615" s="122"/>
      <c r="D615" s="84"/>
      <c r="E615" s="84"/>
      <c r="F615" s="261"/>
      <c r="H615" s="275"/>
      <c r="I615" s="275"/>
      <c r="J615" s="275"/>
      <c r="K615" s="275"/>
      <c r="L615" s="275"/>
      <c r="M615" s="260"/>
      <c r="N615" s="260"/>
      <c r="O615" s="99"/>
      <c r="P615" s="99"/>
      <c r="Q615" s="99"/>
      <c r="R615" s="99"/>
      <c r="S615" s="99"/>
      <c r="T615" s="99"/>
      <c r="U615" s="99"/>
      <c r="V615" s="99"/>
      <c r="W615" s="99"/>
      <c r="X615" s="99"/>
      <c r="Y615" s="99"/>
      <c r="Z615" s="99"/>
      <c r="AB615" s="84"/>
      <c r="AC615" s="122"/>
      <c r="AD615" s="84"/>
      <c r="AE615" s="84"/>
      <c r="AF615" s="84"/>
      <c r="AG615" s="84"/>
      <c r="AH615" s="84"/>
      <c r="AI615" s="84"/>
    </row>
    <row r="616" ht="15.75" customHeight="1">
      <c r="A616" s="122"/>
      <c r="B616" s="122"/>
      <c r="C616" s="122"/>
      <c r="D616" s="84"/>
      <c r="E616" s="84"/>
      <c r="F616" s="261"/>
      <c r="H616" s="275"/>
      <c r="I616" s="275"/>
      <c r="J616" s="275"/>
      <c r="K616" s="275"/>
      <c r="L616" s="275"/>
      <c r="M616" s="260"/>
      <c r="N616" s="260"/>
      <c r="O616" s="99"/>
      <c r="P616" s="99"/>
      <c r="Q616" s="99"/>
      <c r="R616" s="99"/>
      <c r="S616" s="99"/>
      <c r="T616" s="99"/>
      <c r="U616" s="99"/>
      <c r="V616" s="99"/>
      <c r="W616" s="99"/>
      <c r="X616" s="99"/>
      <c r="Y616" s="99"/>
      <c r="Z616" s="99"/>
      <c r="AB616" s="84"/>
      <c r="AC616" s="122"/>
      <c r="AD616" s="84"/>
      <c r="AE616" s="84"/>
      <c r="AF616" s="84"/>
      <c r="AG616" s="84"/>
      <c r="AH616" s="84"/>
      <c r="AI616" s="84"/>
    </row>
    <row r="617" ht="15.75" customHeight="1">
      <c r="A617" s="122"/>
      <c r="B617" s="122"/>
      <c r="C617" s="122"/>
      <c r="D617" s="84"/>
      <c r="E617" s="84"/>
      <c r="F617" s="261"/>
      <c r="H617" s="275"/>
      <c r="I617" s="275"/>
      <c r="J617" s="275"/>
      <c r="K617" s="275"/>
      <c r="L617" s="275"/>
      <c r="M617" s="260"/>
      <c r="N617" s="260"/>
      <c r="O617" s="99"/>
      <c r="P617" s="99"/>
      <c r="Q617" s="99"/>
      <c r="R617" s="99"/>
      <c r="S617" s="99"/>
      <c r="T617" s="99"/>
      <c r="U617" s="99"/>
      <c r="V617" s="99"/>
      <c r="W617" s="99"/>
      <c r="X617" s="99"/>
      <c r="Y617" s="99"/>
      <c r="Z617" s="99"/>
      <c r="AB617" s="84"/>
      <c r="AC617" s="122"/>
      <c r="AD617" s="84"/>
      <c r="AE617" s="84"/>
      <c r="AF617" s="84"/>
      <c r="AG617" s="84"/>
      <c r="AH617" s="84"/>
      <c r="AI617" s="84"/>
    </row>
    <row r="618" ht="15.75" customHeight="1">
      <c r="A618" s="122"/>
      <c r="B618" s="122"/>
      <c r="C618" s="122"/>
      <c r="D618" s="84"/>
      <c r="E618" s="84"/>
      <c r="F618" s="261"/>
      <c r="H618" s="275"/>
      <c r="I618" s="275"/>
      <c r="J618" s="275"/>
      <c r="K618" s="275"/>
      <c r="L618" s="275"/>
      <c r="M618" s="260"/>
      <c r="N618" s="260"/>
      <c r="O618" s="99"/>
      <c r="P618" s="99"/>
      <c r="Q618" s="99"/>
      <c r="R618" s="99"/>
      <c r="S618" s="99"/>
      <c r="T618" s="99"/>
      <c r="U618" s="99"/>
      <c r="V618" s="99"/>
      <c r="W618" s="99"/>
      <c r="X618" s="99"/>
      <c r="Y618" s="99"/>
      <c r="Z618" s="99"/>
      <c r="AB618" s="84"/>
      <c r="AC618" s="122"/>
      <c r="AD618" s="84"/>
      <c r="AE618" s="84"/>
      <c r="AF618" s="84"/>
      <c r="AG618" s="84"/>
      <c r="AH618" s="84"/>
      <c r="AI618" s="84"/>
    </row>
    <row r="619" ht="15.75" customHeight="1">
      <c r="A619" s="122"/>
      <c r="B619" s="122"/>
      <c r="C619" s="122"/>
      <c r="D619" s="84"/>
      <c r="E619" s="84"/>
      <c r="F619" s="261"/>
      <c r="H619" s="275"/>
      <c r="I619" s="275"/>
      <c r="J619" s="275"/>
      <c r="K619" s="275"/>
      <c r="L619" s="275"/>
      <c r="M619" s="260"/>
      <c r="N619" s="260"/>
      <c r="O619" s="99"/>
      <c r="P619" s="99"/>
      <c r="Q619" s="99"/>
      <c r="R619" s="99"/>
      <c r="S619" s="99"/>
      <c r="T619" s="99"/>
      <c r="U619" s="99"/>
      <c r="V619" s="99"/>
      <c r="W619" s="99"/>
      <c r="X619" s="99"/>
      <c r="Y619" s="99"/>
      <c r="Z619" s="99"/>
      <c r="AB619" s="84"/>
      <c r="AC619" s="127"/>
      <c r="AD619" s="84"/>
      <c r="AE619" s="84"/>
      <c r="AF619" s="84"/>
      <c r="AG619" s="84"/>
      <c r="AH619" s="84"/>
      <c r="AI619" s="84"/>
    </row>
    <row r="620" ht="15.75" customHeight="1">
      <c r="A620" s="122"/>
      <c r="B620" s="122"/>
      <c r="C620" s="122"/>
      <c r="D620" s="84"/>
      <c r="E620" s="84"/>
      <c r="F620" s="261"/>
      <c r="H620" s="275"/>
      <c r="I620" s="275"/>
      <c r="J620" s="275"/>
      <c r="K620" s="275"/>
      <c r="L620" s="275"/>
      <c r="M620" s="260"/>
      <c r="N620" s="260"/>
      <c r="O620" s="99"/>
      <c r="P620" s="99"/>
      <c r="Q620" s="99"/>
      <c r="R620" s="99"/>
      <c r="S620" s="99"/>
      <c r="T620" s="99"/>
      <c r="U620" s="99"/>
      <c r="V620" s="99"/>
      <c r="W620" s="99"/>
      <c r="X620" s="99"/>
      <c r="Y620" s="99"/>
      <c r="Z620" s="99"/>
      <c r="AB620" s="122"/>
      <c r="AC620" s="84"/>
      <c r="AD620" s="122"/>
      <c r="AE620" s="122"/>
      <c r="AF620" s="122"/>
      <c r="AG620" s="122"/>
      <c r="AH620" s="122"/>
      <c r="AI620" s="122"/>
    </row>
    <row r="621" ht="15.75" customHeight="1">
      <c r="A621" s="122"/>
      <c r="B621" s="122"/>
      <c r="C621" s="122"/>
      <c r="D621" s="84"/>
      <c r="E621" s="84"/>
      <c r="F621" s="261"/>
      <c r="H621" s="275"/>
      <c r="I621" s="275"/>
      <c r="J621" s="275"/>
      <c r="K621" s="275"/>
      <c r="L621" s="275"/>
      <c r="M621" s="260"/>
      <c r="N621" s="260"/>
      <c r="O621" s="99"/>
      <c r="P621" s="99"/>
      <c r="Q621" s="99"/>
      <c r="R621" s="99"/>
      <c r="S621" s="99"/>
      <c r="T621" s="99"/>
      <c r="U621" s="99"/>
      <c r="V621" s="99"/>
      <c r="W621" s="99"/>
      <c r="X621" s="99"/>
      <c r="Y621" s="99"/>
      <c r="Z621" s="99"/>
      <c r="AB621" s="122"/>
      <c r="AC621" s="84"/>
      <c r="AD621" s="122"/>
      <c r="AE621" s="122"/>
      <c r="AF621" s="122"/>
      <c r="AG621" s="122"/>
      <c r="AH621" s="122"/>
      <c r="AI621" s="122"/>
    </row>
    <row r="622" ht="15.75" customHeight="1">
      <c r="A622" s="122"/>
      <c r="B622" s="122"/>
      <c r="C622" s="122"/>
      <c r="D622" s="84"/>
      <c r="E622" s="84"/>
      <c r="F622" s="261"/>
      <c r="H622" s="275"/>
      <c r="I622" s="275"/>
      <c r="J622" s="275"/>
      <c r="K622" s="275"/>
      <c r="L622" s="275"/>
      <c r="M622" s="260"/>
      <c r="N622" s="260"/>
      <c r="O622" s="99"/>
      <c r="P622" s="99"/>
      <c r="Q622" s="99"/>
      <c r="R622" s="99"/>
      <c r="S622" s="99"/>
      <c r="T622" s="99"/>
      <c r="U622" s="99"/>
      <c r="V622" s="99"/>
      <c r="W622" s="99"/>
      <c r="X622" s="99"/>
      <c r="Y622" s="99"/>
      <c r="Z622" s="99"/>
      <c r="AB622" s="122"/>
      <c r="AC622" s="84"/>
      <c r="AD622" s="122"/>
      <c r="AE622" s="122"/>
      <c r="AF622" s="122"/>
      <c r="AG622" s="122"/>
      <c r="AH622" s="122"/>
      <c r="AI622" s="122"/>
    </row>
    <row r="623" ht="15.75" customHeight="1">
      <c r="A623" s="127"/>
      <c r="B623" s="127"/>
      <c r="C623" s="127"/>
      <c r="D623" s="84"/>
      <c r="E623" s="84"/>
      <c r="F623" s="261"/>
      <c r="H623" s="275"/>
      <c r="I623" s="275"/>
      <c r="J623" s="275"/>
      <c r="K623" s="275"/>
      <c r="L623" s="275"/>
      <c r="M623" s="260"/>
      <c r="N623" s="260"/>
      <c r="O623" s="99"/>
      <c r="P623" s="99"/>
      <c r="Q623" s="99"/>
      <c r="R623" s="99"/>
      <c r="S623" s="99"/>
      <c r="T623" s="99"/>
      <c r="U623" s="99"/>
      <c r="V623" s="99"/>
      <c r="W623" s="99"/>
      <c r="X623" s="99"/>
      <c r="Y623" s="99"/>
      <c r="Z623" s="99"/>
      <c r="AB623" s="122"/>
      <c r="AC623" s="84"/>
      <c r="AD623" s="122"/>
      <c r="AE623" s="122"/>
      <c r="AF623" s="122"/>
      <c r="AG623" s="122"/>
      <c r="AH623" s="122"/>
      <c r="AI623" s="122"/>
    </row>
    <row r="624" ht="15.75" customHeight="1">
      <c r="A624" s="84"/>
      <c r="B624" s="84"/>
      <c r="C624" s="84"/>
      <c r="D624" s="84"/>
      <c r="E624" s="84"/>
      <c r="F624" s="261"/>
      <c r="H624" s="275"/>
      <c r="I624" s="275"/>
      <c r="J624" s="275"/>
      <c r="K624" s="275"/>
      <c r="L624" s="275"/>
      <c r="M624" s="260"/>
      <c r="N624" s="260"/>
      <c r="O624" s="99"/>
      <c r="P624" s="99"/>
      <c r="Q624" s="99"/>
      <c r="R624" s="99"/>
      <c r="S624" s="99"/>
      <c r="T624" s="99"/>
      <c r="U624" s="99"/>
      <c r="V624" s="99"/>
      <c r="W624" s="99"/>
      <c r="X624" s="99"/>
      <c r="Y624" s="99"/>
      <c r="Z624" s="99"/>
      <c r="AB624" s="122"/>
      <c r="AC624" s="84"/>
      <c r="AD624" s="122"/>
      <c r="AE624" s="122"/>
      <c r="AF624" s="122"/>
      <c r="AG624" s="122"/>
      <c r="AH624" s="122"/>
      <c r="AI624" s="122"/>
    </row>
    <row r="625" ht="15.75" customHeight="1">
      <c r="A625" s="84"/>
      <c r="B625" s="84"/>
      <c r="C625" s="84"/>
      <c r="D625" s="84"/>
      <c r="E625" s="84"/>
      <c r="F625" s="261"/>
      <c r="H625" s="275"/>
      <c r="I625" s="275"/>
      <c r="J625" s="275"/>
      <c r="K625" s="275"/>
      <c r="L625" s="275"/>
      <c r="M625" s="260"/>
      <c r="N625" s="260"/>
      <c r="O625" s="99"/>
      <c r="P625" s="99"/>
      <c r="Q625" s="99"/>
      <c r="R625" s="99"/>
      <c r="S625" s="99"/>
      <c r="T625" s="99"/>
      <c r="U625" s="99"/>
      <c r="V625" s="99"/>
      <c r="W625" s="99"/>
      <c r="X625" s="99"/>
      <c r="Y625" s="99"/>
      <c r="Z625" s="99"/>
      <c r="AB625" s="122"/>
      <c r="AC625" s="84"/>
      <c r="AD625" s="122"/>
      <c r="AE625" s="122"/>
      <c r="AF625" s="122"/>
      <c r="AG625" s="122"/>
      <c r="AH625" s="122"/>
      <c r="AI625" s="122"/>
    </row>
    <row r="626" ht="15.75" customHeight="1">
      <c r="A626" s="84"/>
      <c r="B626" s="84"/>
      <c r="C626" s="84"/>
      <c r="D626" s="84"/>
      <c r="E626" s="84"/>
      <c r="F626" s="261"/>
      <c r="H626" s="275"/>
      <c r="I626" s="275"/>
      <c r="J626" s="275"/>
      <c r="K626" s="275"/>
      <c r="L626" s="275"/>
      <c r="M626" s="260"/>
      <c r="N626" s="260"/>
      <c r="O626" s="99"/>
      <c r="P626" s="99"/>
      <c r="Q626" s="99"/>
      <c r="R626" s="99"/>
      <c r="S626" s="99"/>
      <c r="T626" s="99"/>
      <c r="U626" s="99"/>
      <c r="V626" s="99"/>
      <c r="W626" s="99"/>
      <c r="X626" s="99"/>
      <c r="Y626" s="99"/>
      <c r="Z626" s="99"/>
      <c r="AB626" s="122"/>
      <c r="AC626" s="84"/>
      <c r="AD626" s="122"/>
      <c r="AE626" s="122"/>
      <c r="AF626" s="122"/>
      <c r="AG626" s="122"/>
      <c r="AH626" s="122"/>
      <c r="AI626" s="122"/>
    </row>
    <row r="627" ht="15.75" customHeight="1">
      <c r="A627" s="84"/>
      <c r="B627" s="84"/>
      <c r="C627" s="84"/>
      <c r="D627" s="84"/>
      <c r="E627" s="84"/>
      <c r="F627" s="261"/>
      <c r="H627" s="275"/>
      <c r="I627" s="275"/>
      <c r="J627" s="275"/>
      <c r="K627" s="275"/>
      <c r="L627" s="275"/>
      <c r="M627" s="260"/>
      <c r="N627" s="260"/>
      <c r="O627" s="99"/>
      <c r="P627" s="99"/>
      <c r="Q627" s="99"/>
      <c r="R627" s="99"/>
      <c r="S627" s="99"/>
      <c r="T627" s="99"/>
      <c r="U627" s="99"/>
      <c r="V627" s="99"/>
      <c r="W627" s="99"/>
      <c r="X627" s="99"/>
      <c r="Y627" s="99"/>
      <c r="Z627" s="99"/>
      <c r="AB627" s="122"/>
      <c r="AC627" s="84"/>
      <c r="AD627" s="122"/>
      <c r="AE627" s="122"/>
      <c r="AF627" s="122"/>
      <c r="AG627" s="122"/>
      <c r="AH627" s="122"/>
      <c r="AI627" s="122"/>
    </row>
    <row r="628" ht="15.75" customHeight="1">
      <c r="A628" s="84"/>
      <c r="B628" s="84"/>
      <c r="C628" s="84"/>
      <c r="D628" s="84"/>
      <c r="E628" s="84"/>
      <c r="F628" s="261"/>
      <c r="H628" s="275"/>
      <c r="I628" s="275"/>
      <c r="J628" s="275"/>
      <c r="K628" s="275"/>
      <c r="L628" s="275"/>
      <c r="M628" s="260"/>
      <c r="N628" s="260"/>
      <c r="O628" s="99"/>
      <c r="P628" s="99"/>
      <c r="Q628" s="99"/>
      <c r="R628" s="99"/>
      <c r="S628" s="99"/>
      <c r="T628" s="99"/>
      <c r="U628" s="99"/>
      <c r="V628" s="99"/>
      <c r="W628" s="99"/>
      <c r="X628" s="99"/>
      <c r="Y628" s="99"/>
      <c r="Z628" s="99"/>
      <c r="AB628" s="122"/>
      <c r="AC628" s="84"/>
      <c r="AD628" s="122"/>
      <c r="AE628" s="122"/>
      <c r="AF628" s="122"/>
      <c r="AG628" s="122"/>
      <c r="AH628" s="122"/>
      <c r="AI628" s="122"/>
    </row>
    <row r="629" ht="15.75" customHeight="1">
      <c r="A629" s="84"/>
      <c r="B629" s="84"/>
      <c r="C629" s="84"/>
      <c r="D629" s="84"/>
      <c r="E629" s="84"/>
      <c r="F629" s="261"/>
      <c r="H629" s="275"/>
      <c r="I629" s="275"/>
      <c r="J629" s="275"/>
      <c r="K629" s="275"/>
      <c r="L629" s="275"/>
      <c r="M629" s="260"/>
      <c r="N629" s="260"/>
      <c r="O629" s="99"/>
      <c r="P629" s="99"/>
      <c r="Q629" s="99"/>
      <c r="R629" s="99"/>
      <c r="S629" s="99"/>
      <c r="T629" s="99"/>
      <c r="U629" s="99"/>
      <c r="V629" s="99"/>
      <c r="W629" s="99"/>
      <c r="X629" s="99"/>
      <c r="Y629" s="99"/>
      <c r="Z629" s="99"/>
      <c r="AB629" s="122"/>
      <c r="AC629" s="84"/>
      <c r="AD629" s="122"/>
      <c r="AE629" s="122"/>
      <c r="AF629" s="122"/>
      <c r="AG629" s="122"/>
      <c r="AH629" s="122"/>
      <c r="AI629" s="122"/>
    </row>
    <row r="630" ht="15.75" customHeight="1">
      <c r="A630" s="84"/>
      <c r="B630" s="84"/>
      <c r="C630" s="84"/>
      <c r="D630" s="84"/>
      <c r="E630" s="84"/>
      <c r="F630" s="261"/>
      <c r="H630" s="275"/>
      <c r="I630" s="275"/>
      <c r="J630" s="275"/>
      <c r="K630" s="275"/>
      <c r="L630" s="275"/>
      <c r="M630" s="260"/>
      <c r="N630" s="260"/>
      <c r="O630" s="99"/>
      <c r="P630" s="99"/>
      <c r="Q630" s="99"/>
      <c r="R630" s="99"/>
      <c r="S630" s="99"/>
      <c r="T630" s="99"/>
      <c r="U630" s="99"/>
      <c r="V630" s="99"/>
      <c r="W630" s="99"/>
      <c r="X630" s="99"/>
      <c r="Y630" s="99"/>
      <c r="Z630" s="99"/>
      <c r="AB630" s="127"/>
      <c r="AC630" s="84"/>
      <c r="AD630" s="127"/>
      <c r="AE630" s="127"/>
      <c r="AF630" s="127"/>
      <c r="AG630" s="127"/>
      <c r="AH630" s="127"/>
      <c r="AI630" s="127"/>
    </row>
    <row r="631" ht="15.75" customHeight="1">
      <c r="A631" s="84"/>
      <c r="B631" s="84"/>
      <c r="C631" s="84"/>
      <c r="D631" s="84"/>
      <c r="E631" s="84"/>
      <c r="F631" s="261"/>
      <c r="H631" s="275"/>
      <c r="I631" s="275"/>
      <c r="J631" s="275"/>
      <c r="K631" s="275"/>
      <c r="L631" s="275"/>
      <c r="M631" s="260"/>
      <c r="N631" s="260"/>
      <c r="O631" s="99"/>
      <c r="P631" s="99"/>
      <c r="Q631" s="99"/>
      <c r="R631" s="99"/>
      <c r="S631" s="99"/>
      <c r="T631" s="99"/>
      <c r="U631" s="99"/>
      <c r="V631" s="99"/>
      <c r="W631" s="99"/>
      <c r="X631" s="99"/>
      <c r="Y631" s="99"/>
      <c r="Z631" s="99"/>
      <c r="AB631" s="84"/>
      <c r="AC631" s="84"/>
      <c r="AD631" s="84"/>
      <c r="AE631" s="84"/>
      <c r="AF631" s="84"/>
      <c r="AG631" s="84"/>
      <c r="AH631" s="84"/>
      <c r="AI631" s="84"/>
    </row>
    <row r="632" ht="15.75" customHeight="1">
      <c r="A632" s="84"/>
      <c r="B632" s="84"/>
      <c r="C632" s="84"/>
      <c r="D632" s="84"/>
      <c r="E632" s="84"/>
      <c r="F632" s="261"/>
      <c r="H632" s="275"/>
      <c r="I632" s="275"/>
      <c r="J632" s="275"/>
      <c r="K632" s="275"/>
      <c r="L632" s="275"/>
      <c r="M632" s="260"/>
      <c r="N632" s="260"/>
      <c r="O632" s="99"/>
      <c r="P632" s="99"/>
      <c r="Q632" s="99"/>
      <c r="R632" s="99"/>
      <c r="S632" s="99"/>
      <c r="T632" s="99"/>
      <c r="U632" s="99"/>
      <c r="V632" s="99"/>
      <c r="W632" s="99"/>
      <c r="X632" s="99"/>
      <c r="Y632" s="99"/>
      <c r="Z632" s="99"/>
      <c r="AB632" s="84"/>
      <c r="AC632" s="84"/>
      <c r="AD632" s="84"/>
      <c r="AE632" s="84"/>
      <c r="AF632" s="84"/>
      <c r="AG632" s="84"/>
      <c r="AH632" s="84"/>
      <c r="AI632" s="84"/>
    </row>
    <row r="633" ht="15.75" customHeight="1">
      <c r="A633" s="84"/>
      <c r="B633" s="84"/>
      <c r="C633" s="84"/>
      <c r="D633" s="84"/>
      <c r="E633" s="84"/>
      <c r="F633" s="261"/>
      <c r="H633" s="275"/>
      <c r="I633" s="275"/>
      <c r="J633" s="275"/>
      <c r="K633" s="275"/>
      <c r="L633" s="275"/>
      <c r="M633" s="260"/>
      <c r="N633" s="260"/>
      <c r="O633" s="99"/>
      <c r="P633" s="99"/>
      <c r="Q633" s="99"/>
      <c r="R633" s="99"/>
      <c r="S633" s="99"/>
      <c r="T633" s="99"/>
      <c r="U633" s="99"/>
      <c r="V633" s="99"/>
      <c r="W633" s="99"/>
      <c r="X633" s="99"/>
      <c r="Y633" s="99"/>
      <c r="Z633" s="99"/>
      <c r="AB633" s="84"/>
      <c r="AC633" s="84"/>
      <c r="AD633" s="84"/>
      <c r="AE633" s="84"/>
      <c r="AF633" s="84"/>
      <c r="AG633" s="84"/>
      <c r="AH633" s="84"/>
      <c r="AI633" s="84"/>
    </row>
    <row r="634" ht="15.75" customHeight="1">
      <c r="A634" s="84"/>
      <c r="B634" s="84"/>
      <c r="C634" s="84"/>
      <c r="D634" s="84"/>
      <c r="E634" s="84"/>
      <c r="F634" s="261"/>
      <c r="H634" s="275"/>
      <c r="I634" s="275"/>
      <c r="J634" s="275"/>
      <c r="K634" s="275"/>
      <c r="L634" s="275"/>
      <c r="M634" s="260"/>
      <c r="N634" s="260"/>
      <c r="O634" s="99"/>
      <c r="P634" s="99"/>
      <c r="Q634" s="99"/>
      <c r="R634" s="99"/>
      <c r="S634" s="99"/>
      <c r="T634" s="99"/>
      <c r="U634" s="99"/>
      <c r="V634" s="99"/>
      <c r="W634" s="99"/>
      <c r="X634" s="99"/>
      <c r="Y634" s="99"/>
      <c r="Z634" s="99"/>
      <c r="AB634" s="84"/>
      <c r="AC634" s="84"/>
      <c r="AD634" s="84"/>
      <c r="AE634" s="84"/>
      <c r="AF634" s="84"/>
      <c r="AG634" s="84"/>
      <c r="AH634" s="84"/>
      <c r="AI634" s="84"/>
    </row>
    <row r="635" ht="15.75" customHeight="1">
      <c r="A635" s="84"/>
      <c r="B635" s="84"/>
      <c r="C635" s="84"/>
      <c r="D635" s="84"/>
      <c r="E635" s="84"/>
      <c r="F635" s="261"/>
      <c r="H635" s="275"/>
      <c r="I635" s="275"/>
      <c r="J635" s="275"/>
      <c r="K635" s="275"/>
      <c r="L635" s="275"/>
      <c r="M635" s="260"/>
      <c r="N635" s="260"/>
      <c r="O635" s="99"/>
      <c r="P635" s="99"/>
      <c r="Q635" s="99"/>
      <c r="R635" s="99"/>
      <c r="S635" s="99"/>
      <c r="T635" s="99"/>
      <c r="U635" s="99"/>
      <c r="V635" s="99"/>
      <c r="W635" s="99"/>
      <c r="X635" s="99"/>
      <c r="Y635" s="99"/>
      <c r="Z635" s="99"/>
      <c r="AB635" s="84"/>
      <c r="AC635" s="84"/>
      <c r="AD635" s="84"/>
      <c r="AE635" s="84"/>
      <c r="AF635" s="84"/>
      <c r="AG635" s="84"/>
      <c r="AH635" s="84"/>
      <c r="AI635" s="84"/>
    </row>
    <row r="636" ht="15.75" customHeight="1">
      <c r="A636" s="84"/>
      <c r="B636" s="84"/>
      <c r="C636" s="84"/>
      <c r="D636" s="84"/>
      <c r="E636" s="84"/>
      <c r="F636" s="261"/>
      <c r="H636" s="275"/>
      <c r="I636" s="275"/>
      <c r="J636" s="275"/>
      <c r="K636" s="275"/>
      <c r="L636" s="275"/>
      <c r="M636" s="260"/>
      <c r="N636" s="260"/>
      <c r="O636" s="99"/>
      <c r="P636" s="99"/>
      <c r="Q636" s="99"/>
      <c r="R636" s="99"/>
      <c r="S636" s="99"/>
      <c r="T636" s="99"/>
      <c r="U636" s="99"/>
      <c r="V636" s="99"/>
      <c r="W636" s="99"/>
      <c r="X636" s="99"/>
      <c r="Y636" s="99"/>
      <c r="Z636" s="99"/>
      <c r="AB636" s="84"/>
      <c r="AC636" s="84"/>
      <c r="AD636" s="84"/>
      <c r="AE636" s="84"/>
      <c r="AF636" s="84"/>
      <c r="AG636" s="84"/>
      <c r="AH636" s="84"/>
      <c r="AI636" s="84"/>
    </row>
    <row r="637" ht="15.75" customHeight="1">
      <c r="A637" s="84"/>
      <c r="B637" s="84"/>
      <c r="C637" s="84"/>
      <c r="D637" s="84"/>
      <c r="E637" s="84"/>
      <c r="F637" s="261"/>
      <c r="H637" s="275"/>
      <c r="I637" s="275"/>
      <c r="J637" s="275"/>
      <c r="K637" s="275"/>
      <c r="L637" s="275"/>
      <c r="M637" s="260"/>
      <c r="N637" s="260"/>
      <c r="O637" s="99"/>
      <c r="P637" s="99"/>
      <c r="Q637" s="99"/>
      <c r="R637" s="99"/>
      <c r="S637" s="99"/>
      <c r="T637" s="99"/>
      <c r="U637" s="99"/>
      <c r="V637" s="99"/>
      <c r="W637" s="99"/>
      <c r="X637" s="99"/>
      <c r="Y637" s="99"/>
      <c r="Z637" s="99"/>
      <c r="AB637" s="84"/>
      <c r="AC637" s="84"/>
      <c r="AD637" s="84"/>
      <c r="AE637" s="84"/>
      <c r="AF637" s="84"/>
      <c r="AG637" s="84"/>
      <c r="AH637" s="84"/>
      <c r="AI637" s="84"/>
    </row>
    <row r="638" ht="15.75" customHeight="1">
      <c r="A638" s="84"/>
      <c r="B638" s="84"/>
      <c r="C638" s="84"/>
      <c r="D638" s="84"/>
      <c r="E638" s="84"/>
      <c r="F638" s="261"/>
      <c r="H638" s="275"/>
      <c r="I638" s="275"/>
      <c r="J638" s="275"/>
      <c r="K638" s="275"/>
      <c r="L638" s="275"/>
      <c r="M638" s="260"/>
      <c r="N638" s="260"/>
      <c r="O638" s="99"/>
      <c r="P638" s="99"/>
      <c r="Q638" s="99"/>
      <c r="R638" s="99"/>
      <c r="S638" s="99"/>
      <c r="T638" s="99"/>
      <c r="U638" s="99"/>
      <c r="V638" s="99"/>
      <c r="W638" s="99"/>
      <c r="X638" s="99"/>
      <c r="Y638" s="99"/>
      <c r="Z638" s="99"/>
      <c r="AB638" s="84"/>
      <c r="AC638" s="84"/>
      <c r="AD638" s="84"/>
      <c r="AE638" s="84"/>
      <c r="AF638" s="84"/>
      <c r="AG638" s="84"/>
      <c r="AH638" s="84"/>
      <c r="AI638" s="84"/>
    </row>
    <row r="639" ht="15.75" customHeight="1">
      <c r="A639" s="84"/>
      <c r="B639" s="84"/>
      <c r="C639" s="84"/>
      <c r="D639" s="84"/>
      <c r="E639" s="84"/>
      <c r="F639" s="261"/>
      <c r="H639" s="275"/>
      <c r="I639" s="275"/>
      <c r="J639" s="275"/>
      <c r="K639" s="275"/>
      <c r="L639" s="275"/>
      <c r="M639" s="260"/>
      <c r="N639" s="260"/>
      <c r="O639" s="99"/>
      <c r="P639" s="99"/>
      <c r="Q639" s="99"/>
      <c r="R639" s="99"/>
      <c r="S639" s="99"/>
      <c r="T639" s="99"/>
      <c r="U639" s="99"/>
      <c r="V639" s="99"/>
      <c r="W639" s="99"/>
      <c r="X639" s="99"/>
      <c r="Y639" s="99"/>
      <c r="Z639" s="99"/>
      <c r="AB639" s="84"/>
      <c r="AC639" s="84"/>
      <c r="AD639" s="84"/>
      <c r="AE639" s="84"/>
      <c r="AF639" s="84"/>
      <c r="AG639" s="84"/>
      <c r="AH639" s="84"/>
      <c r="AI639" s="84"/>
    </row>
    <row r="640" ht="15.75" customHeight="1">
      <c r="A640" s="84"/>
      <c r="B640" s="84"/>
      <c r="C640" s="84"/>
      <c r="D640" s="84"/>
      <c r="E640" s="84"/>
      <c r="F640" s="261"/>
      <c r="H640" s="275"/>
      <c r="I640" s="275"/>
      <c r="J640" s="275"/>
      <c r="K640" s="275"/>
      <c r="L640" s="275"/>
      <c r="M640" s="260"/>
      <c r="N640" s="260"/>
      <c r="O640" s="99"/>
      <c r="P640" s="99"/>
      <c r="Q640" s="99"/>
      <c r="R640" s="99"/>
      <c r="S640" s="99"/>
      <c r="T640" s="99"/>
      <c r="U640" s="99"/>
      <c r="V640" s="99"/>
      <c r="W640" s="99"/>
      <c r="X640" s="99"/>
      <c r="Y640" s="99"/>
      <c r="Z640" s="99"/>
      <c r="AB640" s="84"/>
      <c r="AC640" s="84"/>
      <c r="AD640" s="84"/>
      <c r="AE640" s="84"/>
      <c r="AF640" s="84"/>
      <c r="AG640" s="84"/>
      <c r="AH640" s="84"/>
      <c r="AI640" s="84"/>
    </row>
    <row r="641" ht="15.75" customHeight="1">
      <c r="A641" s="84"/>
      <c r="B641" s="84"/>
      <c r="C641" s="84"/>
      <c r="D641" s="84"/>
      <c r="E641" s="84"/>
      <c r="F641" s="261"/>
      <c r="H641" s="275"/>
      <c r="I641" s="275"/>
      <c r="J641" s="275"/>
      <c r="K641" s="275"/>
      <c r="L641" s="275"/>
      <c r="M641" s="260"/>
      <c r="N641" s="260"/>
      <c r="O641" s="99"/>
      <c r="P641" s="99"/>
      <c r="Q641" s="99"/>
      <c r="R641" s="99"/>
      <c r="S641" s="99"/>
      <c r="T641" s="99"/>
      <c r="U641" s="99"/>
      <c r="V641" s="99"/>
      <c r="W641" s="99"/>
      <c r="X641" s="99"/>
      <c r="Y641" s="99"/>
      <c r="Z641" s="99"/>
      <c r="AB641" s="84"/>
      <c r="AC641" s="84"/>
      <c r="AD641" s="84"/>
      <c r="AE641" s="84"/>
      <c r="AF641" s="84"/>
      <c r="AG641" s="84"/>
      <c r="AH641" s="84"/>
      <c r="AI641" s="84"/>
    </row>
    <row r="642" ht="15.75" customHeight="1">
      <c r="A642" s="84"/>
      <c r="B642" s="84"/>
      <c r="C642" s="84"/>
      <c r="D642" s="84"/>
      <c r="E642" s="84"/>
      <c r="F642" s="261"/>
      <c r="H642" s="275"/>
      <c r="I642" s="275"/>
      <c r="J642" s="275"/>
      <c r="K642" s="275"/>
      <c r="L642" s="275"/>
      <c r="M642" s="260"/>
      <c r="N642" s="260"/>
      <c r="O642" s="99"/>
      <c r="P642" s="99"/>
      <c r="Q642" s="99"/>
      <c r="R642" s="99"/>
      <c r="S642" s="99"/>
      <c r="T642" s="99"/>
      <c r="U642" s="99"/>
      <c r="V642" s="99"/>
      <c r="W642" s="99"/>
      <c r="X642" s="99"/>
      <c r="Y642" s="99"/>
      <c r="Z642" s="99"/>
      <c r="AB642" s="84"/>
      <c r="AC642" s="84"/>
      <c r="AD642" s="84"/>
      <c r="AE642" s="84"/>
      <c r="AF642" s="84"/>
      <c r="AG642" s="84"/>
      <c r="AH642" s="84"/>
      <c r="AI642" s="84"/>
    </row>
    <row r="643" ht="15.75" customHeight="1">
      <c r="A643" s="84"/>
      <c r="B643" s="84"/>
      <c r="C643" s="84"/>
      <c r="D643" s="84"/>
      <c r="E643" s="84"/>
      <c r="F643" s="261"/>
      <c r="H643" s="275"/>
      <c r="I643" s="275"/>
      <c r="J643" s="275"/>
      <c r="K643" s="275"/>
      <c r="L643" s="275"/>
      <c r="M643" s="260"/>
      <c r="N643" s="260"/>
      <c r="O643" s="99"/>
      <c r="P643" s="99"/>
      <c r="Q643" s="99"/>
      <c r="R643" s="99"/>
      <c r="S643" s="99"/>
      <c r="T643" s="99"/>
      <c r="U643" s="99"/>
      <c r="V643" s="99"/>
      <c r="W643" s="99"/>
      <c r="X643" s="99"/>
      <c r="Y643" s="99"/>
      <c r="Z643" s="99"/>
      <c r="AB643" s="84"/>
      <c r="AC643" s="84"/>
      <c r="AD643" s="84"/>
      <c r="AE643" s="84"/>
      <c r="AF643" s="84"/>
      <c r="AG643" s="84"/>
      <c r="AH643" s="84"/>
      <c r="AI643" s="84"/>
    </row>
    <row r="644" ht="15.75" customHeight="1">
      <c r="A644" s="84"/>
      <c r="B644" s="84"/>
      <c r="C644" s="84"/>
      <c r="D644" s="84"/>
      <c r="E644" s="84"/>
      <c r="F644" s="261"/>
      <c r="H644" s="275"/>
      <c r="I644" s="275"/>
      <c r="J644" s="275"/>
      <c r="K644" s="275"/>
      <c r="L644" s="275"/>
      <c r="M644" s="260"/>
      <c r="N644" s="260"/>
      <c r="O644" s="99"/>
      <c r="P644" s="99"/>
      <c r="Q644" s="99"/>
      <c r="R644" s="99"/>
      <c r="S644" s="99"/>
      <c r="T644" s="99"/>
      <c r="U644" s="99"/>
      <c r="V644" s="99"/>
      <c r="W644" s="99"/>
      <c r="X644" s="99"/>
      <c r="Y644" s="99"/>
      <c r="Z644" s="99"/>
      <c r="AB644" s="84"/>
      <c r="AC644" s="84"/>
      <c r="AD644" s="84"/>
      <c r="AE644" s="84"/>
      <c r="AF644" s="84"/>
      <c r="AG644" s="84"/>
      <c r="AH644" s="84"/>
      <c r="AI644" s="84"/>
    </row>
    <row r="645" ht="15.75" customHeight="1">
      <c r="A645" s="84"/>
      <c r="B645" s="84"/>
      <c r="C645" s="84"/>
      <c r="D645" s="84"/>
      <c r="E645" s="84"/>
      <c r="F645" s="261"/>
      <c r="H645" s="275"/>
      <c r="I645" s="275"/>
      <c r="J645" s="275"/>
      <c r="K645" s="275"/>
      <c r="L645" s="275"/>
      <c r="M645" s="260"/>
      <c r="N645" s="260"/>
      <c r="O645" s="99"/>
      <c r="P645" s="99"/>
      <c r="Q645" s="99"/>
      <c r="R645" s="99"/>
      <c r="S645" s="99"/>
      <c r="T645" s="99"/>
      <c r="U645" s="99"/>
      <c r="V645" s="99"/>
      <c r="W645" s="99"/>
      <c r="X645" s="99"/>
      <c r="Y645" s="99"/>
      <c r="Z645" s="99"/>
      <c r="AB645" s="84"/>
      <c r="AC645" s="84"/>
      <c r="AD645" s="84"/>
      <c r="AE645" s="84"/>
      <c r="AF645" s="84"/>
      <c r="AG645" s="84"/>
      <c r="AH645" s="84"/>
      <c r="AI645" s="84"/>
    </row>
    <row r="646" ht="15.75" customHeight="1">
      <c r="A646" s="84"/>
      <c r="B646" s="84"/>
      <c r="C646" s="84"/>
      <c r="D646" s="84"/>
      <c r="E646" s="84"/>
      <c r="F646" s="261"/>
      <c r="H646" s="275"/>
      <c r="I646" s="275"/>
      <c r="J646" s="275"/>
      <c r="K646" s="275"/>
      <c r="L646" s="275"/>
      <c r="M646" s="260"/>
      <c r="N646" s="260"/>
      <c r="O646" s="99"/>
      <c r="P646" s="99"/>
      <c r="Q646" s="99"/>
      <c r="R646" s="99"/>
      <c r="S646" s="99"/>
      <c r="T646" s="99"/>
      <c r="U646" s="99"/>
      <c r="V646" s="99"/>
      <c r="W646" s="99"/>
      <c r="X646" s="99"/>
      <c r="Y646" s="99"/>
      <c r="Z646" s="99"/>
      <c r="AB646" s="84"/>
      <c r="AC646" s="84"/>
      <c r="AD646" s="84"/>
      <c r="AE646" s="84"/>
      <c r="AF646" s="84"/>
      <c r="AG646" s="84"/>
      <c r="AH646" s="84"/>
      <c r="AI646" s="84"/>
    </row>
    <row r="647" ht="15.75" customHeight="1">
      <c r="A647" s="84"/>
      <c r="B647" s="84"/>
      <c r="C647" s="84"/>
      <c r="D647" s="84"/>
      <c r="E647" s="84"/>
      <c r="F647" s="261"/>
      <c r="H647" s="275"/>
      <c r="I647" s="275"/>
      <c r="J647" s="275"/>
      <c r="K647" s="275"/>
      <c r="L647" s="275"/>
      <c r="M647" s="260"/>
      <c r="N647" s="260"/>
      <c r="O647" s="99"/>
      <c r="P647" s="99"/>
      <c r="Q647" s="99"/>
      <c r="R647" s="99"/>
      <c r="S647" s="99"/>
      <c r="T647" s="99"/>
      <c r="U647" s="99"/>
      <c r="V647" s="99"/>
      <c r="W647" s="99"/>
      <c r="X647" s="99"/>
      <c r="Y647" s="99"/>
      <c r="Z647" s="99"/>
      <c r="AB647" s="84"/>
      <c r="AC647" s="84"/>
      <c r="AD647" s="84"/>
      <c r="AE647" s="84"/>
      <c r="AF647" s="84"/>
      <c r="AG647" s="84"/>
      <c r="AH647" s="84"/>
      <c r="AI647" s="84"/>
    </row>
    <row r="648" ht="15.75" customHeight="1">
      <c r="A648" s="84"/>
      <c r="B648" s="84"/>
      <c r="C648" s="84"/>
      <c r="D648" s="84"/>
      <c r="E648" s="84"/>
      <c r="F648" s="261"/>
      <c r="H648" s="275"/>
      <c r="I648" s="275"/>
      <c r="J648" s="275"/>
      <c r="K648" s="275"/>
      <c r="L648" s="275"/>
      <c r="M648" s="260"/>
      <c r="N648" s="260"/>
      <c r="O648" s="99"/>
      <c r="P648" s="99"/>
      <c r="Q648" s="99"/>
      <c r="R648" s="99"/>
      <c r="S648" s="99"/>
      <c r="T648" s="99"/>
      <c r="U648" s="99"/>
      <c r="V648" s="99"/>
      <c r="W648" s="99"/>
      <c r="X648" s="99"/>
      <c r="Y648" s="99"/>
      <c r="Z648" s="99"/>
      <c r="AB648" s="84"/>
      <c r="AC648" s="84"/>
      <c r="AD648" s="84"/>
      <c r="AE648" s="84"/>
      <c r="AF648" s="84"/>
      <c r="AG648" s="84"/>
      <c r="AH648" s="84"/>
      <c r="AI648" s="84"/>
    </row>
    <row r="649" ht="15.75" customHeight="1">
      <c r="A649" s="84"/>
      <c r="B649" s="84"/>
      <c r="C649" s="84"/>
      <c r="D649" s="84"/>
      <c r="E649" s="84"/>
      <c r="F649" s="261"/>
      <c r="H649" s="275"/>
      <c r="I649" s="275"/>
      <c r="J649" s="275"/>
      <c r="K649" s="275"/>
      <c r="L649" s="275"/>
      <c r="M649" s="260"/>
      <c r="N649" s="260"/>
      <c r="O649" s="99"/>
      <c r="P649" s="99"/>
      <c r="Q649" s="99"/>
      <c r="R649" s="99"/>
      <c r="S649" s="99"/>
      <c r="T649" s="99"/>
      <c r="U649" s="99"/>
      <c r="V649" s="99"/>
      <c r="W649" s="99"/>
      <c r="X649" s="99"/>
      <c r="Y649" s="99"/>
      <c r="Z649" s="99"/>
      <c r="AB649" s="84"/>
      <c r="AC649" s="84"/>
      <c r="AD649" s="84"/>
      <c r="AE649" s="84"/>
      <c r="AF649" s="84"/>
      <c r="AG649" s="84"/>
      <c r="AH649" s="84"/>
      <c r="AI649" s="84"/>
    </row>
    <row r="650" ht="15.75" customHeight="1">
      <c r="A650" s="84"/>
      <c r="B650" s="84"/>
      <c r="C650" s="84"/>
      <c r="D650" s="84"/>
      <c r="E650" s="84"/>
      <c r="F650" s="261"/>
      <c r="H650" s="275"/>
      <c r="I650" s="275"/>
      <c r="J650" s="275"/>
      <c r="K650" s="275"/>
      <c r="L650" s="275"/>
      <c r="M650" s="260"/>
      <c r="N650" s="260"/>
      <c r="O650" s="99"/>
      <c r="P650" s="99"/>
      <c r="Q650" s="99"/>
      <c r="R650" s="99"/>
      <c r="S650" s="99"/>
      <c r="T650" s="99"/>
      <c r="U650" s="99"/>
      <c r="V650" s="99"/>
      <c r="W650" s="99"/>
      <c r="X650" s="99"/>
      <c r="Y650" s="99"/>
      <c r="Z650" s="99"/>
      <c r="AB650" s="84"/>
      <c r="AC650" s="84"/>
      <c r="AD650" s="84"/>
      <c r="AE650" s="84"/>
      <c r="AF650" s="84"/>
      <c r="AG650" s="84"/>
      <c r="AH650" s="84"/>
      <c r="AI650" s="84"/>
    </row>
    <row r="651" ht="15.75" customHeight="1">
      <c r="A651" s="84"/>
      <c r="B651" s="84"/>
      <c r="C651" s="84"/>
      <c r="D651" s="84"/>
      <c r="E651" s="84"/>
      <c r="F651" s="261"/>
      <c r="H651" s="275"/>
      <c r="I651" s="275"/>
      <c r="J651" s="275"/>
      <c r="K651" s="275"/>
      <c r="L651" s="275"/>
      <c r="M651" s="260"/>
      <c r="N651" s="260"/>
      <c r="O651" s="99"/>
      <c r="P651" s="99"/>
      <c r="Q651" s="99"/>
      <c r="R651" s="99"/>
      <c r="S651" s="99"/>
      <c r="T651" s="99"/>
      <c r="U651" s="99"/>
      <c r="V651" s="99"/>
      <c r="W651" s="99"/>
      <c r="X651" s="99"/>
      <c r="Y651" s="99"/>
      <c r="Z651" s="99"/>
      <c r="AB651" s="84"/>
      <c r="AC651" s="84"/>
      <c r="AD651" s="84"/>
      <c r="AE651" s="84"/>
      <c r="AF651" s="84"/>
      <c r="AG651" s="84"/>
      <c r="AH651" s="84"/>
      <c r="AI651" s="84"/>
    </row>
    <row r="652" ht="15.75" customHeight="1">
      <c r="A652" s="84"/>
      <c r="B652" s="84"/>
      <c r="C652" s="84"/>
      <c r="D652" s="84"/>
      <c r="E652" s="84"/>
      <c r="F652" s="261"/>
      <c r="H652" s="275"/>
      <c r="I652" s="275"/>
      <c r="J652" s="275"/>
      <c r="K652" s="275"/>
      <c r="L652" s="275"/>
      <c r="M652" s="275"/>
      <c r="N652" s="260"/>
      <c r="O652" s="99"/>
      <c r="P652" s="99"/>
      <c r="Q652" s="99"/>
      <c r="R652" s="99"/>
      <c r="S652" s="99"/>
      <c r="T652" s="99"/>
      <c r="U652" s="99"/>
      <c r="V652" s="99"/>
      <c r="W652" s="99"/>
      <c r="X652" s="99"/>
      <c r="Y652" s="99"/>
      <c r="Z652" s="99"/>
      <c r="AB652" s="84"/>
      <c r="AC652" s="84"/>
      <c r="AD652" s="84"/>
      <c r="AE652" s="84"/>
      <c r="AF652" s="84"/>
      <c r="AG652" s="84"/>
      <c r="AH652" s="84"/>
      <c r="AI652" s="84"/>
    </row>
    <row r="653" ht="15.75" customHeight="1">
      <c r="A653" s="84"/>
      <c r="B653" s="84"/>
      <c r="C653" s="84"/>
      <c r="D653" s="84"/>
      <c r="E653" s="84"/>
      <c r="F653" s="261"/>
      <c r="H653" s="275"/>
      <c r="I653" s="275"/>
      <c r="J653" s="275"/>
      <c r="K653" s="275"/>
      <c r="L653" s="275"/>
      <c r="M653" s="275"/>
      <c r="N653" s="260"/>
      <c r="O653" s="99"/>
      <c r="P653" s="99"/>
      <c r="Q653" s="99"/>
      <c r="R653" s="99"/>
      <c r="S653" s="99"/>
      <c r="T653" s="99"/>
      <c r="U653" s="99"/>
      <c r="V653" s="99"/>
      <c r="W653" s="99"/>
      <c r="X653" s="99"/>
      <c r="Y653" s="99"/>
      <c r="Z653" s="99"/>
      <c r="AB653" s="84"/>
      <c r="AC653" s="84"/>
      <c r="AD653" s="84"/>
      <c r="AE653" s="84"/>
      <c r="AF653" s="84"/>
      <c r="AG653" s="84"/>
      <c r="AH653" s="84"/>
      <c r="AI653" s="84"/>
    </row>
    <row r="654" ht="15.75" customHeight="1">
      <c r="A654" s="84"/>
      <c r="B654" s="84"/>
      <c r="C654" s="84"/>
      <c r="D654" s="84"/>
      <c r="E654" s="84"/>
      <c r="F654" s="261"/>
      <c r="H654" s="275"/>
      <c r="I654" s="275"/>
      <c r="J654" s="275"/>
      <c r="K654" s="275"/>
      <c r="L654" s="275"/>
      <c r="M654" s="275"/>
      <c r="N654" s="260"/>
      <c r="O654" s="99"/>
      <c r="P654" s="99"/>
      <c r="Q654" s="99"/>
      <c r="R654" s="99"/>
      <c r="S654" s="99"/>
      <c r="T654" s="99"/>
      <c r="U654" s="99"/>
      <c r="V654" s="99"/>
      <c r="W654" s="99"/>
      <c r="X654" s="99"/>
      <c r="Y654" s="99"/>
      <c r="Z654" s="99"/>
      <c r="AB654" s="84"/>
      <c r="AC654" s="84"/>
      <c r="AD654" s="84"/>
      <c r="AE654" s="84"/>
      <c r="AF654" s="84"/>
      <c r="AG654" s="84"/>
      <c r="AH654" s="84"/>
      <c r="AI654" s="84"/>
    </row>
    <row r="655" ht="15.75" customHeight="1">
      <c r="A655" s="84"/>
      <c r="B655" s="84"/>
      <c r="C655" s="84"/>
      <c r="D655" s="84"/>
      <c r="E655" s="84"/>
      <c r="F655" s="261"/>
      <c r="H655" s="275"/>
      <c r="I655" s="275"/>
      <c r="J655" s="275"/>
      <c r="K655" s="275"/>
      <c r="L655" s="275"/>
      <c r="M655" s="275"/>
      <c r="N655" s="260"/>
      <c r="O655" s="99"/>
      <c r="P655" s="99"/>
      <c r="Q655" s="99"/>
      <c r="R655" s="99"/>
      <c r="S655" s="99"/>
      <c r="T655" s="99"/>
      <c r="U655" s="99"/>
      <c r="V655" s="99"/>
      <c r="W655" s="99"/>
      <c r="X655" s="99"/>
      <c r="Y655" s="99"/>
      <c r="Z655" s="99"/>
      <c r="AB655" s="84"/>
      <c r="AC655" s="84"/>
      <c r="AD655" s="84"/>
      <c r="AE655" s="84"/>
      <c r="AF655" s="84"/>
      <c r="AG655" s="84"/>
      <c r="AH655" s="84"/>
      <c r="AI655" s="84"/>
    </row>
    <row r="656" ht="15.75" customHeight="1">
      <c r="A656" s="84"/>
      <c r="B656" s="84"/>
      <c r="C656" s="84"/>
      <c r="D656" s="84"/>
      <c r="E656" s="84"/>
      <c r="F656" s="261"/>
      <c r="H656" s="275"/>
      <c r="I656" s="275"/>
      <c r="J656" s="275"/>
      <c r="K656" s="275"/>
      <c r="L656" s="275"/>
      <c r="M656" s="275"/>
      <c r="N656" s="260"/>
      <c r="O656" s="99"/>
      <c r="P656" s="99"/>
      <c r="Q656" s="99"/>
      <c r="R656" s="99"/>
      <c r="S656" s="99"/>
      <c r="T656" s="99"/>
      <c r="U656" s="99"/>
      <c r="V656" s="99"/>
      <c r="W656" s="99"/>
      <c r="X656" s="99"/>
      <c r="Y656" s="99"/>
      <c r="Z656" s="99"/>
      <c r="AB656" s="84"/>
      <c r="AC656" s="84"/>
      <c r="AD656" s="84"/>
      <c r="AE656" s="84"/>
      <c r="AF656" s="84"/>
      <c r="AG656" s="84"/>
      <c r="AH656" s="84"/>
      <c r="AI656" s="84"/>
    </row>
    <row r="657" ht="15.75" customHeight="1">
      <c r="A657" s="84"/>
      <c r="B657" s="84"/>
      <c r="C657" s="84"/>
      <c r="D657" s="84"/>
      <c r="E657" s="84"/>
      <c r="F657" s="261"/>
      <c r="H657" s="275"/>
      <c r="I657" s="275"/>
      <c r="J657" s="275"/>
      <c r="K657" s="275"/>
      <c r="L657" s="275"/>
      <c r="M657" s="275"/>
      <c r="N657" s="260"/>
      <c r="O657" s="99"/>
      <c r="P657" s="99"/>
      <c r="Q657" s="99"/>
      <c r="R657" s="99"/>
      <c r="S657" s="99"/>
      <c r="T657" s="99"/>
      <c r="U657" s="99"/>
      <c r="V657" s="99"/>
      <c r="W657" s="99"/>
      <c r="X657" s="99"/>
      <c r="Y657" s="99"/>
      <c r="Z657" s="99"/>
      <c r="AB657" s="84"/>
      <c r="AC657" s="84"/>
      <c r="AD657" s="84"/>
      <c r="AE657" s="84"/>
      <c r="AF657" s="84"/>
      <c r="AG657" s="84"/>
      <c r="AH657" s="84"/>
      <c r="AI657" s="84"/>
    </row>
    <row r="658" ht="15.75" customHeight="1">
      <c r="A658" s="84"/>
      <c r="B658" s="84"/>
      <c r="C658" s="84"/>
      <c r="D658" s="84"/>
      <c r="E658" s="84"/>
      <c r="F658" s="261"/>
      <c r="H658" s="275"/>
      <c r="I658" s="275"/>
      <c r="J658" s="275"/>
      <c r="K658" s="275"/>
      <c r="L658" s="275"/>
      <c r="M658" s="275"/>
      <c r="N658" s="260"/>
      <c r="O658" s="99"/>
      <c r="P658" s="99"/>
      <c r="Q658" s="99"/>
      <c r="R658" s="99"/>
      <c r="S658" s="99"/>
      <c r="T658" s="99"/>
      <c r="U658" s="99"/>
      <c r="V658" s="99"/>
      <c r="W658" s="99"/>
      <c r="X658" s="99"/>
      <c r="Y658" s="99"/>
      <c r="Z658" s="99"/>
      <c r="AB658" s="84"/>
      <c r="AC658" s="84"/>
      <c r="AD658" s="84"/>
      <c r="AE658" s="84"/>
      <c r="AF658" s="84"/>
      <c r="AG658" s="84"/>
      <c r="AH658" s="84"/>
      <c r="AI658" s="84"/>
    </row>
    <row r="659" ht="15.75" customHeight="1">
      <c r="A659" s="84"/>
      <c r="B659" s="84"/>
      <c r="C659" s="84"/>
      <c r="D659" s="84"/>
      <c r="E659" s="84"/>
      <c r="F659" s="261"/>
      <c r="H659" s="275"/>
      <c r="I659" s="275"/>
      <c r="J659" s="275"/>
      <c r="K659" s="275"/>
      <c r="L659" s="275"/>
      <c r="M659" s="275"/>
      <c r="N659" s="260"/>
      <c r="O659" s="99"/>
      <c r="P659" s="99"/>
      <c r="Q659" s="99"/>
      <c r="R659" s="99"/>
      <c r="S659" s="99"/>
      <c r="T659" s="99"/>
      <c r="U659" s="99"/>
      <c r="V659" s="99"/>
      <c r="W659" s="99"/>
      <c r="X659" s="99"/>
      <c r="Y659" s="99"/>
      <c r="Z659" s="99"/>
      <c r="AB659" s="84"/>
      <c r="AC659" s="84"/>
      <c r="AD659" s="84"/>
      <c r="AE659" s="84"/>
      <c r="AF659" s="84"/>
      <c r="AG659" s="84"/>
      <c r="AH659" s="84"/>
      <c r="AI659" s="84"/>
    </row>
    <row r="660" ht="15.75" customHeight="1">
      <c r="A660" s="84"/>
      <c r="B660" s="84"/>
      <c r="C660" s="84"/>
      <c r="D660" s="84"/>
      <c r="E660" s="84"/>
      <c r="F660" s="276"/>
      <c r="H660" s="275"/>
      <c r="I660" s="275"/>
      <c r="J660" s="275"/>
      <c r="K660" s="275"/>
      <c r="L660" s="275"/>
      <c r="M660" s="275"/>
      <c r="N660" s="260"/>
      <c r="O660" s="99"/>
      <c r="P660" s="99"/>
      <c r="Q660" s="99"/>
      <c r="R660" s="99"/>
      <c r="S660" s="99"/>
      <c r="T660" s="99"/>
      <c r="U660" s="99"/>
      <c r="V660" s="99"/>
      <c r="W660" s="99"/>
      <c r="X660" s="99"/>
      <c r="Y660" s="99"/>
      <c r="Z660" s="99"/>
      <c r="AB660" s="84"/>
      <c r="AC660" s="84"/>
      <c r="AD660" s="84"/>
      <c r="AE660" s="84"/>
      <c r="AF660" s="84"/>
      <c r="AG660" s="84"/>
      <c r="AH660" s="84"/>
      <c r="AI660" s="84"/>
    </row>
    <row r="661" ht="15.75" customHeight="1">
      <c r="A661" s="84"/>
      <c r="B661" s="84"/>
      <c r="C661" s="84"/>
      <c r="D661" s="84"/>
      <c r="E661" s="84"/>
      <c r="F661" s="276"/>
      <c r="H661" s="275"/>
      <c r="I661" s="275"/>
      <c r="J661" s="275"/>
      <c r="K661" s="275"/>
      <c r="L661" s="275"/>
      <c r="M661" s="275"/>
      <c r="N661" s="260"/>
      <c r="O661" s="99"/>
      <c r="P661" s="99"/>
      <c r="Q661" s="99"/>
      <c r="R661" s="99"/>
      <c r="S661" s="99"/>
      <c r="T661" s="99"/>
      <c r="U661" s="99"/>
      <c r="V661" s="99"/>
      <c r="W661" s="99"/>
      <c r="X661" s="99"/>
      <c r="Y661" s="99"/>
      <c r="Z661" s="99"/>
      <c r="AB661" s="84"/>
      <c r="AC661" s="84"/>
      <c r="AD661" s="84"/>
      <c r="AE661" s="84"/>
      <c r="AF661" s="84"/>
      <c r="AG661" s="84"/>
      <c r="AH661" s="84"/>
      <c r="AI661" s="84"/>
    </row>
    <row r="662" ht="15.75" customHeight="1">
      <c r="A662" s="84"/>
      <c r="B662" s="84"/>
      <c r="C662" s="84"/>
      <c r="D662" s="84"/>
      <c r="E662" s="84"/>
      <c r="F662" s="276"/>
      <c r="H662" s="275"/>
      <c r="I662" s="275"/>
      <c r="J662" s="275"/>
      <c r="K662" s="275"/>
      <c r="L662" s="275"/>
      <c r="M662" s="275"/>
      <c r="N662" s="260"/>
      <c r="O662" s="99"/>
      <c r="P662" s="99"/>
      <c r="Q662" s="99"/>
      <c r="R662" s="99"/>
      <c r="S662" s="99"/>
      <c r="T662" s="99"/>
      <c r="U662" s="99"/>
      <c r="V662" s="99"/>
      <c r="W662" s="99"/>
      <c r="X662" s="99"/>
      <c r="Y662" s="99"/>
      <c r="Z662" s="99"/>
      <c r="AB662" s="84"/>
      <c r="AC662" s="84"/>
      <c r="AD662" s="84"/>
      <c r="AE662" s="84"/>
      <c r="AF662" s="84"/>
      <c r="AG662" s="84"/>
      <c r="AH662" s="84"/>
      <c r="AI662" s="84"/>
    </row>
    <row r="663" ht="15.75" customHeight="1">
      <c r="A663" s="84"/>
      <c r="B663" s="84"/>
      <c r="C663" s="84"/>
      <c r="D663" s="84"/>
      <c r="E663" s="84"/>
      <c r="F663" s="276"/>
      <c r="H663" s="275"/>
      <c r="I663" s="275"/>
      <c r="J663" s="275"/>
      <c r="K663" s="275"/>
      <c r="L663" s="275"/>
      <c r="M663" s="275"/>
      <c r="N663" s="260"/>
      <c r="O663" s="99"/>
      <c r="P663" s="99"/>
      <c r="Q663" s="99"/>
      <c r="R663" s="99"/>
      <c r="S663" s="99"/>
      <c r="T663" s="99"/>
      <c r="U663" s="99"/>
      <c r="V663" s="99"/>
      <c r="W663" s="99"/>
      <c r="X663" s="99"/>
      <c r="Y663" s="99"/>
      <c r="Z663" s="99"/>
      <c r="AB663" s="84"/>
      <c r="AC663" s="84"/>
      <c r="AD663" s="84"/>
      <c r="AE663" s="84"/>
      <c r="AF663" s="84"/>
      <c r="AG663" s="84"/>
      <c r="AH663" s="84"/>
      <c r="AI663" s="84"/>
    </row>
    <row r="664" ht="15.75" customHeight="1">
      <c r="A664" s="84"/>
      <c r="B664" s="84"/>
      <c r="C664" s="84"/>
      <c r="D664" s="84"/>
      <c r="E664" s="84"/>
      <c r="F664" s="276"/>
      <c r="H664" s="275"/>
      <c r="I664" s="275"/>
      <c r="J664" s="275"/>
      <c r="K664" s="275"/>
      <c r="L664" s="275"/>
      <c r="M664" s="275"/>
      <c r="N664" s="260"/>
      <c r="O664" s="99"/>
      <c r="P664" s="99"/>
      <c r="Q664" s="99"/>
      <c r="R664" s="99"/>
      <c r="S664" s="99"/>
      <c r="T664" s="99"/>
      <c r="U664" s="99"/>
      <c r="V664" s="99"/>
      <c r="W664" s="99"/>
      <c r="X664" s="99"/>
      <c r="Y664" s="99"/>
      <c r="Z664" s="99"/>
      <c r="AB664" s="84"/>
      <c r="AC664" s="84"/>
      <c r="AD664" s="84"/>
      <c r="AE664" s="84"/>
      <c r="AF664" s="84"/>
      <c r="AG664" s="84"/>
      <c r="AH664" s="84"/>
      <c r="AI664" s="84"/>
    </row>
    <row r="665" ht="15.75" customHeight="1">
      <c r="A665" s="84"/>
      <c r="B665" s="84"/>
      <c r="C665" s="84"/>
      <c r="D665" s="84"/>
      <c r="E665" s="84"/>
      <c r="F665" s="276"/>
      <c r="H665" s="275"/>
      <c r="I665" s="275"/>
      <c r="J665" s="275"/>
      <c r="K665" s="275"/>
      <c r="L665" s="275"/>
      <c r="M665" s="275"/>
      <c r="N665" s="260"/>
      <c r="O665" s="99"/>
      <c r="P665" s="99"/>
      <c r="Q665" s="99"/>
      <c r="R665" s="99"/>
      <c r="S665" s="99"/>
      <c r="T665" s="99"/>
      <c r="U665" s="99"/>
      <c r="V665" s="99"/>
      <c r="W665" s="99"/>
      <c r="X665" s="99"/>
      <c r="Y665" s="99"/>
      <c r="Z665" s="99"/>
      <c r="AB665" s="84"/>
      <c r="AC665" s="84"/>
      <c r="AD665" s="84"/>
      <c r="AE665" s="84"/>
      <c r="AF665" s="84"/>
      <c r="AG665" s="84"/>
      <c r="AH665" s="84"/>
      <c r="AI665" s="84"/>
    </row>
    <row r="666" ht="15.75" customHeight="1">
      <c r="A666" s="84"/>
      <c r="B666" s="84"/>
      <c r="C666" s="84"/>
      <c r="D666" s="84"/>
      <c r="E666" s="84"/>
      <c r="F666" s="276"/>
      <c r="H666" s="275"/>
      <c r="I666" s="275"/>
      <c r="J666" s="275"/>
      <c r="K666" s="275"/>
      <c r="L666" s="275"/>
      <c r="M666" s="275"/>
      <c r="N666" s="260"/>
      <c r="O666" s="99"/>
      <c r="P666" s="99"/>
      <c r="Q666" s="99"/>
      <c r="R666" s="99"/>
      <c r="S666" s="99"/>
      <c r="T666" s="99"/>
      <c r="U666" s="99"/>
      <c r="V666" s="99"/>
      <c r="W666" s="99"/>
      <c r="X666" s="99"/>
      <c r="Y666" s="99"/>
      <c r="Z666" s="99"/>
      <c r="AB666" s="84"/>
      <c r="AC666" s="84"/>
      <c r="AD666" s="84"/>
      <c r="AE666" s="84"/>
      <c r="AF666" s="84"/>
      <c r="AG666" s="84"/>
      <c r="AH666" s="84"/>
      <c r="AI666" s="84"/>
    </row>
    <row r="667" ht="15.75" customHeight="1">
      <c r="A667" s="84"/>
      <c r="B667" s="84"/>
      <c r="C667" s="84"/>
      <c r="D667" s="84"/>
      <c r="E667" s="84"/>
      <c r="F667" s="276"/>
      <c r="H667" s="275"/>
      <c r="I667" s="275"/>
      <c r="J667" s="275"/>
      <c r="K667" s="275"/>
      <c r="L667" s="275"/>
      <c r="M667" s="275"/>
      <c r="N667" s="260"/>
      <c r="O667" s="99"/>
      <c r="P667" s="99"/>
      <c r="Q667" s="99"/>
      <c r="R667" s="99"/>
      <c r="S667" s="99"/>
      <c r="T667" s="99"/>
      <c r="U667" s="99"/>
      <c r="V667" s="99"/>
      <c r="W667" s="99"/>
      <c r="X667" s="99"/>
      <c r="Y667" s="99"/>
      <c r="Z667" s="99"/>
      <c r="AB667" s="84"/>
      <c r="AC667" s="84"/>
      <c r="AD667" s="84"/>
      <c r="AE667" s="84"/>
      <c r="AF667" s="84"/>
      <c r="AG667" s="84"/>
      <c r="AH667" s="84"/>
      <c r="AI667" s="84"/>
    </row>
    <row r="668" ht="15.75" customHeight="1">
      <c r="A668" s="84"/>
      <c r="B668" s="84"/>
      <c r="C668" s="84"/>
      <c r="D668" s="84"/>
      <c r="E668" s="122"/>
      <c r="F668" s="276"/>
      <c r="H668" s="275"/>
      <c r="I668" s="275"/>
      <c r="J668" s="275"/>
      <c r="K668" s="275"/>
      <c r="L668" s="275"/>
      <c r="M668" s="275"/>
      <c r="N668" s="260"/>
      <c r="O668" s="99"/>
      <c r="P668" s="99"/>
      <c r="Q668" s="99"/>
      <c r="R668" s="99"/>
      <c r="S668" s="99"/>
      <c r="T668" s="99"/>
      <c r="U668" s="99"/>
      <c r="V668" s="99"/>
      <c r="W668" s="99"/>
      <c r="X668" s="99"/>
      <c r="Y668" s="99"/>
      <c r="Z668" s="99"/>
      <c r="AB668" s="84"/>
      <c r="AC668" s="84"/>
      <c r="AD668" s="84"/>
      <c r="AE668" s="84"/>
      <c r="AF668" s="84"/>
      <c r="AG668" s="84"/>
      <c r="AH668" s="84"/>
      <c r="AI668" s="84"/>
    </row>
    <row r="669" ht="15.75" customHeight="1">
      <c r="A669" s="84"/>
      <c r="B669" s="84"/>
      <c r="C669" s="84"/>
      <c r="D669" s="84"/>
      <c r="E669" s="122"/>
      <c r="F669" s="276"/>
      <c r="H669" s="275"/>
      <c r="I669" s="275"/>
      <c r="J669" s="275"/>
      <c r="K669" s="275"/>
      <c r="L669" s="275"/>
      <c r="M669" s="275"/>
      <c r="N669" s="260"/>
      <c r="O669" s="99"/>
      <c r="P669" s="99"/>
      <c r="Q669" s="99"/>
      <c r="R669" s="99"/>
      <c r="S669" s="99"/>
      <c r="T669" s="99"/>
      <c r="U669" s="99"/>
      <c r="V669" s="99"/>
      <c r="W669" s="99"/>
      <c r="X669" s="99"/>
      <c r="Y669" s="99"/>
      <c r="Z669" s="99"/>
      <c r="AB669" s="84"/>
      <c r="AC669" s="84"/>
      <c r="AD669" s="84"/>
      <c r="AE669" s="84"/>
      <c r="AF669" s="84"/>
      <c r="AG669" s="84"/>
      <c r="AH669" s="84"/>
      <c r="AI669" s="84"/>
    </row>
    <row r="670" ht="15.75" customHeight="1">
      <c r="A670" s="84"/>
      <c r="B670" s="84"/>
      <c r="C670" s="84"/>
      <c r="D670" s="84"/>
      <c r="E670" s="122"/>
      <c r="F670" s="276"/>
      <c r="H670" s="275"/>
      <c r="I670" s="275"/>
      <c r="J670" s="275"/>
      <c r="K670" s="275"/>
      <c r="L670" s="275"/>
      <c r="M670" s="275"/>
      <c r="N670" s="260"/>
      <c r="O670" s="99"/>
      <c r="P670" s="99"/>
      <c r="Q670" s="99"/>
      <c r="R670" s="99"/>
      <c r="S670" s="99"/>
      <c r="T670" s="99"/>
      <c r="U670" s="99"/>
      <c r="V670" s="99"/>
      <c r="W670" s="99"/>
      <c r="X670" s="99"/>
      <c r="Y670" s="99"/>
      <c r="Z670" s="99"/>
      <c r="AB670" s="84"/>
      <c r="AC670" s="84"/>
      <c r="AD670" s="84"/>
      <c r="AE670" s="84"/>
      <c r="AF670" s="84"/>
      <c r="AG670" s="84"/>
      <c r="AH670" s="84"/>
      <c r="AI670" s="84"/>
    </row>
    <row r="671" ht="15.75" customHeight="1">
      <c r="A671" s="84"/>
      <c r="B671" s="84"/>
      <c r="C671" s="84"/>
      <c r="D671" s="84"/>
      <c r="E671" s="122"/>
      <c r="F671" s="276"/>
      <c r="H671" s="275"/>
      <c r="I671" s="275"/>
      <c r="J671" s="275"/>
      <c r="K671" s="275"/>
      <c r="L671" s="275"/>
      <c r="M671" s="275"/>
      <c r="N671" s="260"/>
      <c r="O671" s="99"/>
      <c r="P671" s="99"/>
      <c r="Q671" s="99"/>
      <c r="R671" s="99"/>
      <c r="S671" s="99"/>
      <c r="T671" s="99"/>
      <c r="U671" s="99"/>
      <c r="V671" s="99"/>
      <c r="W671" s="99"/>
      <c r="X671" s="99"/>
      <c r="Y671" s="99"/>
      <c r="Z671" s="99"/>
      <c r="AB671" s="84"/>
      <c r="AC671" s="84"/>
      <c r="AD671" s="84"/>
      <c r="AE671" s="84"/>
      <c r="AF671" s="84"/>
      <c r="AG671" s="84"/>
      <c r="AH671" s="84"/>
      <c r="AI671" s="84"/>
    </row>
    <row r="672" ht="15.75" customHeight="1">
      <c r="A672" s="84"/>
      <c r="B672" s="84"/>
      <c r="C672" s="84"/>
      <c r="D672" s="84"/>
      <c r="E672" s="122"/>
      <c r="F672" s="276"/>
      <c r="H672" s="275"/>
      <c r="I672" s="275"/>
      <c r="J672" s="275"/>
      <c r="K672" s="275"/>
      <c r="L672" s="275"/>
      <c r="M672" s="275"/>
      <c r="N672" s="260"/>
      <c r="O672" s="99"/>
      <c r="P672" s="99"/>
      <c r="Q672" s="99"/>
      <c r="R672" s="99"/>
      <c r="S672" s="99"/>
      <c r="T672" s="99"/>
      <c r="U672" s="99"/>
      <c r="V672" s="99"/>
      <c r="W672" s="99"/>
      <c r="X672" s="99"/>
      <c r="Y672" s="99"/>
      <c r="Z672" s="99"/>
      <c r="AB672" s="84"/>
      <c r="AC672" s="84"/>
      <c r="AD672" s="84"/>
      <c r="AE672" s="84"/>
      <c r="AF672" s="84"/>
      <c r="AG672" s="84"/>
      <c r="AH672" s="84"/>
      <c r="AI672" s="84"/>
    </row>
    <row r="673" ht="15.75" customHeight="1">
      <c r="A673" s="84"/>
      <c r="B673" s="84"/>
      <c r="C673" s="84"/>
      <c r="D673" s="84"/>
      <c r="E673" s="122"/>
      <c r="F673" s="276"/>
      <c r="H673" s="275"/>
      <c r="I673" s="275"/>
      <c r="J673" s="275"/>
      <c r="K673" s="275"/>
      <c r="L673" s="275"/>
      <c r="M673" s="275"/>
      <c r="N673" s="260"/>
      <c r="O673" s="99"/>
      <c r="P673" s="99"/>
      <c r="Q673" s="99"/>
      <c r="R673" s="99"/>
      <c r="S673" s="99"/>
      <c r="T673" s="99"/>
      <c r="U673" s="99"/>
      <c r="V673" s="99"/>
      <c r="W673" s="99"/>
      <c r="X673" s="99"/>
      <c r="Y673" s="99"/>
      <c r="Z673" s="99"/>
      <c r="AB673" s="84"/>
      <c r="AC673" s="84"/>
      <c r="AD673" s="84"/>
      <c r="AE673" s="84"/>
      <c r="AF673" s="84"/>
      <c r="AG673" s="84"/>
      <c r="AH673" s="84"/>
      <c r="AI673" s="84"/>
    </row>
    <row r="674" ht="15.75" customHeight="1">
      <c r="A674" s="84"/>
      <c r="B674" s="84"/>
      <c r="C674" s="84"/>
      <c r="D674" s="122"/>
      <c r="E674" s="122"/>
      <c r="F674" s="276"/>
      <c r="H674" s="275"/>
      <c r="I674" s="275"/>
      <c r="J674" s="275"/>
      <c r="K674" s="275"/>
      <c r="L674" s="275"/>
      <c r="M674" s="275"/>
      <c r="N674" s="260"/>
      <c r="O674" s="99"/>
      <c r="P674" s="99"/>
      <c r="Q674" s="99"/>
      <c r="R674" s="99"/>
      <c r="S674" s="99"/>
      <c r="T674" s="99"/>
      <c r="U674" s="99"/>
      <c r="V674" s="99"/>
      <c r="W674" s="99"/>
      <c r="X674" s="99"/>
      <c r="Y674" s="99"/>
      <c r="Z674" s="99"/>
      <c r="AB674" s="84"/>
      <c r="AC674" s="84"/>
      <c r="AD674" s="84"/>
      <c r="AE674" s="84"/>
      <c r="AF674" s="84"/>
      <c r="AG674" s="84"/>
      <c r="AH674" s="84"/>
      <c r="AI674" s="84"/>
    </row>
    <row r="675" ht="15.75" customHeight="1">
      <c r="A675" s="84"/>
      <c r="B675" s="84"/>
      <c r="C675" s="84"/>
      <c r="D675" s="122"/>
      <c r="E675" s="122"/>
      <c r="F675" s="276"/>
      <c r="H675" s="275"/>
      <c r="I675" s="275"/>
      <c r="J675" s="275"/>
      <c r="K675" s="275"/>
      <c r="L675" s="275"/>
      <c r="M675" s="275"/>
      <c r="N675" s="260"/>
      <c r="O675" s="99"/>
      <c r="P675" s="99"/>
      <c r="Q675" s="99"/>
      <c r="R675" s="99"/>
      <c r="S675" s="99"/>
      <c r="T675" s="99"/>
      <c r="U675" s="99"/>
      <c r="V675" s="99"/>
      <c r="W675" s="99"/>
      <c r="X675" s="99"/>
      <c r="Y675" s="99"/>
      <c r="Z675" s="99"/>
      <c r="AB675" s="84"/>
      <c r="AC675" s="84"/>
      <c r="AD675" s="84"/>
      <c r="AE675" s="84"/>
      <c r="AF675" s="84"/>
      <c r="AG675" s="84"/>
      <c r="AH675" s="84"/>
      <c r="AI675" s="84"/>
    </row>
    <row r="676" ht="15.75" customHeight="1">
      <c r="A676" s="84"/>
      <c r="B676" s="84"/>
      <c r="C676" s="84"/>
      <c r="D676" s="122"/>
      <c r="E676" s="122"/>
      <c r="F676" s="276"/>
      <c r="H676" s="275"/>
      <c r="I676" s="275"/>
      <c r="J676" s="275"/>
      <c r="K676" s="275"/>
      <c r="L676" s="275"/>
      <c r="M676" s="275"/>
      <c r="N676" s="260"/>
      <c r="O676" s="99"/>
      <c r="P676" s="99"/>
      <c r="Q676" s="99"/>
      <c r="R676" s="99"/>
      <c r="S676" s="99"/>
      <c r="T676" s="99"/>
      <c r="U676" s="99"/>
      <c r="V676" s="99"/>
      <c r="W676" s="99"/>
      <c r="X676" s="99"/>
      <c r="Y676" s="99"/>
      <c r="Z676" s="99"/>
      <c r="AB676" s="84"/>
      <c r="AC676" s="84"/>
      <c r="AD676" s="84"/>
      <c r="AE676" s="84"/>
      <c r="AF676" s="84"/>
      <c r="AG676" s="84"/>
      <c r="AH676" s="84"/>
      <c r="AI676" s="84"/>
    </row>
    <row r="677" ht="15.75" customHeight="1">
      <c r="A677" s="84"/>
      <c r="B677" s="84"/>
      <c r="C677" s="84"/>
      <c r="D677" s="122"/>
      <c r="E677" s="122"/>
      <c r="F677" s="276"/>
      <c r="H677" s="275"/>
      <c r="I677" s="275"/>
      <c r="J677" s="275"/>
      <c r="K677" s="275"/>
      <c r="L677" s="275"/>
      <c r="M677" s="275"/>
      <c r="N677" s="260"/>
      <c r="O677" s="99"/>
      <c r="P677" s="99"/>
      <c r="Q677" s="99"/>
      <c r="R677" s="99"/>
      <c r="S677" s="99"/>
      <c r="T677" s="99"/>
      <c r="U677" s="99"/>
      <c r="V677" s="99"/>
      <c r="W677" s="99"/>
      <c r="X677" s="99"/>
      <c r="Y677" s="99"/>
      <c r="Z677" s="99"/>
      <c r="AB677" s="84"/>
      <c r="AC677" s="84"/>
      <c r="AD677" s="84"/>
      <c r="AE677" s="84"/>
      <c r="AF677" s="84"/>
      <c r="AG677" s="84"/>
      <c r="AH677" s="84"/>
      <c r="AI677" s="84"/>
    </row>
    <row r="678" ht="15.75" customHeight="1">
      <c r="A678" s="84"/>
      <c r="B678" s="84"/>
      <c r="C678" s="84"/>
      <c r="D678" s="122"/>
      <c r="E678" s="84"/>
      <c r="F678" s="276"/>
      <c r="H678" s="275"/>
      <c r="I678" s="275"/>
      <c r="J678" s="275"/>
      <c r="K678" s="275"/>
      <c r="L678" s="275"/>
      <c r="M678" s="275"/>
      <c r="N678" s="260"/>
      <c r="O678" s="99"/>
      <c r="P678" s="99"/>
      <c r="Q678" s="99"/>
      <c r="R678" s="99"/>
      <c r="S678" s="99"/>
      <c r="T678" s="99"/>
      <c r="U678" s="99"/>
      <c r="V678" s="99"/>
      <c r="W678" s="99"/>
      <c r="X678" s="99"/>
      <c r="Y678" s="99"/>
      <c r="Z678" s="99"/>
      <c r="AB678" s="84"/>
      <c r="AC678" s="84"/>
      <c r="AD678" s="84"/>
      <c r="AE678" s="84"/>
      <c r="AF678" s="84"/>
      <c r="AG678" s="84"/>
      <c r="AH678" s="84"/>
      <c r="AI678" s="84"/>
    </row>
    <row r="679" ht="15.75" customHeight="1">
      <c r="A679" s="84"/>
      <c r="B679" s="84"/>
      <c r="C679" s="84"/>
      <c r="D679" s="122"/>
      <c r="E679" s="84"/>
      <c r="F679" s="276"/>
      <c r="H679" s="275"/>
      <c r="I679" s="275"/>
      <c r="J679" s="275"/>
      <c r="K679" s="275"/>
      <c r="L679" s="275"/>
      <c r="M679" s="275"/>
      <c r="N679" s="260"/>
      <c r="O679" s="99"/>
      <c r="P679" s="99"/>
      <c r="Q679" s="99"/>
      <c r="R679" s="99"/>
      <c r="S679" s="99"/>
      <c r="T679" s="99"/>
      <c r="U679" s="99"/>
      <c r="V679" s="99"/>
      <c r="W679" s="99"/>
      <c r="X679" s="99"/>
      <c r="Y679" s="99"/>
      <c r="Z679" s="99"/>
      <c r="AB679" s="84"/>
      <c r="AC679" s="84"/>
      <c r="AD679" s="84"/>
      <c r="AE679" s="84"/>
      <c r="AF679" s="84"/>
      <c r="AG679" s="84"/>
      <c r="AH679" s="84"/>
      <c r="AI679" s="84"/>
    </row>
    <row r="680" ht="15.75" customHeight="1">
      <c r="A680" s="84"/>
      <c r="B680" s="84"/>
      <c r="C680" s="84"/>
      <c r="D680" s="122"/>
      <c r="E680" s="84"/>
      <c r="F680" s="276"/>
      <c r="H680" s="275"/>
      <c r="I680" s="275"/>
      <c r="J680" s="275"/>
      <c r="K680" s="275"/>
      <c r="L680" s="275"/>
      <c r="M680" s="275"/>
      <c r="N680" s="260"/>
      <c r="O680" s="99"/>
      <c r="P680" s="99"/>
      <c r="Q680" s="99"/>
      <c r="R680" s="99"/>
      <c r="S680" s="99"/>
      <c r="T680" s="99"/>
      <c r="U680" s="99"/>
      <c r="V680" s="99"/>
      <c r="W680" s="99"/>
      <c r="X680" s="99"/>
      <c r="Y680" s="99"/>
      <c r="Z680" s="99"/>
      <c r="AB680" s="84"/>
      <c r="AC680" s="84"/>
      <c r="AD680" s="84"/>
      <c r="AE680" s="84"/>
      <c r="AF680" s="84"/>
      <c r="AG680" s="84"/>
      <c r="AH680" s="84"/>
      <c r="AI680" s="84"/>
    </row>
    <row r="681" ht="15.75" customHeight="1">
      <c r="A681" s="84"/>
      <c r="B681" s="84"/>
      <c r="C681" s="84"/>
      <c r="D681" s="122"/>
      <c r="E681" s="84"/>
      <c r="F681" s="276"/>
      <c r="H681" s="275"/>
      <c r="I681" s="275"/>
      <c r="J681" s="275"/>
      <c r="K681" s="275"/>
      <c r="L681" s="275"/>
      <c r="M681" s="275"/>
      <c r="N681" s="260"/>
      <c r="O681" s="99"/>
      <c r="P681" s="99"/>
      <c r="Q681" s="99"/>
      <c r="R681" s="99"/>
      <c r="S681" s="99"/>
      <c r="T681" s="99"/>
      <c r="U681" s="99"/>
      <c r="V681" s="99"/>
      <c r="W681" s="99"/>
      <c r="X681" s="99"/>
      <c r="Y681" s="99"/>
      <c r="Z681" s="99"/>
      <c r="AB681" s="84"/>
      <c r="AC681" s="122"/>
      <c r="AD681" s="84"/>
      <c r="AE681" s="84"/>
      <c r="AF681" s="84"/>
      <c r="AG681" s="84"/>
      <c r="AH681" s="84"/>
      <c r="AI681" s="84"/>
    </row>
    <row r="682" ht="15.75" customHeight="1">
      <c r="A682" s="84"/>
      <c r="B682" s="84"/>
      <c r="C682" s="84"/>
      <c r="D682" s="122"/>
      <c r="E682" s="84"/>
      <c r="F682" s="276"/>
      <c r="H682" s="275"/>
      <c r="I682" s="275"/>
      <c r="J682" s="275"/>
      <c r="K682" s="275"/>
      <c r="L682" s="275"/>
      <c r="M682" s="275"/>
      <c r="N682" s="260"/>
      <c r="O682" s="99"/>
      <c r="P682" s="99"/>
      <c r="Q682" s="99"/>
      <c r="R682" s="99"/>
      <c r="S682" s="99"/>
      <c r="T682" s="99"/>
      <c r="U682" s="99"/>
      <c r="V682" s="99"/>
      <c r="W682" s="99"/>
      <c r="X682" s="99"/>
      <c r="Y682" s="99"/>
      <c r="Z682" s="99"/>
      <c r="AB682" s="84"/>
      <c r="AC682" s="122"/>
      <c r="AD682" s="84"/>
      <c r="AE682" s="84"/>
      <c r="AF682" s="84"/>
      <c r="AG682" s="84"/>
      <c r="AH682" s="84"/>
      <c r="AI682" s="84"/>
    </row>
    <row r="683" ht="15.75" customHeight="1">
      <c r="A683" s="84"/>
      <c r="B683" s="84"/>
      <c r="C683" s="84"/>
      <c r="D683" s="122"/>
      <c r="E683" s="84"/>
      <c r="F683" s="276"/>
      <c r="H683" s="275"/>
      <c r="I683" s="275"/>
      <c r="J683" s="275"/>
      <c r="K683" s="275"/>
      <c r="L683" s="275"/>
      <c r="M683" s="275"/>
      <c r="N683" s="260"/>
      <c r="O683" s="99"/>
      <c r="P683" s="99"/>
      <c r="Q683" s="99"/>
      <c r="R683" s="99"/>
      <c r="S683" s="99"/>
      <c r="T683" s="99"/>
      <c r="U683" s="99"/>
      <c r="V683" s="99"/>
      <c r="W683" s="99"/>
      <c r="X683" s="99"/>
      <c r="Y683" s="99"/>
      <c r="Z683" s="99"/>
      <c r="AB683" s="84"/>
      <c r="AC683" s="122"/>
      <c r="AD683" s="84"/>
      <c r="AE683" s="84"/>
      <c r="AF683" s="84"/>
      <c r="AG683" s="84"/>
      <c r="AH683" s="84"/>
      <c r="AI683" s="84"/>
    </row>
    <row r="684" ht="15.75" customHeight="1">
      <c r="A684" s="84"/>
      <c r="B684" s="84"/>
      <c r="C684" s="84"/>
      <c r="D684" s="84"/>
      <c r="E684" s="84"/>
      <c r="F684" s="276"/>
      <c r="H684" s="275"/>
      <c r="I684" s="275"/>
      <c r="J684" s="275"/>
      <c r="K684" s="275"/>
      <c r="L684" s="275"/>
      <c r="M684" s="275"/>
      <c r="N684" s="260"/>
      <c r="O684" s="99"/>
      <c r="P684" s="99"/>
      <c r="Q684" s="99"/>
      <c r="R684" s="99"/>
      <c r="S684" s="99"/>
      <c r="T684" s="99"/>
      <c r="U684" s="99"/>
      <c r="V684" s="99"/>
      <c r="W684" s="99"/>
      <c r="X684" s="99"/>
      <c r="Y684" s="99"/>
      <c r="Z684" s="99"/>
      <c r="AB684" s="84"/>
      <c r="AC684" s="122"/>
      <c r="AD684" s="84"/>
      <c r="AE684" s="84"/>
      <c r="AF684" s="84"/>
      <c r="AG684" s="84"/>
      <c r="AH684" s="84"/>
      <c r="AI684" s="84"/>
    </row>
    <row r="685" ht="15.75" customHeight="1">
      <c r="A685" s="122"/>
      <c r="B685" s="122"/>
      <c r="C685" s="122"/>
      <c r="D685" s="84"/>
      <c r="E685" s="84"/>
      <c r="F685" s="276"/>
      <c r="H685" s="275"/>
      <c r="I685" s="275"/>
      <c r="J685" s="275"/>
      <c r="K685" s="275"/>
      <c r="L685" s="275"/>
      <c r="M685" s="275"/>
      <c r="N685" s="260"/>
      <c r="O685" s="99"/>
      <c r="P685" s="99"/>
      <c r="Q685" s="99"/>
      <c r="R685" s="99"/>
      <c r="S685" s="99"/>
      <c r="T685" s="99"/>
      <c r="U685" s="99"/>
      <c r="V685" s="99"/>
      <c r="W685" s="99"/>
      <c r="X685" s="99"/>
      <c r="Y685" s="99"/>
      <c r="Z685" s="99"/>
      <c r="AB685" s="84"/>
      <c r="AC685" s="122"/>
      <c r="AD685" s="84"/>
      <c r="AE685" s="84"/>
      <c r="AF685" s="84"/>
      <c r="AG685" s="84"/>
      <c r="AH685" s="84"/>
      <c r="AI685" s="84"/>
    </row>
    <row r="686" ht="15.75" customHeight="1">
      <c r="A686" s="122"/>
      <c r="B686" s="122"/>
      <c r="C686" s="122"/>
      <c r="D686" s="84"/>
      <c r="E686" s="84"/>
      <c r="F686" s="276"/>
      <c r="H686" s="275"/>
      <c r="I686" s="275"/>
      <c r="J686" s="275"/>
      <c r="K686" s="275"/>
      <c r="L686" s="275"/>
      <c r="M686" s="275"/>
      <c r="N686" s="260"/>
      <c r="O686" s="99"/>
      <c r="P686" s="99"/>
      <c r="Q686" s="99"/>
      <c r="R686" s="99"/>
      <c r="S686" s="99"/>
      <c r="T686" s="99"/>
      <c r="U686" s="99"/>
      <c r="V686" s="99"/>
      <c r="W686" s="99"/>
      <c r="X686" s="99"/>
      <c r="Y686" s="99"/>
      <c r="Z686" s="99"/>
      <c r="AB686" s="84"/>
      <c r="AC686" s="122"/>
      <c r="AD686" s="84"/>
      <c r="AE686" s="84"/>
      <c r="AF686" s="84"/>
      <c r="AG686" s="84"/>
      <c r="AH686" s="84"/>
      <c r="AI686" s="84"/>
    </row>
    <row r="687" ht="15.75" customHeight="1">
      <c r="A687" s="122"/>
      <c r="B687" s="122"/>
      <c r="C687" s="122"/>
      <c r="D687" s="84"/>
      <c r="E687" s="84"/>
      <c r="F687" s="276"/>
      <c r="H687" s="275"/>
      <c r="I687" s="275"/>
      <c r="J687" s="275"/>
      <c r="K687" s="275"/>
      <c r="L687" s="275"/>
      <c r="M687" s="275"/>
      <c r="N687" s="260"/>
      <c r="O687" s="99"/>
      <c r="P687" s="99"/>
      <c r="Q687" s="99"/>
      <c r="R687" s="99"/>
      <c r="S687" s="99"/>
      <c r="T687" s="99"/>
      <c r="U687" s="99"/>
      <c r="V687" s="99"/>
      <c r="W687" s="99"/>
      <c r="X687" s="99"/>
      <c r="Y687" s="99"/>
      <c r="Z687" s="99"/>
      <c r="AB687" s="84"/>
      <c r="AC687" s="122"/>
      <c r="AD687" s="84"/>
      <c r="AE687" s="84"/>
      <c r="AF687" s="84"/>
      <c r="AG687" s="84"/>
      <c r="AH687" s="84"/>
      <c r="AI687" s="84"/>
    </row>
    <row r="688" ht="15.75" customHeight="1">
      <c r="A688" s="122"/>
      <c r="B688" s="122"/>
      <c r="C688" s="122"/>
      <c r="D688" s="84"/>
      <c r="E688" s="84"/>
      <c r="F688" s="276"/>
      <c r="H688" s="275"/>
      <c r="I688" s="275"/>
      <c r="J688" s="275"/>
      <c r="K688" s="275"/>
      <c r="L688" s="275"/>
      <c r="M688" s="275"/>
      <c r="N688" s="260"/>
      <c r="O688" s="99"/>
      <c r="P688" s="99"/>
      <c r="Q688" s="99"/>
      <c r="R688" s="99"/>
      <c r="S688" s="99"/>
      <c r="T688" s="99"/>
      <c r="U688" s="99"/>
      <c r="V688" s="99"/>
      <c r="W688" s="99"/>
      <c r="X688" s="99"/>
      <c r="Y688" s="99"/>
      <c r="Z688" s="99"/>
      <c r="AB688" s="84"/>
      <c r="AC688" s="122"/>
      <c r="AD688" s="84"/>
      <c r="AE688" s="84"/>
      <c r="AF688" s="84"/>
      <c r="AG688" s="84"/>
      <c r="AH688" s="84"/>
      <c r="AI688" s="84"/>
    </row>
    <row r="689" ht="15.75" customHeight="1">
      <c r="A689" s="122"/>
      <c r="B689" s="122"/>
      <c r="C689" s="122"/>
      <c r="D689" s="84"/>
      <c r="E689" s="84"/>
      <c r="F689" s="276"/>
      <c r="H689" s="275"/>
      <c r="I689" s="275"/>
      <c r="J689" s="275"/>
      <c r="K689" s="275"/>
      <c r="L689" s="275"/>
      <c r="M689" s="275"/>
      <c r="N689" s="260"/>
      <c r="O689" s="99"/>
      <c r="P689" s="99"/>
      <c r="Q689" s="99"/>
      <c r="R689" s="99"/>
      <c r="S689" s="99"/>
      <c r="T689" s="99"/>
      <c r="U689" s="99"/>
      <c r="V689" s="99"/>
      <c r="W689" s="99"/>
      <c r="X689" s="99"/>
      <c r="Y689" s="99"/>
      <c r="Z689" s="99"/>
      <c r="AB689" s="84"/>
      <c r="AC689" s="122"/>
      <c r="AD689" s="84"/>
      <c r="AE689" s="84"/>
      <c r="AF689" s="84"/>
      <c r="AG689" s="84"/>
      <c r="AH689" s="84"/>
      <c r="AI689" s="84"/>
    </row>
    <row r="690" ht="15.75" customHeight="1">
      <c r="A690" s="122"/>
      <c r="B690" s="122"/>
      <c r="C690" s="122"/>
      <c r="D690" s="84"/>
      <c r="E690" s="84"/>
      <c r="F690" s="276"/>
      <c r="H690" s="275"/>
      <c r="I690" s="275"/>
      <c r="J690" s="275"/>
      <c r="K690" s="275"/>
      <c r="L690" s="275"/>
      <c r="M690" s="275"/>
      <c r="N690" s="260"/>
      <c r="O690" s="99"/>
      <c r="P690" s="99"/>
      <c r="Q690" s="99"/>
      <c r="R690" s="99"/>
      <c r="S690" s="99"/>
      <c r="T690" s="99"/>
      <c r="U690" s="99"/>
      <c r="V690" s="99"/>
      <c r="W690" s="99"/>
      <c r="X690" s="99"/>
      <c r="Y690" s="99"/>
      <c r="Z690" s="99"/>
      <c r="AB690" s="84"/>
      <c r="AC690" s="122"/>
      <c r="AD690" s="84"/>
      <c r="AE690" s="84"/>
      <c r="AF690" s="84"/>
      <c r="AG690" s="84"/>
      <c r="AH690" s="84"/>
      <c r="AI690" s="84"/>
    </row>
    <row r="691" ht="15.75" customHeight="1">
      <c r="A691" s="122"/>
      <c r="B691" s="122"/>
      <c r="C691" s="122"/>
      <c r="D691" s="84"/>
      <c r="E691" s="84"/>
      <c r="F691" s="276"/>
      <c r="H691" s="275"/>
      <c r="I691" s="275"/>
      <c r="J691" s="275"/>
      <c r="K691" s="275"/>
      <c r="L691" s="275"/>
      <c r="M691" s="275"/>
      <c r="N691" s="260"/>
      <c r="O691" s="99"/>
      <c r="P691" s="99"/>
      <c r="Q691" s="99"/>
      <c r="R691" s="99"/>
      <c r="S691" s="99"/>
      <c r="T691" s="99"/>
      <c r="U691" s="99"/>
      <c r="V691" s="99"/>
      <c r="W691" s="99"/>
      <c r="X691" s="99"/>
      <c r="Y691" s="99"/>
      <c r="Z691" s="99"/>
      <c r="AB691" s="84"/>
      <c r="AC691" s="84"/>
      <c r="AD691" s="84"/>
      <c r="AE691" s="84"/>
      <c r="AF691" s="84"/>
      <c r="AG691" s="84"/>
      <c r="AH691" s="84"/>
      <c r="AI691" s="84"/>
    </row>
    <row r="692" ht="15.75" customHeight="1">
      <c r="A692" s="122"/>
      <c r="B692" s="122"/>
      <c r="C692" s="122"/>
      <c r="D692" s="84"/>
      <c r="E692" s="84"/>
      <c r="F692" s="276"/>
      <c r="H692" s="275"/>
      <c r="I692" s="275"/>
      <c r="J692" s="275"/>
      <c r="K692" s="275"/>
      <c r="L692" s="275"/>
      <c r="M692" s="275"/>
      <c r="N692" s="260"/>
      <c r="O692" s="99"/>
      <c r="P692" s="99"/>
      <c r="Q692" s="99"/>
      <c r="R692" s="99"/>
      <c r="S692" s="99"/>
      <c r="T692" s="99"/>
      <c r="U692" s="99"/>
      <c r="V692" s="99"/>
      <c r="W692" s="99"/>
      <c r="X692" s="99"/>
      <c r="Y692" s="99"/>
      <c r="Z692" s="99"/>
      <c r="AB692" s="122"/>
      <c r="AC692" s="84"/>
      <c r="AD692" s="122"/>
      <c r="AE692" s="122"/>
      <c r="AF692" s="122"/>
      <c r="AG692" s="122"/>
      <c r="AH692" s="122"/>
      <c r="AI692" s="122"/>
    </row>
    <row r="693" ht="15.75" customHeight="1">
      <c r="A693" s="122"/>
      <c r="B693" s="122"/>
      <c r="C693" s="122"/>
      <c r="D693" s="84"/>
      <c r="E693" s="84"/>
      <c r="F693" s="276"/>
      <c r="H693" s="275"/>
      <c r="I693" s="275"/>
      <c r="J693" s="275"/>
      <c r="K693" s="275"/>
      <c r="L693" s="275"/>
      <c r="M693" s="275"/>
      <c r="N693" s="260"/>
      <c r="O693" s="99"/>
      <c r="P693" s="99"/>
      <c r="Q693" s="99"/>
      <c r="R693" s="99"/>
      <c r="S693" s="99"/>
      <c r="T693" s="99"/>
      <c r="U693" s="99"/>
      <c r="V693" s="99"/>
      <c r="W693" s="99"/>
      <c r="X693" s="99"/>
      <c r="Y693" s="99"/>
      <c r="Z693" s="99"/>
      <c r="AB693" s="122"/>
      <c r="AC693" s="84"/>
      <c r="AD693" s="122"/>
      <c r="AE693" s="122"/>
      <c r="AF693" s="122"/>
      <c r="AG693" s="122"/>
      <c r="AH693" s="122"/>
      <c r="AI693" s="122"/>
    </row>
    <row r="694" ht="15.75" customHeight="1">
      <c r="A694" s="122"/>
      <c r="B694" s="122"/>
      <c r="C694" s="122"/>
      <c r="D694" s="84"/>
      <c r="E694" s="84"/>
      <c r="F694" s="276"/>
      <c r="H694" s="275"/>
      <c r="I694" s="275"/>
      <c r="J694" s="275"/>
      <c r="K694" s="275"/>
      <c r="L694" s="275"/>
      <c r="M694" s="275"/>
      <c r="N694" s="260"/>
      <c r="O694" s="99"/>
      <c r="P694" s="99"/>
      <c r="Q694" s="99"/>
      <c r="R694" s="99"/>
      <c r="S694" s="99"/>
      <c r="T694" s="99"/>
      <c r="U694" s="99"/>
      <c r="V694" s="99"/>
      <c r="W694" s="99"/>
      <c r="X694" s="99"/>
      <c r="Y694" s="99"/>
      <c r="Z694" s="99"/>
      <c r="AB694" s="122"/>
      <c r="AC694" s="84"/>
      <c r="AD694" s="122"/>
      <c r="AE694" s="122"/>
      <c r="AF694" s="122"/>
      <c r="AG694" s="122"/>
      <c r="AH694" s="122"/>
      <c r="AI694" s="122"/>
    </row>
    <row r="695" ht="15.75" customHeight="1">
      <c r="A695" s="84"/>
      <c r="B695" s="84"/>
      <c r="C695" s="84"/>
      <c r="D695" s="84"/>
      <c r="E695" s="84"/>
      <c r="F695" s="276"/>
      <c r="H695" s="275"/>
      <c r="I695" s="275"/>
      <c r="J695" s="275"/>
      <c r="K695" s="275"/>
      <c r="L695" s="275"/>
      <c r="M695" s="275"/>
      <c r="N695" s="260"/>
      <c r="O695" s="99"/>
      <c r="P695" s="99"/>
      <c r="Q695" s="99"/>
      <c r="R695" s="99"/>
      <c r="S695" s="99"/>
      <c r="T695" s="99"/>
      <c r="U695" s="99"/>
      <c r="V695" s="99"/>
      <c r="W695" s="99"/>
      <c r="X695" s="99"/>
      <c r="Y695" s="99"/>
      <c r="Z695" s="99"/>
      <c r="AB695" s="122"/>
      <c r="AC695" s="84"/>
      <c r="AD695" s="122"/>
      <c r="AE695" s="122"/>
      <c r="AF695" s="122"/>
      <c r="AG695" s="122"/>
      <c r="AH695" s="122"/>
      <c r="AI695" s="122"/>
    </row>
    <row r="696" ht="15.75" customHeight="1">
      <c r="A696" s="84"/>
      <c r="B696" s="84"/>
      <c r="C696" s="84"/>
      <c r="D696" s="84"/>
      <c r="E696" s="84"/>
      <c r="F696" s="276"/>
      <c r="H696" s="275"/>
      <c r="I696" s="275"/>
      <c r="J696" s="275"/>
      <c r="K696" s="275"/>
      <c r="L696" s="275"/>
      <c r="M696" s="275"/>
      <c r="N696" s="260"/>
      <c r="O696" s="99"/>
      <c r="P696" s="99"/>
      <c r="Q696" s="99"/>
      <c r="R696" s="99"/>
      <c r="S696" s="99"/>
      <c r="T696" s="99"/>
      <c r="U696" s="99"/>
      <c r="V696" s="99"/>
      <c r="W696" s="99"/>
      <c r="X696" s="99"/>
      <c r="Y696" s="99"/>
      <c r="Z696" s="99"/>
      <c r="AB696" s="122"/>
      <c r="AC696" s="84"/>
      <c r="AD696" s="122"/>
      <c r="AE696" s="122"/>
      <c r="AF696" s="122"/>
      <c r="AG696" s="122"/>
      <c r="AH696" s="122"/>
      <c r="AI696" s="122"/>
    </row>
    <row r="697" ht="15.75" customHeight="1">
      <c r="A697" s="84"/>
      <c r="B697" s="84"/>
      <c r="C697" s="84"/>
      <c r="D697" s="84"/>
      <c r="E697" s="84"/>
      <c r="F697" s="276"/>
      <c r="H697" s="275"/>
      <c r="I697" s="275"/>
      <c r="J697" s="275"/>
      <c r="K697" s="275"/>
      <c r="L697" s="275"/>
      <c r="M697" s="275"/>
      <c r="N697" s="260"/>
      <c r="O697" s="99"/>
      <c r="P697" s="99"/>
      <c r="Q697" s="99"/>
      <c r="R697" s="99"/>
      <c r="S697" s="99"/>
      <c r="T697" s="99"/>
      <c r="U697" s="99"/>
      <c r="V697" s="99"/>
      <c r="W697" s="99"/>
      <c r="X697" s="99"/>
      <c r="Y697" s="99"/>
      <c r="Z697" s="99"/>
      <c r="AB697" s="122"/>
      <c r="AC697" s="84"/>
      <c r="AD697" s="122"/>
      <c r="AE697" s="122"/>
      <c r="AF697" s="122"/>
      <c r="AG697" s="122"/>
      <c r="AH697" s="122"/>
      <c r="AI697" s="122"/>
    </row>
    <row r="698" ht="15.75" customHeight="1">
      <c r="A698" s="84"/>
      <c r="B698" s="84"/>
      <c r="C698" s="84"/>
      <c r="D698" s="84"/>
      <c r="E698" s="84"/>
      <c r="F698" s="276"/>
      <c r="H698" s="275"/>
      <c r="I698" s="275"/>
      <c r="J698" s="275"/>
      <c r="K698" s="275"/>
      <c r="L698" s="275"/>
      <c r="M698" s="275"/>
      <c r="N698" s="260"/>
      <c r="O698" s="99"/>
      <c r="P698" s="99"/>
      <c r="Q698" s="99"/>
      <c r="R698" s="99"/>
      <c r="S698" s="99"/>
      <c r="T698" s="99"/>
      <c r="U698" s="99"/>
      <c r="V698" s="99"/>
      <c r="W698" s="99"/>
      <c r="X698" s="99"/>
      <c r="Y698" s="99"/>
      <c r="Z698" s="99"/>
      <c r="AB698" s="122"/>
      <c r="AC698" s="84"/>
      <c r="AD698" s="122"/>
      <c r="AE698" s="122"/>
      <c r="AF698" s="122"/>
      <c r="AG698" s="122"/>
      <c r="AH698" s="122"/>
      <c r="AI698" s="122"/>
    </row>
    <row r="699" ht="15.75" customHeight="1">
      <c r="A699" s="84"/>
      <c r="B699" s="84"/>
      <c r="C699" s="84"/>
      <c r="D699" s="84"/>
      <c r="E699" s="84"/>
      <c r="F699" s="276"/>
      <c r="H699" s="275"/>
      <c r="I699" s="275"/>
      <c r="J699" s="275"/>
      <c r="K699" s="275"/>
      <c r="L699" s="275"/>
      <c r="M699" s="275"/>
      <c r="N699" s="260"/>
      <c r="O699" s="99"/>
      <c r="P699" s="99"/>
      <c r="Q699" s="99"/>
      <c r="R699" s="99"/>
      <c r="S699" s="99"/>
      <c r="T699" s="99"/>
      <c r="U699" s="99"/>
      <c r="V699" s="99"/>
      <c r="W699" s="99"/>
      <c r="X699" s="99"/>
      <c r="Y699" s="99"/>
      <c r="Z699" s="99"/>
      <c r="AB699" s="122"/>
      <c r="AC699" s="84"/>
      <c r="AD699" s="122"/>
      <c r="AE699" s="122"/>
      <c r="AF699" s="122"/>
      <c r="AG699" s="122"/>
      <c r="AH699" s="122"/>
      <c r="AI699" s="122"/>
    </row>
    <row r="700" ht="15.75" customHeight="1">
      <c r="A700" s="84"/>
      <c r="B700" s="84"/>
      <c r="C700" s="84"/>
      <c r="D700" s="84"/>
      <c r="E700" s="84"/>
      <c r="F700" s="276"/>
      <c r="H700" s="275"/>
      <c r="I700" s="275"/>
      <c r="J700" s="275"/>
      <c r="K700" s="275"/>
      <c r="L700" s="275"/>
      <c r="M700" s="275"/>
      <c r="N700" s="260"/>
      <c r="O700" s="99"/>
      <c r="P700" s="99"/>
      <c r="Q700" s="99"/>
      <c r="R700" s="99"/>
      <c r="S700" s="99"/>
      <c r="T700" s="99"/>
      <c r="U700" s="99"/>
      <c r="V700" s="99"/>
      <c r="W700" s="99"/>
      <c r="X700" s="99"/>
      <c r="Y700" s="99"/>
      <c r="Z700" s="99"/>
      <c r="AB700" s="122"/>
      <c r="AC700" s="84"/>
      <c r="AD700" s="122"/>
      <c r="AE700" s="122"/>
      <c r="AF700" s="122"/>
      <c r="AG700" s="122"/>
      <c r="AH700" s="122"/>
      <c r="AI700" s="122"/>
    </row>
    <row r="701" ht="15.75" customHeight="1">
      <c r="A701" s="84"/>
      <c r="B701" s="84"/>
      <c r="C701" s="84"/>
      <c r="D701" s="84"/>
      <c r="E701" s="84"/>
      <c r="F701" s="276"/>
      <c r="H701" s="275"/>
      <c r="I701" s="275"/>
      <c r="J701" s="275"/>
      <c r="K701" s="275"/>
      <c r="L701" s="275"/>
      <c r="M701" s="275"/>
      <c r="N701" s="260"/>
      <c r="O701" s="99"/>
      <c r="P701" s="99"/>
      <c r="Q701" s="99"/>
      <c r="R701" s="99"/>
      <c r="S701" s="99"/>
      <c r="T701" s="99"/>
      <c r="U701" s="99"/>
      <c r="V701" s="99"/>
      <c r="W701" s="99"/>
      <c r="X701" s="99"/>
      <c r="Y701" s="99"/>
      <c r="Z701" s="99"/>
      <c r="AB701" s="122"/>
      <c r="AC701" s="84"/>
      <c r="AD701" s="122"/>
      <c r="AE701" s="122"/>
      <c r="AF701" s="122"/>
      <c r="AG701" s="122"/>
      <c r="AH701" s="122"/>
      <c r="AI701" s="122"/>
    </row>
    <row r="702" ht="15.75" customHeight="1">
      <c r="A702" s="84"/>
      <c r="B702" s="84"/>
      <c r="C702" s="84"/>
      <c r="D702" s="84"/>
      <c r="E702" s="84"/>
      <c r="F702" s="276"/>
      <c r="H702" s="275"/>
      <c r="I702" s="275"/>
      <c r="J702" s="275"/>
      <c r="K702" s="275"/>
      <c r="L702" s="275"/>
      <c r="M702" s="275"/>
      <c r="N702" s="260"/>
      <c r="O702" s="99"/>
      <c r="P702" s="99"/>
      <c r="Q702" s="99"/>
      <c r="R702" s="99"/>
      <c r="S702" s="99"/>
      <c r="T702" s="99"/>
      <c r="U702" s="99"/>
      <c r="V702" s="99"/>
      <c r="W702" s="99"/>
      <c r="X702" s="99"/>
      <c r="Y702" s="99"/>
      <c r="Z702" s="99"/>
      <c r="AB702" s="84"/>
      <c r="AC702" s="84"/>
      <c r="AD702" s="84"/>
      <c r="AE702" s="84"/>
      <c r="AF702" s="84"/>
      <c r="AG702" s="84"/>
      <c r="AH702" s="84"/>
      <c r="AI702" s="84"/>
    </row>
    <row r="703" ht="15.75" customHeight="1">
      <c r="A703" s="84"/>
      <c r="B703" s="84"/>
      <c r="C703" s="84"/>
      <c r="D703" s="84"/>
      <c r="E703" s="84"/>
      <c r="F703" s="276"/>
      <c r="H703" s="275"/>
      <c r="I703" s="275"/>
      <c r="J703" s="275"/>
      <c r="K703" s="275"/>
      <c r="L703" s="275"/>
      <c r="M703" s="275"/>
      <c r="N703" s="260"/>
      <c r="O703" s="99"/>
      <c r="P703" s="99"/>
      <c r="Q703" s="99"/>
      <c r="R703" s="99"/>
      <c r="S703" s="99"/>
      <c r="T703" s="99"/>
      <c r="U703" s="99"/>
      <c r="V703" s="99"/>
      <c r="W703" s="99"/>
      <c r="X703" s="99"/>
      <c r="Y703" s="99"/>
      <c r="Z703" s="99"/>
      <c r="AB703" s="84"/>
      <c r="AC703" s="84"/>
      <c r="AD703" s="84"/>
      <c r="AE703" s="84"/>
      <c r="AF703" s="84"/>
      <c r="AG703" s="84"/>
      <c r="AH703" s="84"/>
      <c r="AI703" s="84"/>
    </row>
    <row r="704" ht="15.75" customHeight="1">
      <c r="A704" s="84"/>
      <c r="B704" s="84"/>
      <c r="C704" s="84"/>
      <c r="D704" s="84"/>
      <c r="E704" s="84"/>
      <c r="F704" s="276"/>
      <c r="H704" s="275"/>
      <c r="I704" s="275"/>
      <c r="J704" s="275"/>
      <c r="K704" s="275"/>
      <c r="L704" s="275"/>
      <c r="M704" s="275"/>
      <c r="N704" s="260"/>
      <c r="O704" s="99"/>
      <c r="P704" s="99"/>
      <c r="Q704" s="99"/>
      <c r="R704" s="99"/>
      <c r="S704" s="99"/>
      <c r="T704" s="99"/>
      <c r="U704" s="99"/>
      <c r="V704" s="99"/>
      <c r="W704" s="99"/>
      <c r="X704" s="99"/>
      <c r="Y704" s="99"/>
      <c r="Z704" s="99"/>
      <c r="AB704" s="84"/>
      <c r="AC704" s="84"/>
      <c r="AD704" s="84"/>
      <c r="AE704" s="84"/>
      <c r="AF704" s="84"/>
      <c r="AG704" s="84"/>
      <c r="AH704" s="84"/>
      <c r="AI704" s="84"/>
    </row>
    <row r="705" ht="15.75" customHeight="1">
      <c r="A705" s="84"/>
      <c r="B705" s="84"/>
      <c r="C705" s="84"/>
      <c r="D705" s="84"/>
      <c r="E705" s="84"/>
      <c r="F705" s="276"/>
      <c r="H705" s="275"/>
      <c r="I705" s="275"/>
      <c r="J705" s="275"/>
      <c r="K705" s="275"/>
      <c r="L705" s="275"/>
      <c r="M705" s="275"/>
      <c r="N705" s="260"/>
      <c r="O705" s="99"/>
      <c r="P705" s="99"/>
      <c r="Q705" s="99"/>
      <c r="R705" s="99"/>
      <c r="S705" s="99"/>
      <c r="T705" s="99"/>
      <c r="U705" s="99"/>
      <c r="V705" s="99"/>
      <c r="W705" s="99"/>
      <c r="X705" s="99"/>
      <c r="Y705" s="99"/>
      <c r="Z705" s="99"/>
      <c r="AB705" s="84"/>
      <c r="AC705" s="84"/>
      <c r="AD705" s="84"/>
      <c r="AE705" s="84"/>
      <c r="AF705" s="84"/>
      <c r="AG705" s="84"/>
      <c r="AH705" s="84"/>
      <c r="AI705" s="84"/>
    </row>
    <row r="706" ht="15.75" customHeight="1">
      <c r="A706" s="84"/>
      <c r="B706" s="84"/>
      <c r="C706" s="84"/>
      <c r="D706" s="84"/>
      <c r="E706" s="84"/>
      <c r="F706" s="276"/>
      <c r="H706" s="275"/>
      <c r="I706" s="275"/>
      <c r="J706" s="275"/>
      <c r="K706" s="275"/>
      <c r="L706" s="275"/>
      <c r="M706" s="275"/>
      <c r="N706" s="260"/>
      <c r="O706" s="99"/>
      <c r="P706" s="99"/>
      <c r="Q706" s="99"/>
      <c r="R706" s="99"/>
      <c r="S706" s="99"/>
      <c r="T706" s="99"/>
      <c r="U706" s="99"/>
      <c r="V706" s="99"/>
      <c r="W706" s="99"/>
      <c r="X706" s="99"/>
      <c r="Y706" s="99"/>
      <c r="Z706" s="99"/>
      <c r="AB706" s="84"/>
      <c r="AC706" s="84"/>
      <c r="AD706" s="84"/>
      <c r="AE706" s="84"/>
      <c r="AF706" s="84"/>
      <c r="AG706" s="84"/>
      <c r="AH706" s="84"/>
      <c r="AI706" s="84"/>
    </row>
    <row r="707" ht="15.75" customHeight="1">
      <c r="A707" s="84"/>
      <c r="B707" s="84"/>
      <c r="C707" s="84"/>
      <c r="D707" s="84"/>
      <c r="E707" s="84"/>
      <c r="F707" s="276"/>
      <c r="H707" s="275"/>
      <c r="I707" s="275"/>
      <c r="J707" s="275"/>
      <c r="K707" s="275"/>
      <c r="L707" s="275"/>
      <c r="M707" s="275"/>
      <c r="N707" s="260"/>
      <c r="O707" s="99"/>
      <c r="P707" s="99"/>
      <c r="Q707" s="99"/>
      <c r="R707" s="99"/>
      <c r="S707" s="99"/>
      <c r="T707" s="99"/>
      <c r="U707" s="99"/>
      <c r="V707" s="99"/>
      <c r="W707" s="99"/>
      <c r="X707" s="99"/>
      <c r="Y707" s="99"/>
      <c r="Z707" s="99"/>
      <c r="AB707" s="84"/>
      <c r="AC707" s="84"/>
      <c r="AD707" s="84"/>
      <c r="AE707" s="84"/>
      <c r="AF707" s="84"/>
      <c r="AG707" s="84"/>
      <c r="AH707" s="84"/>
      <c r="AI707" s="84"/>
    </row>
    <row r="708" ht="15.75" customHeight="1">
      <c r="A708" s="84"/>
      <c r="B708" s="84"/>
      <c r="C708" s="84"/>
      <c r="D708" s="84"/>
      <c r="E708" s="84"/>
      <c r="F708" s="276"/>
      <c r="H708" s="275"/>
      <c r="I708" s="275"/>
      <c r="J708" s="275"/>
      <c r="K708" s="275"/>
      <c r="L708" s="275"/>
      <c r="M708" s="275"/>
      <c r="N708" s="260"/>
      <c r="O708" s="99"/>
      <c r="P708" s="99"/>
      <c r="Q708" s="99"/>
      <c r="R708" s="99"/>
      <c r="S708" s="99"/>
      <c r="T708" s="99"/>
      <c r="U708" s="99"/>
      <c r="V708" s="99"/>
      <c r="W708" s="99"/>
      <c r="X708" s="99"/>
      <c r="Y708" s="99"/>
      <c r="Z708" s="99"/>
      <c r="AB708" s="84"/>
      <c r="AC708" s="84"/>
      <c r="AD708" s="84"/>
      <c r="AE708" s="84"/>
      <c r="AF708" s="84"/>
      <c r="AG708" s="84"/>
      <c r="AH708" s="84"/>
      <c r="AI708" s="84"/>
    </row>
    <row r="709" ht="15.75" customHeight="1">
      <c r="A709" s="84"/>
      <c r="B709" s="84"/>
      <c r="C709" s="84"/>
      <c r="D709" s="84"/>
      <c r="E709" s="84"/>
      <c r="F709" s="276"/>
      <c r="H709" s="275"/>
      <c r="I709" s="275"/>
      <c r="J709" s="275"/>
      <c r="K709" s="275"/>
      <c r="L709" s="275"/>
      <c r="M709" s="275"/>
      <c r="N709" s="260"/>
      <c r="O709" s="99"/>
      <c r="P709" s="99"/>
      <c r="Q709" s="99"/>
      <c r="R709" s="99"/>
      <c r="S709" s="99"/>
      <c r="T709" s="99"/>
      <c r="U709" s="99"/>
      <c r="V709" s="99"/>
      <c r="W709" s="99"/>
      <c r="X709" s="99"/>
      <c r="Y709" s="99"/>
      <c r="Z709" s="99"/>
      <c r="AB709" s="84"/>
      <c r="AC709" s="84"/>
      <c r="AD709" s="84"/>
      <c r="AE709" s="84"/>
      <c r="AF709" s="84"/>
      <c r="AG709" s="84"/>
      <c r="AH709" s="84"/>
      <c r="AI709" s="84"/>
    </row>
    <row r="710" ht="15.75" customHeight="1">
      <c r="A710" s="84"/>
      <c r="B710" s="84"/>
      <c r="C710" s="84"/>
      <c r="D710" s="84"/>
      <c r="E710" s="84"/>
      <c r="F710" s="276"/>
      <c r="H710" s="275"/>
      <c r="I710" s="275"/>
      <c r="J710" s="275"/>
      <c r="K710" s="275"/>
      <c r="L710" s="275"/>
      <c r="M710" s="275"/>
      <c r="N710" s="260"/>
      <c r="O710" s="99"/>
      <c r="P710" s="99"/>
      <c r="Q710" s="99"/>
      <c r="R710" s="99"/>
      <c r="S710" s="99"/>
      <c r="T710" s="99"/>
      <c r="U710" s="99"/>
      <c r="V710" s="99"/>
      <c r="W710" s="99"/>
      <c r="X710" s="99"/>
      <c r="Y710" s="99"/>
      <c r="Z710" s="99"/>
      <c r="AB710" s="84"/>
      <c r="AC710" s="84"/>
      <c r="AD710" s="84"/>
      <c r="AE710" s="84"/>
      <c r="AF710" s="84"/>
      <c r="AG710" s="84"/>
      <c r="AH710" s="84"/>
      <c r="AI710" s="84"/>
    </row>
    <row r="711" ht="15.75" customHeight="1">
      <c r="A711" s="84"/>
      <c r="B711" s="84"/>
      <c r="C711" s="84"/>
      <c r="D711" s="84"/>
      <c r="E711" s="84"/>
      <c r="F711" s="276"/>
      <c r="H711" s="275"/>
      <c r="I711" s="275"/>
      <c r="J711" s="275"/>
      <c r="K711" s="275"/>
      <c r="L711" s="275"/>
      <c r="M711" s="275"/>
      <c r="N711" s="260"/>
      <c r="O711" s="99"/>
      <c r="P711" s="99"/>
      <c r="Q711" s="99"/>
      <c r="R711" s="99"/>
      <c r="S711" s="99"/>
      <c r="T711" s="99"/>
      <c r="U711" s="99"/>
      <c r="V711" s="99"/>
      <c r="W711" s="99"/>
      <c r="X711" s="99"/>
      <c r="Y711" s="99"/>
      <c r="Z711" s="99"/>
      <c r="AB711" s="84"/>
      <c r="AC711" s="84"/>
      <c r="AD711" s="84"/>
      <c r="AE711" s="84"/>
      <c r="AF711" s="84"/>
      <c r="AG711" s="84"/>
      <c r="AH711" s="84"/>
      <c r="AI711" s="84"/>
    </row>
    <row r="712" ht="15.75" customHeight="1">
      <c r="A712" s="84"/>
      <c r="B712" s="84"/>
      <c r="C712" s="84"/>
      <c r="D712" s="84"/>
      <c r="E712" s="84"/>
      <c r="F712" s="276"/>
      <c r="H712" s="275"/>
      <c r="I712" s="275"/>
      <c r="J712" s="275"/>
      <c r="K712" s="275"/>
      <c r="L712" s="275"/>
      <c r="M712" s="275"/>
      <c r="N712" s="260"/>
      <c r="O712" s="99"/>
      <c r="P712" s="99"/>
      <c r="Q712" s="99"/>
      <c r="R712" s="99"/>
      <c r="S712" s="99"/>
      <c r="T712" s="99"/>
      <c r="U712" s="99"/>
      <c r="V712" s="99"/>
      <c r="W712" s="99"/>
      <c r="X712" s="99"/>
      <c r="Y712" s="99"/>
      <c r="Z712" s="99"/>
      <c r="AB712" s="84"/>
      <c r="AC712" s="84"/>
      <c r="AD712" s="84"/>
      <c r="AE712" s="84"/>
      <c r="AF712" s="84"/>
      <c r="AG712" s="84"/>
      <c r="AH712" s="84"/>
      <c r="AI712" s="84"/>
    </row>
    <row r="713" ht="15.75" customHeight="1">
      <c r="A713" s="84"/>
      <c r="B713" s="84"/>
      <c r="C713" s="84"/>
      <c r="D713" s="84"/>
      <c r="E713" s="84"/>
      <c r="F713" s="276"/>
      <c r="H713" s="275"/>
      <c r="I713" s="275"/>
      <c r="J713" s="275"/>
      <c r="K713" s="275"/>
      <c r="L713" s="275"/>
      <c r="M713" s="275"/>
      <c r="N713" s="260"/>
      <c r="O713" s="99"/>
      <c r="P713" s="99"/>
      <c r="Q713" s="99"/>
      <c r="R713" s="99"/>
      <c r="S713" s="99"/>
      <c r="T713" s="99"/>
      <c r="U713" s="99"/>
      <c r="V713" s="99"/>
      <c r="W713" s="99"/>
      <c r="X713" s="99"/>
      <c r="Y713" s="99"/>
      <c r="Z713" s="99"/>
      <c r="AB713" s="84"/>
      <c r="AC713" s="84"/>
      <c r="AD713" s="84"/>
      <c r="AE713" s="84"/>
      <c r="AF713" s="84"/>
      <c r="AG713" s="84"/>
      <c r="AH713" s="84"/>
      <c r="AI713" s="84"/>
    </row>
    <row r="714" ht="15.75" customHeight="1">
      <c r="A714" s="84"/>
      <c r="B714" s="84"/>
      <c r="C714" s="84"/>
      <c r="D714" s="84"/>
      <c r="E714" s="84"/>
      <c r="F714" s="276"/>
      <c r="H714" s="275"/>
      <c r="I714" s="275"/>
      <c r="J714" s="275"/>
      <c r="K714" s="275"/>
      <c r="L714" s="275"/>
      <c r="M714" s="275"/>
      <c r="N714" s="260"/>
      <c r="O714" s="99"/>
      <c r="P714" s="99"/>
      <c r="Q714" s="99"/>
      <c r="R714" s="99"/>
      <c r="S714" s="99"/>
      <c r="T714" s="99"/>
      <c r="U714" s="99"/>
      <c r="V714" s="99"/>
      <c r="W714" s="99"/>
      <c r="X714" s="99"/>
      <c r="Y714" s="99"/>
      <c r="Z714" s="99"/>
      <c r="AB714" s="84"/>
      <c r="AC714" s="84"/>
      <c r="AD714" s="84"/>
      <c r="AE714" s="84"/>
      <c r="AF714" s="84"/>
      <c r="AG714" s="84"/>
      <c r="AH714" s="84"/>
      <c r="AI714" s="84"/>
    </row>
    <row r="715" ht="15.75" customHeight="1">
      <c r="A715" s="84"/>
      <c r="B715" s="84"/>
      <c r="C715" s="84"/>
      <c r="D715" s="84"/>
      <c r="E715" s="84"/>
      <c r="F715" s="276"/>
      <c r="H715" s="275"/>
      <c r="I715" s="275"/>
      <c r="J715" s="275"/>
      <c r="K715" s="275"/>
      <c r="L715" s="275"/>
      <c r="M715" s="275"/>
      <c r="N715" s="260"/>
      <c r="O715" s="99"/>
      <c r="P715" s="99"/>
      <c r="Q715" s="99"/>
      <c r="R715" s="99"/>
      <c r="S715" s="99"/>
      <c r="T715" s="99"/>
      <c r="U715" s="99"/>
      <c r="V715" s="99"/>
      <c r="W715" s="99"/>
      <c r="X715" s="99"/>
      <c r="Y715" s="99"/>
      <c r="Z715" s="99"/>
      <c r="AB715" s="84"/>
      <c r="AC715" s="84"/>
      <c r="AD715" s="84"/>
      <c r="AE715" s="84"/>
      <c r="AF715" s="84"/>
      <c r="AG715" s="84"/>
      <c r="AH715" s="84"/>
      <c r="AI715" s="84"/>
    </row>
    <row r="716" ht="15.75" customHeight="1">
      <c r="A716" s="84"/>
      <c r="B716" s="84"/>
      <c r="C716" s="84"/>
      <c r="D716" s="84"/>
      <c r="E716" s="84"/>
      <c r="F716" s="276"/>
      <c r="H716" s="275"/>
      <c r="I716" s="275"/>
      <c r="J716" s="275"/>
      <c r="K716" s="275"/>
      <c r="L716" s="275"/>
      <c r="M716" s="275"/>
      <c r="N716" s="260"/>
      <c r="O716" s="99"/>
      <c r="P716" s="99"/>
      <c r="Q716" s="99"/>
      <c r="R716" s="99"/>
      <c r="S716" s="99"/>
      <c r="T716" s="99"/>
      <c r="U716" s="99"/>
      <c r="V716" s="99"/>
      <c r="W716" s="99"/>
      <c r="X716" s="99"/>
      <c r="Y716" s="99"/>
      <c r="Z716" s="99"/>
      <c r="AB716" s="84"/>
      <c r="AC716" s="84"/>
      <c r="AD716" s="84"/>
      <c r="AE716" s="84"/>
      <c r="AF716" s="84"/>
      <c r="AG716" s="84"/>
      <c r="AH716" s="84"/>
      <c r="AI716" s="84"/>
    </row>
    <row r="717" ht="15.75" customHeight="1">
      <c r="A717" s="84"/>
      <c r="B717" s="84"/>
      <c r="C717" s="84"/>
      <c r="D717" s="84"/>
      <c r="E717" s="84"/>
      <c r="F717" s="276"/>
      <c r="H717" s="275"/>
      <c r="I717" s="275"/>
      <c r="J717" s="275"/>
      <c r="K717" s="275"/>
      <c r="L717" s="275"/>
      <c r="M717" s="275"/>
      <c r="N717" s="260"/>
      <c r="O717" s="99"/>
      <c r="P717" s="99"/>
      <c r="Q717" s="99"/>
      <c r="R717" s="99"/>
      <c r="S717" s="99"/>
      <c r="T717" s="99"/>
      <c r="U717" s="99"/>
      <c r="V717" s="99"/>
      <c r="W717" s="99"/>
      <c r="X717" s="99"/>
      <c r="Y717" s="99"/>
      <c r="Z717" s="99"/>
      <c r="AB717" s="84"/>
      <c r="AC717" s="84"/>
      <c r="AD717" s="84"/>
      <c r="AE717" s="84"/>
      <c r="AF717" s="84"/>
      <c r="AG717" s="84"/>
      <c r="AH717" s="84"/>
      <c r="AI717" s="84"/>
    </row>
    <row r="718" ht="15.75" customHeight="1">
      <c r="A718" s="84"/>
      <c r="B718" s="84"/>
      <c r="C718" s="84"/>
      <c r="D718" s="84"/>
      <c r="E718" s="84"/>
      <c r="F718" s="276"/>
      <c r="H718" s="275"/>
      <c r="I718" s="275"/>
      <c r="J718" s="275"/>
      <c r="K718" s="275"/>
      <c r="L718" s="275"/>
      <c r="M718" s="275"/>
      <c r="N718" s="260"/>
      <c r="O718" s="99"/>
      <c r="P718" s="99"/>
      <c r="Q718" s="99"/>
      <c r="R718" s="99"/>
      <c r="S718" s="99"/>
      <c r="T718" s="99"/>
      <c r="U718" s="99"/>
      <c r="V718" s="99"/>
      <c r="W718" s="99"/>
      <c r="X718" s="99"/>
      <c r="Y718" s="99"/>
      <c r="Z718" s="99"/>
      <c r="AB718" s="84"/>
      <c r="AC718" s="84"/>
      <c r="AD718" s="84"/>
      <c r="AE718" s="84"/>
      <c r="AF718" s="84"/>
      <c r="AG718" s="84"/>
      <c r="AH718" s="84"/>
      <c r="AI718" s="84"/>
    </row>
    <row r="719" ht="15.75" customHeight="1">
      <c r="A719" s="84"/>
      <c r="B719" s="84"/>
      <c r="C719" s="84"/>
      <c r="D719" s="84"/>
      <c r="E719" s="84"/>
      <c r="F719" s="276"/>
      <c r="H719" s="275"/>
      <c r="I719" s="275"/>
      <c r="J719" s="275"/>
      <c r="K719" s="275"/>
      <c r="L719" s="275"/>
      <c r="M719" s="275"/>
      <c r="N719" s="260"/>
      <c r="O719" s="99"/>
      <c r="P719" s="99"/>
      <c r="Q719" s="99"/>
      <c r="R719" s="99"/>
      <c r="S719" s="99"/>
      <c r="T719" s="99"/>
      <c r="U719" s="99"/>
      <c r="V719" s="99"/>
      <c r="W719" s="99"/>
      <c r="X719" s="99"/>
      <c r="Y719" s="99"/>
      <c r="Z719" s="99"/>
      <c r="AB719" s="84"/>
      <c r="AC719" s="84"/>
      <c r="AD719" s="84"/>
      <c r="AE719" s="84"/>
      <c r="AF719" s="84"/>
      <c r="AG719" s="84"/>
      <c r="AH719" s="84"/>
      <c r="AI719" s="84"/>
    </row>
    <row r="720" ht="15.75" customHeight="1">
      <c r="A720" s="84"/>
      <c r="B720" s="84"/>
      <c r="C720" s="84"/>
      <c r="D720" s="84"/>
      <c r="E720" s="84"/>
      <c r="F720" s="276"/>
      <c r="H720" s="275"/>
      <c r="I720" s="275"/>
      <c r="J720" s="275"/>
      <c r="K720" s="275"/>
      <c r="L720" s="275"/>
      <c r="M720" s="275"/>
      <c r="N720" s="260"/>
      <c r="O720" s="99"/>
      <c r="P720" s="99"/>
      <c r="Q720" s="99"/>
      <c r="R720" s="99"/>
      <c r="S720" s="99"/>
      <c r="T720" s="99"/>
      <c r="U720" s="99"/>
      <c r="V720" s="99"/>
      <c r="W720" s="99"/>
      <c r="X720" s="99"/>
      <c r="Y720" s="99"/>
      <c r="Z720" s="99"/>
      <c r="AB720" s="84"/>
      <c r="AC720" s="84"/>
      <c r="AD720" s="84"/>
      <c r="AE720" s="84"/>
      <c r="AF720" s="84"/>
      <c r="AG720" s="84"/>
      <c r="AH720" s="84"/>
      <c r="AI720" s="84"/>
    </row>
    <row r="721" ht="15.75" customHeight="1">
      <c r="A721" s="84"/>
      <c r="B721" s="84"/>
      <c r="C721" s="84"/>
      <c r="D721" s="84"/>
      <c r="E721" s="84"/>
      <c r="F721" s="276"/>
      <c r="H721" s="275"/>
      <c r="I721" s="275"/>
      <c r="J721" s="275"/>
      <c r="K721" s="275"/>
      <c r="L721" s="275"/>
      <c r="M721" s="275"/>
      <c r="N721" s="260"/>
      <c r="O721" s="99"/>
      <c r="P721" s="99"/>
      <c r="Q721" s="99"/>
      <c r="R721" s="99"/>
      <c r="S721" s="99"/>
      <c r="T721" s="99"/>
      <c r="U721" s="99"/>
      <c r="V721" s="99"/>
      <c r="W721" s="99"/>
      <c r="X721" s="99"/>
      <c r="Y721" s="99"/>
      <c r="Z721" s="99"/>
      <c r="AB721" s="84"/>
      <c r="AC721" s="84"/>
      <c r="AD721" s="84"/>
      <c r="AE721" s="84"/>
      <c r="AF721" s="84"/>
      <c r="AG721" s="84"/>
      <c r="AH721" s="84"/>
      <c r="AI721" s="84"/>
    </row>
    <row r="722" ht="15.75" customHeight="1">
      <c r="A722" s="84"/>
      <c r="B722" s="84"/>
      <c r="C722" s="84"/>
      <c r="D722" s="84"/>
      <c r="E722" s="84"/>
      <c r="F722" s="276"/>
      <c r="H722" s="275"/>
      <c r="I722" s="275"/>
      <c r="J722" s="275"/>
      <c r="K722" s="275"/>
      <c r="L722" s="275"/>
      <c r="M722" s="275"/>
      <c r="N722" s="260"/>
      <c r="O722" s="99"/>
      <c r="P722" s="99"/>
      <c r="Q722" s="99"/>
      <c r="R722" s="99"/>
      <c r="S722" s="99"/>
      <c r="T722" s="99"/>
      <c r="U722" s="99"/>
      <c r="V722" s="99"/>
      <c r="W722" s="99"/>
      <c r="X722" s="99"/>
      <c r="Y722" s="99"/>
      <c r="Z722" s="99"/>
      <c r="AB722" s="84"/>
      <c r="AC722" s="84"/>
      <c r="AD722" s="84"/>
      <c r="AE722" s="84"/>
      <c r="AF722" s="84"/>
      <c r="AG722" s="84"/>
      <c r="AH722" s="84"/>
      <c r="AI722" s="84"/>
    </row>
    <row r="723" ht="15.75" customHeight="1">
      <c r="A723" s="84"/>
      <c r="B723" s="84"/>
      <c r="C723" s="84"/>
      <c r="D723" s="84"/>
      <c r="E723" s="84"/>
      <c r="F723" s="276"/>
      <c r="H723" s="275"/>
      <c r="I723" s="275"/>
      <c r="J723" s="275"/>
      <c r="K723" s="275"/>
      <c r="L723" s="275"/>
      <c r="M723" s="275"/>
      <c r="N723" s="260"/>
      <c r="O723" s="99"/>
      <c r="P723" s="99"/>
      <c r="Q723" s="99"/>
      <c r="R723" s="99"/>
      <c r="S723" s="99"/>
      <c r="T723" s="99"/>
      <c r="U723" s="99"/>
      <c r="V723" s="99"/>
      <c r="W723" s="99"/>
      <c r="X723" s="99"/>
      <c r="Y723" s="99"/>
      <c r="Z723" s="99"/>
      <c r="AB723" s="84"/>
      <c r="AC723" s="84"/>
      <c r="AD723" s="84"/>
      <c r="AE723" s="84"/>
      <c r="AF723" s="84"/>
      <c r="AG723" s="84"/>
      <c r="AH723" s="84"/>
      <c r="AI723" s="84"/>
    </row>
    <row r="724" ht="15.75" customHeight="1">
      <c r="A724" s="84"/>
      <c r="B724" s="84"/>
      <c r="C724" s="84"/>
      <c r="D724" s="84"/>
      <c r="E724" s="84"/>
      <c r="F724" s="276"/>
      <c r="H724" s="275"/>
      <c r="I724" s="275"/>
      <c r="J724" s="275"/>
      <c r="K724" s="275"/>
      <c r="L724" s="275"/>
      <c r="M724" s="275"/>
      <c r="N724" s="260"/>
      <c r="O724" s="99"/>
      <c r="P724" s="99"/>
      <c r="Q724" s="99"/>
      <c r="R724" s="99"/>
      <c r="S724" s="99"/>
      <c r="T724" s="99"/>
      <c r="U724" s="99"/>
      <c r="V724" s="99"/>
      <c r="W724" s="99"/>
      <c r="X724" s="99"/>
      <c r="Y724" s="99"/>
      <c r="Z724" s="99"/>
      <c r="AB724" s="84"/>
      <c r="AC724" s="84"/>
      <c r="AD724" s="84"/>
      <c r="AE724" s="84"/>
      <c r="AF724" s="84"/>
      <c r="AG724" s="84"/>
      <c r="AH724" s="84"/>
      <c r="AI724" s="84"/>
    </row>
    <row r="725" ht="15.75" customHeight="1">
      <c r="A725" s="84"/>
      <c r="B725" s="84"/>
      <c r="C725" s="84"/>
      <c r="D725" s="84"/>
      <c r="E725" s="84"/>
      <c r="F725" s="276"/>
      <c r="H725" s="275"/>
      <c r="I725" s="275"/>
      <c r="J725" s="275"/>
      <c r="K725" s="275"/>
      <c r="L725" s="275"/>
      <c r="M725" s="275"/>
      <c r="N725" s="260"/>
      <c r="O725" s="99"/>
      <c r="P725" s="99"/>
      <c r="Q725" s="99"/>
      <c r="R725" s="99"/>
      <c r="S725" s="99"/>
      <c r="T725" s="99"/>
      <c r="U725" s="99"/>
      <c r="V725" s="99"/>
      <c r="W725" s="99"/>
      <c r="X725" s="99"/>
      <c r="Y725" s="99"/>
      <c r="Z725" s="99"/>
      <c r="AB725" s="84"/>
      <c r="AC725" s="84"/>
      <c r="AD725" s="84"/>
      <c r="AE725" s="84"/>
      <c r="AF725" s="84"/>
      <c r="AG725" s="84"/>
      <c r="AH725" s="84"/>
      <c r="AI725" s="84"/>
    </row>
    <row r="726" ht="15.75" customHeight="1">
      <c r="A726" s="84"/>
      <c r="B726" s="84"/>
      <c r="C726" s="84"/>
      <c r="D726" s="84"/>
      <c r="E726" s="84"/>
      <c r="F726" s="276"/>
      <c r="H726" s="275"/>
      <c r="I726" s="275"/>
      <c r="J726" s="275"/>
      <c r="K726" s="275"/>
      <c r="L726" s="275"/>
      <c r="M726" s="275"/>
      <c r="N726" s="260"/>
      <c r="O726" s="99"/>
      <c r="P726" s="99"/>
      <c r="Q726" s="99"/>
      <c r="R726" s="99"/>
      <c r="S726" s="99"/>
      <c r="T726" s="99"/>
      <c r="U726" s="99"/>
      <c r="V726" s="99"/>
      <c r="W726" s="99"/>
      <c r="X726" s="99"/>
      <c r="Y726" s="99"/>
      <c r="Z726" s="99"/>
      <c r="AB726" s="84"/>
      <c r="AC726" s="84"/>
      <c r="AD726" s="84"/>
      <c r="AE726" s="84"/>
      <c r="AF726" s="84"/>
      <c r="AG726" s="84"/>
      <c r="AH726" s="84"/>
      <c r="AI726" s="84"/>
    </row>
    <row r="727" ht="15.75" customHeight="1">
      <c r="A727" s="84"/>
      <c r="B727" s="84"/>
      <c r="C727" s="84"/>
      <c r="D727" s="84"/>
      <c r="E727" s="84"/>
      <c r="F727" s="276"/>
      <c r="H727" s="275"/>
      <c r="I727" s="275"/>
      <c r="J727" s="275"/>
      <c r="K727" s="275"/>
      <c r="L727" s="275"/>
      <c r="M727" s="275"/>
      <c r="N727" s="260"/>
      <c r="O727" s="99"/>
      <c r="P727" s="99"/>
      <c r="Q727" s="99"/>
      <c r="R727" s="99"/>
      <c r="S727" s="99"/>
      <c r="T727" s="99"/>
      <c r="U727" s="99"/>
      <c r="V727" s="99"/>
      <c r="W727" s="99"/>
      <c r="X727" s="99"/>
      <c r="Y727" s="99"/>
      <c r="Z727" s="99"/>
      <c r="AB727" s="84"/>
      <c r="AC727" s="84"/>
      <c r="AD727" s="84"/>
      <c r="AE727" s="84"/>
      <c r="AF727" s="84"/>
      <c r="AG727" s="84"/>
      <c r="AH727" s="84"/>
      <c r="AI727" s="84"/>
    </row>
    <row r="728" ht="15.75" customHeight="1">
      <c r="A728" s="84"/>
      <c r="B728" s="84"/>
      <c r="C728" s="84"/>
      <c r="D728" s="84"/>
      <c r="E728" s="84"/>
      <c r="F728" s="276"/>
      <c r="H728" s="275"/>
      <c r="I728" s="275"/>
      <c r="J728" s="275"/>
      <c r="K728" s="275"/>
      <c r="L728" s="275"/>
      <c r="M728" s="275"/>
      <c r="N728" s="260"/>
      <c r="O728" s="99"/>
      <c r="P728" s="99"/>
      <c r="Q728" s="99"/>
      <c r="R728" s="99"/>
      <c r="S728" s="99"/>
      <c r="T728" s="99"/>
      <c r="U728" s="99"/>
      <c r="V728" s="99"/>
      <c r="W728" s="99"/>
      <c r="X728" s="99"/>
      <c r="Y728" s="99"/>
      <c r="Z728" s="99"/>
      <c r="AB728" s="84"/>
      <c r="AC728" s="84"/>
      <c r="AD728" s="84"/>
      <c r="AE728" s="84"/>
      <c r="AF728" s="84"/>
      <c r="AG728" s="84"/>
      <c r="AH728" s="84"/>
      <c r="AI728" s="84"/>
    </row>
    <row r="729" ht="15.75" customHeight="1">
      <c r="A729" s="84"/>
      <c r="B729" s="84"/>
      <c r="C729" s="84"/>
      <c r="D729" s="84"/>
      <c r="E729" s="84"/>
      <c r="F729" s="276"/>
      <c r="H729" s="275"/>
      <c r="I729" s="275"/>
      <c r="J729" s="275"/>
      <c r="K729" s="275"/>
      <c r="L729" s="275"/>
      <c r="M729" s="275"/>
      <c r="N729" s="260"/>
      <c r="O729" s="99"/>
      <c r="P729" s="99"/>
      <c r="Q729" s="99"/>
      <c r="R729" s="99"/>
      <c r="S729" s="99"/>
      <c r="T729" s="99"/>
      <c r="U729" s="99"/>
      <c r="V729" s="99"/>
      <c r="W729" s="99"/>
      <c r="X729" s="99"/>
      <c r="Y729" s="99"/>
      <c r="Z729" s="99"/>
      <c r="AB729" s="84"/>
      <c r="AC729" s="84"/>
      <c r="AD729" s="84"/>
      <c r="AE729" s="84"/>
      <c r="AF729" s="84"/>
      <c r="AG729" s="84"/>
      <c r="AH729" s="84"/>
      <c r="AI729" s="84"/>
    </row>
    <row r="730" ht="15.75" customHeight="1">
      <c r="A730" s="84"/>
      <c r="B730" s="84"/>
      <c r="C730" s="84"/>
      <c r="D730" s="84"/>
      <c r="E730" s="84"/>
      <c r="F730" s="276"/>
      <c r="H730" s="275"/>
      <c r="I730" s="275"/>
      <c r="J730" s="275"/>
      <c r="K730" s="275"/>
      <c r="L730" s="275"/>
      <c r="M730" s="275"/>
      <c r="N730" s="260"/>
      <c r="O730" s="99"/>
      <c r="P730" s="99"/>
      <c r="Q730" s="99"/>
      <c r="R730" s="99"/>
      <c r="S730" s="99"/>
      <c r="T730" s="99"/>
      <c r="U730" s="99"/>
      <c r="V730" s="99"/>
      <c r="W730" s="99"/>
      <c r="X730" s="99"/>
      <c r="Y730" s="99"/>
      <c r="Z730" s="99"/>
      <c r="AB730" s="84"/>
      <c r="AC730" s="84"/>
      <c r="AD730" s="84"/>
      <c r="AE730" s="84"/>
      <c r="AF730" s="84"/>
      <c r="AG730" s="84"/>
      <c r="AH730" s="84"/>
      <c r="AI730" s="84"/>
    </row>
    <row r="731" ht="15.75" customHeight="1">
      <c r="A731" s="84"/>
      <c r="B731" s="84"/>
      <c r="C731" s="84"/>
      <c r="D731" s="84"/>
      <c r="E731" s="84"/>
      <c r="F731" s="276"/>
      <c r="H731" s="275"/>
      <c r="I731" s="275"/>
      <c r="J731" s="275"/>
      <c r="K731" s="275"/>
      <c r="L731" s="275"/>
      <c r="M731" s="275"/>
      <c r="N731" s="260"/>
      <c r="O731" s="99"/>
      <c r="P731" s="99"/>
      <c r="Q731" s="99"/>
      <c r="R731" s="99"/>
      <c r="S731" s="99"/>
      <c r="T731" s="99"/>
      <c r="U731" s="99"/>
      <c r="V731" s="99"/>
      <c r="W731" s="99"/>
      <c r="X731" s="99"/>
      <c r="Y731" s="99"/>
      <c r="Z731" s="99"/>
      <c r="AB731" s="84"/>
      <c r="AC731" s="84"/>
      <c r="AD731" s="84"/>
      <c r="AE731" s="84"/>
      <c r="AF731" s="84"/>
      <c r="AG731" s="84"/>
      <c r="AH731" s="84"/>
      <c r="AI731" s="84"/>
    </row>
    <row r="732" ht="15.75" customHeight="1">
      <c r="A732" s="84"/>
      <c r="B732" s="84"/>
      <c r="C732" s="84"/>
      <c r="D732" s="84"/>
      <c r="E732" s="84"/>
      <c r="F732" s="276"/>
      <c r="H732" s="275"/>
      <c r="I732" s="275"/>
      <c r="J732" s="275"/>
      <c r="K732" s="275"/>
      <c r="L732" s="275"/>
      <c r="M732" s="275"/>
      <c r="N732" s="260"/>
      <c r="O732" s="99"/>
      <c r="P732" s="99"/>
      <c r="Q732" s="99"/>
      <c r="R732" s="99"/>
      <c r="S732" s="99"/>
      <c r="T732" s="99"/>
      <c r="U732" s="99"/>
      <c r="V732" s="99"/>
      <c r="W732" s="99"/>
      <c r="X732" s="99"/>
      <c r="Y732" s="99"/>
      <c r="Z732" s="99"/>
      <c r="AB732" s="84"/>
      <c r="AC732" s="84"/>
      <c r="AD732" s="84"/>
      <c r="AE732" s="84"/>
      <c r="AF732" s="84"/>
      <c r="AG732" s="84"/>
      <c r="AH732" s="84"/>
      <c r="AI732" s="84"/>
    </row>
    <row r="733" ht="15.75" customHeight="1">
      <c r="A733" s="84"/>
      <c r="B733" s="84"/>
      <c r="C733" s="84"/>
      <c r="D733" s="84"/>
      <c r="E733" s="84"/>
      <c r="F733" s="276"/>
      <c r="H733" s="275"/>
      <c r="I733" s="275"/>
      <c r="J733" s="275"/>
      <c r="K733" s="275"/>
      <c r="L733" s="275"/>
      <c r="M733" s="275"/>
      <c r="N733" s="260"/>
      <c r="O733" s="99"/>
      <c r="P733" s="99"/>
      <c r="Q733" s="99"/>
      <c r="R733" s="99"/>
      <c r="S733" s="99"/>
      <c r="T733" s="99"/>
      <c r="U733" s="99"/>
      <c r="V733" s="99"/>
      <c r="W733" s="99"/>
      <c r="X733" s="99"/>
      <c r="Y733" s="99"/>
      <c r="Z733" s="99"/>
      <c r="AB733" s="84"/>
      <c r="AC733" s="84"/>
      <c r="AD733" s="84"/>
      <c r="AE733" s="84"/>
      <c r="AF733" s="84"/>
      <c r="AG733" s="84"/>
      <c r="AH733" s="84"/>
      <c r="AI733" s="84"/>
    </row>
    <row r="734" ht="15.75" customHeight="1">
      <c r="A734" s="84"/>
      <c r="B734" s="84"/>
      <c r="C734" s="84"/>
      <c r="D734" s="84"/>
      <c r="E734" s="84"/>
      <c r="F734" s="276"/>
      <c r="H734" s="275"/>
      <c r="I734" s="275"/>
      <c r="J734" s="275"/>
      <c r="K734" s="275"/>
      <c r="L734" s="275"/>
      <c r="M734" s="275"/>
      <c r="N734" s="260"/>
      <c r="O734" s="99"/>
      <c r="P734" s="99"/>
      <c r="Q734" s="99"/>
      <c r="R734" s="99"/>
      <c r="S734" s="99"/>
      <c r="T734" s="99"/>
      <c r="U734" s="99"/>
      <c r="V734" s="99"/>
      <c r="W734" s="99"/>
      <c r="X734" s="99"/>
      <c r="Y734" s="99"/>
      <c r="Z734" s="99"/>
      <c r="AB734" s="84"/>
      <c r="AC734" s="84"/>
      <c r="AD734" s="84"/>
      <c r="AE734" s="84"/>
      <c r="AF734" s="84"/>
      <c r="AG734" s="84"/>
      <c r="AH734" s="84"/>
      <c r="AI734" s="84"/>
    </row>
    <row r="735" ht="15.75" customHeight="1">
      <c r="A735" s="84"/>
      <c r="B735" s="84"/>
      <c r="C735" s="84"/>
      <c r="D735" s="84"/>
      <c r="E735" s="84"/>
      <c r="F735" s="276"/>
      <c r="H735" s="275"/>
      <c r="I735" s="275"/>
      <c r="J735" s="275"/>
      <c r="K735" s="275"/>
      <c r="L735" s="275"/>
      <c r="M735" s="275"/>
      <c r="N735" s="260"/>
      <c r="O735" s="99"/>
      <c r="P735" s="99"/>
      <c r="Q735" s="99"/>
      <c r="R735" s="99"/>
      <c r="S735" s="99"/>
      <c r="T735" s="99"/>
      <c r="U735" s="99"/>
      <c r="V735" s="99"/>
      <c r="W735" s="99"/>
      <c r="X735" s="99"/>
      <c r="Y735" s="99"/>
      <c r="Z735" s="99"/>
      <c r="AB735" s="84"/>
      <c r="AC735" s="84"/>
      <c r="AD735" s="84"/>
      <c r="AE735" s="84"/>
      <c r="AF735" s="84"/>
      <c r="AG735" s="84"/>
      <c r="AH735" s="84"/>
      <c r="AI735" s="84"/>
    </row>
    <row r="736" ht="15.75" customHeight="1">
      <c r="A736" s="84"/>
      <c r="B736" s="84"/>
      <c r="C736" s="84"/>
      <c r="D736" s="84"/>
      <c r="E736" s="84"/>
      <c r="F736" s="276"/>
      <c r="H736" s="275"/>
      <c r="I736" s="275"/>
      <c r="J736" s="275"/>
      <c r="K736" s="275"/>
      <c r="L736" s="275"/>
      <c r="M736" s="275"/>
      <c r="N736" s="260"/>
      <c r="O736" s="99"/>
      <c r="P736" s="99"/>
      <c r="Q736" s="99"/>
      <c r="R736" s="99"/>
      <c r="S736" s="99"/>
      <c r="T736" s="99"/>
      <c r="U736" s="99"/>
      <c r="V736" s="99"/>
      <c r="W736" s="99"/>
      <c r="X736" s="99"/>
      <c r="Y736" s="99"/>
      <c r="Z736" s="99"/>
      <c r="AB736" s="84"/>
      <c r="AC736" s="84"/>
      <c r="AD736" s="84"/>
      <c r="AE736" s="84"/>
      <c r="AF736" s="84"/>
      <c r="AG736" s="84"/>
      <c r="AH736" s="84"/>
      <c r="AI736" s="84"/>
    </row>
    <row r="737" ht="15.75" customHeight="1">
      <c r="A737" s="84"/>
      <c r="B737" s="84"/>
      <c r="C737" s="84"/>
      <c r="D737" s="84"/>
      <c r="E737" s="84"/>
      <c r="F737" s="276"/>
      <c r="H737" s="275"/>
      <c r="I737" s="275"/>
      <c r="J737" s="275"/>
      <c r="K737" s="275"/>
      <c r="L737" s="275"/>
      <c r="M737" s="275"/>
      <c r="N737" s="260"/>
      <c r="O737" s="99"/>
      <c r="P737" s="99"/>
      <c r="Q737" s="99"/>
      <c r="R737" s="99"/>
      <c r="S737" s="99"/>
      <c r="T737" s="99"/>
      <c r="U737" s="99"/>
      <c r="V737" s="99"/>
      <c r="W737" s="99"/>
      <c r="X737" s="99"/>
      <c r="Y737" s="99"/>
      <c r="Z737" s="99"/>
      <c r="AB737" s="84"/>
      <c r="AC737" s="84"/>
      <c r="AD737" s="84"/>
      <c r="AE737" s="84"/>
      <c r="AF737" s="84"/>
      <c r="AG737" s="84"/>
      <c r="AH737" s="84"/>
      <c r="AI737" s="84"/>
    </row>
    <row r="738" ht="15.75" customHeight="1">
      <c r="A738" s="84"/>
      <c r="B738" s="84"/>
      <c r="C738" s="84"/>
      <c r="D738" s="84"/>
      <c r="E738" s="84"/>
      <c r="F738" s="276"/>
      <c r="H738" s="275"/>
      <c r="I738" s="275"/>
      <c r="J738" s="275"/>
      <c r="K738" s="275"/>
      <c r="L738" s="275"/>
      <c r="M738" s="275"/>
      <c r="N738" s="260"/>
      <c r="O738" s="99"/>
      <c r="P738" s="99"/>
      <c r="Q738" s="99"/>
      <c r="R738" s="99"/>
      <c r="S738" s="99"/>
      <c r="T738" s="99"/>
      <c r="U738" s="99"/>
      <c r="V738" s="99"/>
      <c r="W738" s="99"/>
      <c r="X738" s="99"/>
      <c r="Y738" s="99"/>
      <c r="Z738" s="99"/>
      <c r="AB738" s="84"/>
      <c r="AC738" s="84"/>
      <c r="AD738" s="84"/>
      <c r="AE738" s="84"/>
      <c r="AF738" s="84"/>
      <c r="AG738" s="84"/>
      <c r="AH738" s="84"/>
      <c r="AI738" s="84"/>
    </row>
    <row r="739" ht="15.75" customHeight="1">
      <c r="A739" s="84"/>
      <c r="B739" s="84"/>
      <c r="C739" s="84"/>
      <c r="D739" s="84"/>
      <c r="E739" s="84"/>
      <c r="F739" s="276"/>
      <c r="H739" s="275"/>
      <c r="I739" s="275"/>
      <c r="J739" s="275"/>
      <c r="K739" s="275"/>
      <c r="L739" s="275"/>
      <c r="M739" s="275"/>
      <c r="N739" s="260"/>
      <c r="O739" s="99"/>
      <c r="P739" s="99"/>
      <c r="Q739" s="99"/>
      <c r="R739" s="99"/>
      <c r="S739" s="99"/>
      <c r="T739" s="99"/>
      <c r="U739" s="99"/>
      <c r="V739" s="99"/>
      <c r="W739" s="99"/>
      <c r="X739" s="99"/>
      <c r="Y739" s="99"/>
      <c r="Z739" s="99"/>
      <c r="AB739" s="84"/>
      <c r="AC739" s="84"/>
      <c r="AD739" s="84"/>
      <c r="AE739" s="84"/>
      <c r="AF739" s="84"/>
      <c r="AG739" s="84"/>
      <c r="AH739" s="84"/>
      <c r="AI739" s="84"/>
    </row>
    <row r="740" ht="15.75" customHeight="1">
      <c r="A740" s="84"/>
      <c r="B740" s="84"/>
      <c r="C740" s="84"/>
      <c r="D740" s="84"/>
      <c r="E740" s="84"/>
      <c r="F740" s="276"/>
      <c r="H740" s="275"/>
      <c r="I740" s="275"/>
      <c r="J740" s="275"/>
      <c r="K740" s="275"/>
      <c r="L740" s="275"/>
      <c r="M740" s="275"/>
      <c r="N740" s="260"/>
      <c r="O740" s="99"/>
      <c r="P740" s="99"/>
      <c r="Q740" s="99"/>
      <c r="R740" s="99"/>
      <c r="S740" s="99"/>
      <c r="T740" s="99"/>
      <c r="U740" s="99"/>
      <c r="V740" s="99"/>
      <c r="W740" s="99"/>
      <c r="X740" s="99"/>
      <c r="Y740" s="99"/>
      <c r="Z740" s="99"/>
      <c r="AB740" s="84"/>
      <c r="AC740" s="84"/>
      <c r="AD740" s="84"/>
      <c r="AE740" s="84"/>
      <c r="AF740" s="84"/>
      <c r="AG740" s="84"/>
      <c r="AH740" s="84"/>
      <c r="AI740" s="84"/>
    </row>
    <row r="741" ht="15.75" customHeight="1">
      <c r="A741" s="84"/>
      <c r="B741" s="84"/>
      <c r="C741" s="84"/>
      <c r="D741" s="84"/>
      <c r="E741" s="84"/>
      <c r="F741" s="276"/>
      <c r="H741" s="275"/>
      <c r="I741" s="275"/>
      <c r="J741" s="275"/>
      <c r="K741" s="275"/>
      <c r="L741" s="275"/>
      <c r="M741" s="275"/>
      <c r="N741" s="260"/>
      <c r="O741" s="99"/>
      <c r="P741" s="99"/>
      <c r="Q741" s="99"/>
      <c r="R741" s="99"/>
      <c r="S741" s="99"/>
      <c r="T741" s="99"/>
      <c r="U741" s="99"/>
      <c r="V741" s="99"/>
      <c r="W741" s="99"/>
      <c r="X741" s="99"/>
      <c r="Y741" s="99"/>
      <c r="Z741" s="99"/>
      <c r="AB741" s="84"/>
      <c r="AC741" s="84"/>
      <c r="AD741" s="84"/>
      <c r="AE741" s="84"/>
      <c r="AF741" s="84"/>
      <c r="AG741" s="84"/>
      <c r="AH741" s="84"/>
      <c r="AI741" s="84"/>
    </row>
    <row r="742" ht="15.75" customHeight="1">
      <c r="A742" s="84"/>
      <c r="B742" s="84"/>
      <c r="C742" s="84"/>
      <c r="D742" s="84"/>
      <c r="E742" s="84"/>
      <c r="F742" s="276"/>
      <c r="H742" s="275"/>
      <c r="I742" s="275"/>
      <c r="J742" s="275"/>
      <c r="K742" s="275"/>
      <c r="L742" s="275"/>
      <c r="M742" s="275"/>
      <c r="N742" s="260"/>
      <c r="O742" s="99"/>
      <c r="P742" s="99"/>
      <c r="Q742" s="99"/>
      <c r="R742" s="99"/>
      <c r="S742" s="99"/>
      <c r="T742" s="99"/>
      <c r="U742" s="99"/>
      <c r="V742" s="99"/>
      <c r="W742" s="99"/>
      <c r="X742" s="99"/>
      <c r="Y742" s="99"/>
      <c r="Z742" s="99"/>
      <c r="AB742" s="84"/>
      <c r="AC742" s="84"/>
      <c r="AD742" s="84"/>
      <c r="AE742" s="84"/>
      <c r="AF742" s="84"/>
      <c r="AG742" s="84"/>
      <c r="AH742" s="84"/>
      <c r="AI742" s="84"/>
    </row>
    <row r="743" ht="15.75" customHeight="1">
      <c r="A743" s="84"/>
      <c r="B743" s="84"/>
      <c r="C743" s="84"/>
      <c r="D743" s="84"/>
      <c r="E743" s="84"/>
      <c r="F743" s="276"/>
      <c r="H743" s="275"/>
      <c r="I743" s="275"/>
      <c r="J743" s="275"/>
      <c r="K743" s="275"/>
      <c r="L743" s="275"/>
      <c r="M743" s="275"/>
      <c r="N743" s="260"/>
      <c r="O743" s="99"/>
      <c r="P743" s="99"/>
      <c r="Q743" s="99"/>
      <c r="R743" s="99"/>
      <c r="S743" s="99"/>
      <c r="T743" s="99"/>
      <c r="U743" s="99"/>
      <c r="V743" s="99"/>
      <c r="W743" s="99"/>
      <c r="X743" s="99"/>
      <c r="Y743" s="99"/>
      <c r="Z743" s="99"/>
      <c r="AB743" s="84"/>
      <c r="AC743" s="84"/>
      <c r="AD743" s="84"/>
      <c r="AE743" s="84"/>
      <c r="AF743" s="84"/>
      <c r="AG743" s="84"/>
      <c r="AH743" s="84"/>
      <c r="AI743" s="84"/>
    </row>
    <row r="744" ht="15.75" customHeight="1">
      <c r="A744" s="84"/>
      <c r="B744" s="84"/>
      <c r="C744" s="84"/>
      <c r="D744" s="84"/>
      <c r="E744" s="84"/>
      <c r="F744" s="276"/>
      <c r="H744" s="275"/>
      <c r="I744" s="275"/>
      <c r="J744" s="275"/>
      <c r="K744" s="275"/>
      <c r="L744" s="275"/>
      <c r="M744" s="275"/>
      <c r="N744" s="260"/>
      <c r="O744" s="99"/>
      <c r="P744" s="99"/>
      <c r="Q744" s="99"/>
      <c r="R744" s="99"/>
      <c r="S744" s="99"/>
      <c r="T744" s="99"/>
      <c r="U744" s="99"/>
      <c r="V744" s="99"/>
      <c r="W744" s="99"/>
      <c r="X744" s="99"/>
      <c r="Y744" s="99"/>
      <c r="Z744" s="99"/>
      <c r="AB744" s="84"/>
      <c r="AC744" s="84"/>
      <c r="AD744" s="84"/>
      <c r="AE744" s="84"/>
      <c r="AF744" s="84"/>
      <c r="AG744" s="84"/>
      <c r="AH744" s="84"/>
      <c r="AI744" s="84"/>
    </row>
    <row r="745" ht="15.75" customHeight="1">
      <c r="A745" s="84"/>
      <c r="B745" s="84"/>
      <c r="C745" s="84"/>
      <c r="D745" s="84"/>
      <c r="E745" s="84"/>
      <c r="F745" s="276"/>
      <c r="H745" s="275"/>
      <c r="I745" s="275"/>
      <c r="J745" s="275"/>
      <c r="K745" s="275"/>
      <c r="L745" s="275"/>
      <c r="M745" s="275"/>
      <c r="N745" s="260"/>
      <c r="O745" s="99"/>
      <c r="P745" s="99"/>
      <c r="Q745" s="99"/>
      <c r="R745" s="99"/>
      <c r="S745" s="99"/>
      <c r="T745" s="99"/>
      <c r="U745" s="99"/>
      <c r="V745" s="99"/>
      <c r="W745" s="99"/>
      <c r="X745" s="99"/>
      <c r="Y745" s="99"/>
      <c r="Z745" s="99"/>
      <c r="AB745" s="84"/>
      <c r="AC745" s="84"/>
      <c r="AD745" s="84"/>
      <c r="AE745" s="84"/>
      <c r="AF745" s="84"/>
      <c r="AG745" s="84"/>
      <c r="AH745" s="84"/>
      <c r="AI745" s="84"/>
    </row>
    <row r="746" ht="15.75" customHeight="1">
      <c r="A746" s="84"/>
      <c r="B746" s="84"/>
      <c r="C746" s="84"/>
      <c r="D746" s="84"/>
      <c r="E746" s="84"/>
      <c r="F746" s="276"/>
      <c r="H746" s="275"/>
      <c r="I746" s="275"/>
      <c r="J746" s="275"/>
      <c r="K746" s="275"/>
      <c r="L746" s="275"/>
      <c r="M746" s="275"/>
      <c r="N746" s="260"/>
      <c r="O746" s="99"/>
      <c r="P746" s="99"/>
      <c r="Q746" s="99"/>
      <c r="R746" s="99"/>
      <c r="S746" s="99"/>
      <c r="T746" s="99"/>
      <c r="U746" s="99"/>
      <c r="V746" s="99"/>
      <c r="W746" s="99"/>
      <c r="X746" s="99"/>
      <c r="Y746" s="99"/>
      <c r="Z746" s="99"/>
      <c r="AB746" s="84"/>
      <c r="AC746" s="84"/>
      <c r="AD746" s="84"/>
      <c r="AE746" s="84"/>
      <c r="AF746" s="84"/>
      <c r="AG746" s="84"/>
      <c r="AH746" s="84"/>
      <c r="AI746" s="84"/>
    </row>
    <row r="747" ht="15.75" customHeight="1">
      <c r="A747" s="84"/>
      <c r="B747" s="84"/>
      <c r="C747" s="84"/>
      <c r="D747" s="84"/>
      <c r="E747" s="84"/>
      <c r="F747" s="276"/>
      <c r="H747" s="275"/>
      <c r="I747" s="275"/>
      <c r="J747" s="275"/>
      <c r="K747" s="275"/>
      <c r="L747" s="275"/>
      <c r="M747" s="275"/>
      <c r="N747" s="260"/>
      <c r="O747" s="99"/>
      <c r="P747" s="99"/>
      <c r="Q747" s="99"/>
      <c r="R747" s="99"/>
      <c r="S747" s="99"/>
      <c r="T747" s="99"/>
      <c r="U747" s="99"/>
      <c r="V747" s="99"/>
      <c r="W747" s="99"/>
      <c r="X747" s="99"/>
      <c r="Y747" s="99"/>
      <c r="Z747" s="99"/>
      <c r="AB747" s="84"/>
      <c r="AC747" s="84"/>
      <c r="AD747" s="84"/>
      <c r="AE747" s="84"/>
      <c r="AF747" s="84"/>
      <c r="AG747" s="84"/>
      <c r="AH747" s="84"/>
      <c r="AI747" s="84"/>
    </row>
    <row r="748" ht="15.75" customHeight="1">
      <c r="A748" s="84"/>
      <c r="B748" s="84"/>
      <c r="C748" s="84"/>
      <c r="D748" s="84"/>
      <c r="E748" s="84"/>
      <c r="F748" s="276"/>
      <c r="H748" s="275"/>
      <c r="I748" s="275"/>
      <c r="J748" s="275"/>
      <c r="K748" s="275"/>
      <c r="L748" s="275"/>
      <c r="M748" s="275"/>
      <c r="N748" s="260"/>
      <c r="O748" s="99"/>
      <c r="P748" s="99"/>
      <c r="Q748" s="99"/>
      <c r="R748" s="99"/>
      <c r="S748" s="99"/>
      <c r="T748" s="99"/>
      <c r="U748" s="99"/>
      <c r="V748" s="99"/>
      <c r="W748" s="99"/>
      <c r="X748" s="99"/>
      <c r="Y748" s="99"/>
      <c r="Z748" s="99"/>
      <c r="AB748" s="84"/>
      <c r="AC748" s="84"/>
      <c r="AD748" s="84"/>
      <c r="AE748" s="84"/>
      <c r="AF748" s="84"/>
      <c r="AG748" s="84"/>
      <c r="AH748" s="84"/>
      <c r="AI748" s="84"/>
    </row>
    <row r="749" ht="15.75" customHeight="1">
      <c r="A749" s="84"/>
      <c r="B749" s="84"/>
      <c r="C749" s="84"/>
      <c r="D749" s="84"/>
      <c r="E749" s="84"/>
      <c r="F749" s="276"/>
      <c r="H749" s="275"/>
      <c r="I749" s="275"/>
      <c r="J749" s="275"/>
      <c r="K749" s="275"/>
      <c r="L749" s="275"/>
      <c r="M749" s="275"/>
      <c r="N749" s="260"/>
      <c r="O749" s="99"/>
      <c r="P749" s="99"/>
      <c r="Q749" s="99"/>
      <c r="R749" s="99"/>
      <c r="S749" s="99"/>
      <c r="T749" s="99"/>
      <c r="U749" s="99"/>
      <c r="V749" s="99"/>
      <c r="W749" s="99"/>
      <c r="X749" s="99"/>
      <c r="Y749" s="99"/>
      <c r="Z749" s="99"/>
      <c r="AB749" s="84"/>
      <c r="AC749" s="84"/>
      <c r="AD749" s="84"/>
      <c r="AE749" s="84"/>
      <c r="AF749" s="84"/>
      <c r="AG749" s="84"/>
      <c r="AH749" s="84"/>
      <c r="AI749" s="84"/>
    </row>
    <row r="750" ht="15.75" customHeight="1">
      <c r="A750" s="84"/>
      <c r="B750" s="84"/>
      <c r="C750" s="84"/>
      <c r="D750" s="84"/>
      <c r="E750" s="84"/>
      <c r="F750" s="276"/>
      <c r="H750" s="275"/>
      <c r="I750" s="275"/>
      <c r="J750" s="275"/>
      <c r="K750" s="275"/>
      <c r="L750" s="275"/>
      <c r="M750" s="275"/>
      <c r="N750" s="260"/>
      <c r="O750" s="99"/>
      <c r="P750" s="99"/>
      <c r="Q750" s="99"/>
      <c r="R750" s="99"/>
      <c r="S750" s="99"/>
      <c r="T750" s="99"/>
      <c r="U750" s="99"/>
      <c r="V750" s="99"/>
      <c r="W750" s="99"/>
      <c r="X750" s="99"/>
      <c r="Y750" s="99"/>
      <c r="Z750" s="99"/>
      <c r="AB750" s="84"/>
      <c r="AC750" s="84"/>
      <c r="AD750" s="84"/>
      <c r="AE750" s="84"/>
      <c r="AF750" s="84"/>
      <c r="AG750" s="84"/>
      <c r="AH750" s="84"/>
      <c r="AI750" s="84"/>
    </row>
    <row r="751" ht="15.75" customHeight="1">
      <c r="A751" s="84"/>
      <c r="B751" s="84"/>
      <c r="C751" s="84"/>
      <c r="D751" s="84"/>
      <c r="E751" s="84"/>
      <c r="F751" s="276"/>
      <c r="H751" s="275"/>
      <c r="I751" s="275"/>
      <c r="J751" s="275"/>
      <c r="K751" s="275"/>
      <c r="L751" s="275"/>
      <c r="M751" s="275"/>
      <c r="N751" s="260"/>
      <c r="O751" s="99"/>
      <c r="P751" s="99"/>
      <c r="Q751" s="99"/>
      <c r="R751" s="99"/>
      <c r="S751" s="99"/>
      <c r="T751" s="99"/>
      <c r="U751" s="99"/>
      <c r="V751" s="99"/>
      <c r="W751" s="99"/>
      <c r="X751" s="99"/>
      <c r="Y751" s="99"/>
      <c r="Z751" s="99"/>
      <c r="AB751" s="84"/>
      <c r="AC751" s="84"/>
      <c r="AD751" s="84"/>
      <c r="AE751" s="84"/>
      <c r="AF751" s="84"/>
      <c r="AG751" s="84"/>
      <c r="AH751" s="84"/>
      <c r="AI751" s="84"/>
    </row>
    <row r="752" ht="15.75" customHeight="1">
      <c r="A752" s="84"/>
      <c r="B752" s="84"/>
      <c r="C752" s="84"/>
      <c r="D752" s="84"/>
      <c r="E752" s="84"/>
      <c r="F752" s="276"/>
      <c r="H752" s="275"/>
      <c r="I752" s="275"/>
      <c r="J752" s="275"/>
      <c r="K752" s="275"/>
      <c r="L752" s="275"/>
      <c r="M752" s="275"/>
      <c r="N752" s="260"/>
      <c r="O752" s="99"/>
      <c r="P752" s="99"/>
      <c r="Q752" s="99"/>
      <c r="R752" s="99"/>
      <c r="S752" s="99"/>
      <c r="T752" s="99"/>
      <c r="U752" s="99"/>
      <c r="V752" s="99"/>
      <c r="W752" s="99"/>
      <c r="X752" s="99"/>
      <c r="Y752" s="99"/>
      <c r="Z752" s="99"/>
      <c r="AB752" s="84"/>
      <c r="AC752" s="84"/>
      <c r="AD752" s="84"/>
      <c r="AE752" s="84"/>
      <c r="AF752" s="84"/>
      <c r="AG752" s="84"/>
      <c r="AH752" s="84"/>
      <c r="AI752" s="84"/>
    </row>
    <row r="753" ht="15.75" customHeight="1">
      <c r="A753" s="84"/>
      <c r="B753" s="84"/>
      <c r="C753" s="84"/>
      <c r="D753" s="84"/>
      <c r="E753" s="84"/>
      <c r="F753" s="276"/>
      <c r="H753" s="275"/>
      <c r="I753" s="275"/>
      <c r="J753" s="275"/>
      <c r="K753" s="275"/>
      <c r="L753" s="275"/>
      <c r="M753" s="275"/>
      <c r="N753" s="260"/>
      <c r="O753" s="99"/>
      <c r="P753" s="99"/>
      <c r="Q753" s="99"/>
      <c r="R753" s="99"/>
      <c r="S753" s="99"/>
      <c r="T753" s="99"/>
      <c r="U753" s="99"/>
      <c r="V753" s="99"/>
      <c r="W753" s="99"/>
      <c r="X753" s="99"/>
      <c r="Y753" s="99"/>
      <c r="Z753" s="99"/>
      <c r="AB753" s="84"/>
      <c r="AC753" s="84"/>
      <c r="AD753" s="84"/>
      <c r="AE753" s="84"/>
      <c r="AF753" s="84"/>
      <c r="AG753" s="84"/>
      <c r="AH753" s="84"/>
      <c r="AI753" s="84"/>
    </row>
    <row r="754" ht="15.75" customHeight="1">
      <c r="A754" s="84"/>
      <c r="B754" s="84"/>
      <c r="C754" s="84"/>
      <c r="D754" s="84"/>
      <c r="E754" s="84"/>
      <c r="F754" s="276"/>
      <c r="H754" s="275"/>
      <c r="I754" s="275"/>
      <c r="J754" s="275"/>
      <c r="K754" s="275"/>
      <c r="L754" s="275"/>
      <c r="M754" s="275"/>
      <c r="N754" s="260"/>
      <c r="O754" s="99"/>
      <c r="P754" s="99"/>
      <c r="Q754" s="99"/>
      <c r="R754" s="99"/>
      <c r="S754" s="99"/>
      <c r="T754" s="99"/>
      <c r="U754" s="99"/>
      <c r="V754" s="99"/>
      <c r="W754" s="99"/>
      <c r="X754" s="99"/>
      <c r="Y754" s="99"/>
      <c r="Z754" s="99"/>
      <c r="AB754" s="84"/>
      <c r="AC754" s="84"/>
      <c r="AD754" s="84"/>
      <c r="AE754" s="84"/>
      <c r="AF754" s="84"/>
      <c r="AG754" s="84"/>
      <c r="AH754" s="84"/>
      <c r="AI754" s="84"/>
    </row>
    <row r="755" ht="15.75" customHeight="1">
      <c r="A755" s="84"/>
      <c r="B755" s="84"/>
      <c r="C755" s="84"/>
      <c r="D755" s="84"/>
      <c r="E755" s="84"/>
      <c r="F755" s="276"/>
      <c r="H755" s="275"/>
      <c r="I755" s="275"/>
      <c r="J755" s="275"/>
      <c r="K755" s="275"/>
      <c r="L755" s="275"/>
      <c r="M755" s="275"/>
      <c r="N755" s="260"/>
      <c r="O755" s="99"/>
      <c r="P755" s="99"/>
      <c r="Q755" s="99"/>
      <c r="R755" s="99"/>
      <c r="S755" s="99"/>
      <c r="T755" s="99"/>
      <c r="U755" s="99"/>
      <c r="V755" s="99"/>
      <c r="W755" s="99"/>
      <c r="X755" s="99"/>
      <c r="Y755" s="99"/>
      <c r="Z755" s="99"/>
      <c r="AB755" s="84"/>
      <c r="AC755" s="84"/>
      <c r="AD755" s="84"/>
      <c r="AE755" s="84"/>
      <c r="AF755" s="84"/>
      <c r="AG755" s="84"/>
      <c r="AH755" s="84"/>
      <c r="AI755" s="84"/>
    </row>
    <row r="756" ht="15.75" customHeight="1">
      <c r="A756" s="84"/>
      <c r="B756" s="84"/>
      <c r="C756" s="84"/>
      <c r="D756" s="84"/>
      <c r="E756" s="84"/>
      <c r="F756" s="276"/>
      <c r="H756" s="275"/>
      <c r="I756" s="275"/>
      <c r="J756" s="275"/>
      <c r="K756" s="275"/>
      <c r="L756" s="275"/>
      <c r="M756" s="275"/>
      <c r="N756" s="260"/>
      <c r="O756" s="99"/>
      <c r="P756" s="99"/>
      <c r="Q756" s="99"/>
      <c r="R756" s="99"/>
      <c r="S756" s="99"/>
      <c r="T756" s="99"/>
      <c r="U756" s="99"/>
      <c r="V756" s="99"/>
      <c r="W756" s="99"/>
      <c r="X756" s="99"/>
      <c r="Y756" s="99"/>
      <c r="Z756" s="99"/>
      <c r="AB756" s="84"/>
      <c r="AC756" s="84"/>
      <c r="AD756" s="84"/>
      <c r="AE756" s="84"/>
      <c r="AF756" s="84"/>
      <c r="AG756" s="84"/>
      <c r="AH756" s="84"/>
      <c r="AI756" s="84"/>
    </row>
    <row r="757" ht="15.75" customHeight="1">
      <c r="A757" s="84"/>
      <c r="B757" s="84"/>
      <c r="C757" s="84"/>
      <c r="D757" s="84"/>
      <c r="E757" s="84"/>
      <c r="F757" s="276"/>
      <c r="H757" s="275"/>
      <c r="I757" s="275"/>
      <c r="J757" s="275"/>
      <c r="K757" s="275"/>
      <c r="L757" s="275"/>
      <c r="M757" s="275"/>
      <c r="N757" s="260"/>
      <c r="O757" s="99"/>
      <c r="P757" s="99"/>
      <c r="Q757" s="99"/>
      <c r="R757" s="99"/>
      <c r="S757" s="99"/>
      <c r="T757" s="99"/>
      <c r="U757" s="99"/>
      <c r="V757" s="99"/>
      <c r="W757" s="99"/>
      <c r="X757" s="99"/>
      <c r="Y757" s="99"/>
      <c r="Z757" s="99"/>
      <c r="AB757" s="84"/>
      <c r="AC757" s="84"/>
      <c r="AD757" s="84"/>
      <c r="AE757" s="84"/>
      <c r="AF757" s="84"/>
      <c r="AG757" s="84"/>
      <c r="AH757" s="84"/>
      <c r="AI757" s="84"/>
    </row>
    <row r="758" ht="15.75" customHeight="1">
      <c r="A758" s="84"/>
      <c r="B758" s="84"/>
      <c r="C758" s="84"/>
      <c r="D758" s="84"/>
      <c r="E758" s="84"/>
      <c r="F758" s="276"/>
      <c r="H758" s="275"/>
      <c r="I758" s="275"/>
      <c r="J758" s="275"/>
      <c r="K758" s="275"/>
      <c r="L758" s="275"/>
      <c r="M758" s="275"/>
      <c r="N758" s="260"/>
      <c r="O758" s="99"/>
      <c r="P758" s="99"/>
      <c r="Q758" s="99"/>
      <c r="R758" s="99"/>
      <c r="S758" s="99"/>
      <c r="T758" s="99"/>
      <c r="U758" s="99"/>
      <c r="V758" s="99"/>
      <c r="W758" s="99"/>
      <c r="X758" s="99"/>
      <c r="Y758" s="99"/>
      <c r="Z758" s="99"/>
      <c r="AB758" s="84"/>
      <c r="AC758" s="84"/>
      <c r="AD758" s="84"/>
      <c r="AE758" s="84"/>
      <c r="AF758" s="84"/>
      <c r="AG758" s="84"/>
      <c r="AH758" s="84"/>
      <c r="AI758" s="84"/>
    </row>
    <row r="759" ht="15.75" customHeight="1">
      <c r="A759" s="84"/>
      <c r="B759" s="84"/>
      <c r="C759" s="84"/>
      <c r="D759" s="84"/>
      <c r="E759" s="84"/>
      <c r="F759" s="276"/>
      <c r="H759" s="275"/>
      <c r="I759" s="275"/>
      <c r="J759" s="275"/>
      <c r="K759" s="275"/>
      <c r="L759" s="275"/>
      <c r="M759" s="275"/>
      <c r="N759" s="260"/>
      <c r="O759" s="99"/>
      <c r="P759" s="99"/>
      <c r="Q759" s="99"/>
      <c r="R759" s="99"/>
      <c r="S759" s="99"/>
      <c r="T759" s="99"/>
      <c r="U759" s="99"/>
      <c r="V759" s="99"/>
      <c r="W759" s="99"/>
      <c r="X759" s="99"/>
      <c r="Y759" s="99"/>
      <c r="Z759" s="99"/>
      <c r="AB759" s="84"/>
      <c r="AC759" s="84"/>
      <c r="AD759" s="84"/>
      <c r="AE759" s="84"/>
      <c r="AF759" s="84"/>
      <c r="AG759" s="84"/>
      <c r="AH759" s="84"/>
      <c r="AI759" s="84"/>
    </row>
    <row r="760" ht="15.75" customHeight="1">
      <c r="A760" s="84"/>
      <c r="B760" s="84"/>
      <c r="C760" s="84"/>
      <c r="D760" s="84"/>
      <c r="E760" s="84"/>
      <c r="F760" s="276"/>
      <c r="H760" s="275"/>
      <c r="I760" s="275"/>
      <c r="J760" s="275"/>
      <c r="K760" s="275"/>
      <c r="L760" s="275"/>
      <c r="M760" s="275"/>
      <c r="N760" s="260"/>
      <c r="O760" s="99"/>
      <c r="P760" s="99"/>
      <c r="Q760" s="99"/>
      <c r="R760" s="99"/>
      <c r="S760" s="99"/>
      <c r="T760" s="99"/>
      <c r="U760" s="99"/>
      <c r="V760" s="99"/>
      <c r="W760" s="99"/>
      <c r="X760" s="99"/>
      <c r="Y760" s="99"/>
      <c r="Z760" s="99"/>
      <c r="AB760" s="84"/>
      <c r="AC760" s="84"/>
      <c r="AD760" s="84"/>
      <c r="AE760" s="84"/>
      <c r="AF760" s="84"/>
      <c r="AG760" s="84"/>
      <c r="AH760" s="84"/>
      <c r="AI760" s="84"/>
    </row>
    <row r="761" ht="15.75" customHeight="1">
      <c r="A761" s="84"/>
      <c r="B761" s="84"/>
      <c r="C761" s="84"/>
      <c r="D761" s="84"/>
      <c r="E761" s="84"/>
      <c r="F761" s="276"/>
      <c r="H761" s="275"/>
      <c r="I761" s="275"/>
      <c r="J761" s="275"/>
      <c r="K761" s="275"/>
      <c r="L761" s="275"/>
      <c r="M761" s="275"/>
      <c r="N761" s="260"/>
      <c r="O761" s="99"/>
      <c r="P761" s="99"/>
      <c r="Q761" s="99"/>
      <c r="R761" s="99"/>
      <c r="S761" s="99"/>
      <c r="T761" s="99"/>
      <c r="U761" s="99"/>
      <c r="V761" s="99"/>
      <c r="W761" s="99"/>
      <c r="X761" s="99"/>
      <c r="Y761" s="99"/>
      <c r="Z761" s="99"/>
      <c r="AB761" s="84"/>
      <c r="AC761" s="84"/>
      <c r="AD761" s="84"/>
      <c r="AE761" s="84"/>
      <c r="AF761" s="84"/>
      <c r="AG761" s="84"/>
      <c r="AH761" s="84"/>
      <c r="AI761" s="84"/>
    </row>
    <row r="762" ht="15.75" customHeight="1">
      <c r="A762" s="84"/>
      <c r="B762" s="84"/>
      <c r="C762" s="84"/>
      <c r="D762" s="84"/>
      <c r="E762" s="84"/>
      <c r="F762" s="276"/>
      <c r="H762" s="275"/>
      <c r="I762" s="275"/>
      <c r="J762" s="275"/>
      <c r="K762" s="275"/>
      <c r="L762" s="275"/>
      <c r="M762" s="275"/>
      <c r="N762" s="260"/>
      <c r="O762" s="99"/>
      <c r="P762" s="99"/>
      <c r="Q762" s="99"/>
      <c r="R762" s="99"/>
      <c r="S762" s="99"/>
      <c r="T762" s="99"/>
      <c r="U762" s="99"/>
      <c r="V762" s="99"/>
      <c r="W762" s="99"/>
      <c r="X762" s="99"/>
      <c r="Y762" s="99"/>
      <c r="Z762" s="99"/>
      <c r="AB762" s="84"/>
      <c r="AC762" s="84"/>
      <c r="AD762" s="84"/>
      <c r="AE762" s="84"/>
      <c r="AF762" s="84"/>
      <c r="AG762" s="84"/>
      <c r="AH762" s="84"/>
      <c r="AI762" s="84"/>
    </row>
    <row r="763" ht="15.75" customHeight="1">
      <c r="A763" s="84"/>
      <c r="B763" s="84"/>
      <c r="C763" s="84"/>
      <c r="D763" s="84"/>
      <c r="E763" s="84"/>
      <c r="F763" s="276"/>
      <c r="H763" s="275"/>
      <c r="I763" s="275"/>
      <c r="J763" s="275"/>
      <c r="K763" s="275"/>
      <c r="L763" s="275"/>
      <c r="M763" s="275"/>
      <c r="N763" s="260"/>
      <c r="O763" s="99"/>
      <c r="P763" s="99"/>
      <c r="Q763" s="99"/>
      <c r="R763" s="99"/>
      <c r="S763" s="99"/>
      <c r="T763" s="99"/>
      <c r="U763" s="99"/>
      <c r="V763" s="99"/>
      <c r="W763" s="99"/>
      <c r="X763" s="99"/>
      <c r="Y763" s="99"/>
      <c r="Z763" s="99"/>
      <c r="AB763" s="84"/>
      <c r="AC763" s="84"/>
      <c r="AD763" s="84"/>
      <c r="AE763" s="84"/>
      <c r="AF763" s="84"/>
      <c r="AG763" s="84"/>
      <c r="AH763" s="84"/>
      <c r="AI763" s="84"/>
    </row>
    <row r="764" ht="15.75" customHeight="1">
      <c r="A764" s="84"/>
      <c r="B764" s="84"/>
      <c r="C764" s="84"/>
      <c r="D764" s="84"/>
      <c r="E764" s="84"/>
      <c r="F764" s="276"/>
      <c r="H764" s="275"/>
      <c r="I764" s="275"/>
      <c r="J764" s="275"/>
      <c r="K764" s="275"/>
      <c r="L764" s="275"/>
      <c r="M764" s="275"/>
      <c r="N764" s="260"/>
      <c r="O764" s="99"/>
      <c r="P764" s="99"/>
      <c r="Q764" s="99"/>
      <c r="R764" s="99"/>
      <c r="S764" s="99"/>
      <c r="T764" s="99"/>
      <c r="U764" s="99"/>
      <c r="V764" s="99"/>
      <c r="W764" s="99"/>
      <c r="X764" s="99"/>
      <c r="Y764" s="99"/>
      <c r="Z764" s="99"/>
      <c r="AB764" s="84"/>
      <c r="AC764" s="84"/>
      <c r="AD764" s="84"/>
      <c r="AE764" s="84"/>
      <c r="AF764" s="84"/>
      <c r="AG764" s="84"/>
      <c r="AH764" s="84"/>
      <c r="AI764" s="84"/>
    </row>
    <row r="765" ht="15.75" customHeight="1">
      <c r="A765" s="84"/>
      <c r="B765" s="84"/>
      <c r="C765" s="84"/>
      <c r="D765" s="84"/>
      <c r="E765" s="84"/>
      <c r="F765" s="276"/>
      <c r="H765" s="275"/>
      <c r="I765" s="275"/>
      <c r="J765" s="275"/>
      <c r="K765" s="275"/>
      <c r="L765" s="275"/>
      <c r="M765" s="275"/>
      <c r="N765" s="260"/>
      <c r="O765" s="99"/>
      <c r="P765" s="99"/>
      <c r="Q765" s="99"/>
      <c r="R765" s="99"/>
      <c r="S765" s="99"/>
      <c r="T765" s="99"/>
      <c r="U765" s="99"/>
      <c r="V765" s="99"/>
      <c r="W765" s="99"/>
      <c r="X765" s="99"/>
      <c r="Y765" s="99"/>
      <c r="Z765" s="99"/>
      <c r="AB765" s="84"/>
      <c r="AC765" s="84"/>
      <c r="AD765" s="84"/>
      <c r="AE765" s="84"/>
      <c r="AF765" s="84"/>
      <c r="AG765" s="84"/>
      <c r="AH765" s="84"/>
      <c r="AI765" s="84"/>
    </row>
    <row r="766" ht="15.75" customHeight="1">
      <c r="A766" s="84"/>
      <c r="B766" s="84"/>
      <c r="C766" s="84"/>
      <c r="D766" s="84"/>
      <c r="E766" s="84"/>
      <c r="F766" s="276"/>
      <c r="H766" s="275"/>
      <c r="I766" s="275"/>
      <c r="J766" s="275"/>
      <c r="K766" s="275"/>
      <c r="L766" s="275"/>
      <c r="M766" s="275"/>
      <c r="N766" s="260"/>
      <c r="O766" s="99"/>
      <c r="P766" s="99"/>
      <c r="Q766" s="99"/>
      <c r="R766" s="99"/>
      <c r="S766" s="99"/>
      <c r="T766" s="99"/>
      <c r="U766" s="99"/>
      <c r="V766" s="99"/>
      <c r="W766" s="99"/>
      <c r="X766" s="99"/>
      <c r="Y766" s="99"/>
      <c r="Z766" s="99"/>
      <c r="AB766" s="84"/>
      <c r="AC766" s="84"/>
      <c r="AD766" s="84"/>
      <c r="AE766" s="84"/>
      <c r="AF766" s="84"/>
      <c r="AG766" s="84"/>
      <c r="AH766" s="84"/>
      <c r="AI766" s="84"/>
    </row>
    <row r="767" ht="15.75" customHeight="1">
      <c r="A767" s="84"/>
      <c r="B767" s="84"/>
      <c r="C767" s="84"/>
      <c r="D767" s="84"/>
      <c r="E767" s="84"/>
      <c r="F767" s="276"/>
      <c r="H767" s="275"/>
      <c r="I767" s="275"/>
      <c r="J767" s="275"/>
      <c r="K767" s="275"/>
      <c r="L767" s="275"/>
      <c r="M767" s="275"/>
      <c r="N767" s="260"/>
      <c r="O767" s="99"/>
      <c r="P767" s="99"/>
      <c r="Q767" s="99"/>
      <c r="R767" s="99"/>
      <c r="S767" s="99"/>
      <c r="T767" s="99"/>
      <c r="U767" s="99"/>
      <c r="V767" s="99"/>
      <c r="W767" s="99"/>
      <c r="X767" s="99"/>
      <c r="Y767" s="99"/>
      <c r="Z767" s="99"/>
      <c r="AB767" s="84"/>
      <c r="AC767" s="84"/>
      <c r="AD767" s="84"/>
      <c r="AE767" s="84"/>
      <c r="AF767" s="84"/>
      <c r="AG767" s="84"/>
      <c r="AH767" s="84"/>
      <c r="AI767" s="84"/>
    </row>
    <row r="768" ht="15.75" customHeight="1">
      <c r="A768" s="84"/>
      <c r="B768" s="84"/>
      <c r="C768" s="84"/>
      <c r="D768" s="84"/>
      <c r="E768" s="84"/>
      <c r="F768" s="276"/>
      <c r="H768" s="275"/>
      <c r="I768" s="275"/>
      <c r="J768" s="275"/>
      <c r="K768" s="275"/>
      <c r="L768" s="275"/>
      <c r="M768" s="275"/>
      <c r="N768" s="260"/>
      <c r="O768" s="99"/>
      <c r="P768" s="99"/>
      <c r="Q768" s="99"/>
      <c r="R768" s="99"/>
      <c r="S768" s="99"/>
      <c r="T768" s="99"/>
      <c r="U768" s="99"/>
      <c r="V768" s="99"/>
      <c r="W768" s="99"/>
      <c r="X768" s="99"/>
      <c r="Y768" s="99"/>
      <c r="Z768" s="99"/>
      <c r="AB768" s="84"/>
      <c r="AC768" s="84"/>
      <c r="AD768" s="84"/>
      <c r="AE768" s="84"/>
      <c r="AF768" s="84"/>
      <c r="AG768" s="84"/>
      <c r="AH768" s="84"/>
      <c r="AI768" s="84"/>
    </row>
    <row r="769" ht="15.75" customHeight="1">
      <c r="A769" s="84"/>
      <c r="B769" s="84"/>
      <c r="C769" s="84"/>
      <c r="D769" s="84"/>
      <c r="E769" s="84"/>
      <c r="F769" s="276"/>
      <c r="H769" s="275"/>
      <c r="I769" s="275"/>
      <c r="J769" s="275"/>
      <c r="K769" s="275"/>
      <c r="L769" s="275"/>
      <c r="M769" s="275"/>
      <c r="N769" s="260"/>
      <c r="O769" s="99"/>
      <c r="P769" s="99"/>
      <c r="Q769" s="99"/>
      <c r="R769" s="99"/>
      <c r="S769" s="99"/>
      <c r="T769" s="99"/>
      <c r="U769" s="99"/>
      <c r="V769" s="99"/>
      <c r="W769" s="99"/>
      <c r="X769" s="99"/>
      <c r="Y769" s="99"/>
      <c r="Z769" s="99"/>
      <c r="AB769" s="84"/>
      <c r="AC769" s="84"/>
      <c r="AD769" s="84"/>
      <c r="AE769" s="84"/>
      <c r="AF769" s="84"/>
      <c r="AG769" s="84"/>
      <c r="AH769" s="84"/>
      <c r="AI769" s="84"/>
    </row>
    <row r="770" ht="15.75" customHeight="1">
      <c r="A770" s="84"/>
      <c r="B770" s="84"/>
      <c r="C770" s="84"/>
      <c r="D770" s="84"/>
      <c r="E770" s="84"/>
      <c r="F770" s="276"/>
      <c r="H770" s="275"/>
      <c r="I770" s="275"/>
      <c r="J770" s="275"/>
      <c r="K770" s="275"/>
      <c r="L770" s="275"/>
      <c r="M770" s="275"/>
      <c r="N770" s="260"/>
      <c r="O770" s="99"/>
      <c r="P770" s="99"/>
      <c r="Q770" s="99"/>
      <c r="R770" s="99"/>
      <c r="S770" s="99"/>
      <c r="T770" s="99"/>
      <c r="U770" s="99"/>
      <c r="V770" s="99"/>
      <c r="W770" s="99"/>
      <c r="X770" s="99"/>
      <c r="Y770" s="99"/>
      <c r="Z770" s="99"/>
      <c r="AB770" s="84"/>
      <c r="AC770" s="84"/>
      <c r="AD770" s="84"/>
      <c r="AE770" s="84"/>
      <c r="AF770" s="84"/>
      <c r="AG770" s="84"/>
      <c r="AH770" s="84"/>
      <c r="AI770" s="84"/>
    </row>
    <row r="771" ht="15.75" customHeight="1">
      <c r="A771" s="84"/>
      <c r="B771" s="84"/>
      <c r="C771" s="84"/>
      <c r="D771" s="84"/>
      <c r="E771" s="84"/>
      <c r="F771" s="276"/>
      <c r="H771" s="275"/>
      <c r="I771" s="275"/>
      <c r="J771" s="275"/>
      <c r="K771" s="275"/>
      <c r="L771" s="275"/>
      <c r="M771" s="275"/>
      <c r="N771" s="260"/>
      <c r="O771" s="99"/>
      <c r="P771" s="99"/>
      <c r="Q771" s="99"/>
      <c r="R771" s="99"/>
      <c r="S771" s="99"/>
      <c r="T771" s="99"/>
      <c r="U771" s="99"/>
      <c r="V771" s="99"/>
      <c r="W771" s="99"/>
      <c r="X771" s="99"/>
      <c r="Y771" s="99"/>
      <c r="Z771" s="99"/>
      <c r="AB771" s="84"/>
      <c r="AC771" s="84"/>
      <c r="AD771" s="84"/>
      <c r="AE771" s="84"/>
      <c r="AF771" s="84"/>
      <c r="AG771" s="84"/>
      <c r="AH771" s="84"/>
      <c r="AI771" s="84"/>
    </row>
    <row r="772" ht="15.75" customHeight="1">
      <c r="A772" s="84"/>
      <c r="B772" s="84"/>
      <c r="C772" s="84"/>
      <c r="D772" s="84"/>
      <c r="E772" s="84"/>
      <c r="F772" s="276"/>
      <c r="H772" s="275"/>
      <c r="I772" s="275"/>
      <c r="J772" s="275"/>
      <c r="K772" s="275"/>
      <c r="L772" s="275"/>
      <c r="M772" s="275"/>
      <c r="N772" s="260"/>
      <c r="O772" s="99"/>
      <c r="P772" s="99"/>
      <c r="Q772" s="99"/>
      <c r="R772" s="99"/>
      <c r="S772" s="99"/>
      <c r="T772" s="99"/>
      <c r="U772" s="99"/>
      <c r="V772" s="99"/>
      <c r="W772" s="99"/>
      <c r="X772" s="99"/>
      <c r="Y772" s="99"/>
      <c r="Z772" s="99"/>
      <c r="AB772" s="84"/>
      <c r="AC772" s="84"/>
      <c r="AD772" s="84"/>
      <c r="AE772" s="84"/>
      <c r="AF772" s="84"/>
      <c r="AG772" s="84"/>
      <c r="AH772" s="84"/>
      <c r="AI772" s="84"/>
    </row>
    <row r="773" ht="15.75" customHeight="1">
      <c r="A773" s="84"/>
      <c r="B773" s="84"/>
      <c r="C773" s="84"/>
      <c r="D773" s="84"/>
      <c r="E773" s="84"/>
      <c r="F773" s="276"/>
      <c r="H773" s="275"/>
      <c r="I773" s="275"/>
      <c r="J773" s="275"/>
      <c r="K773" s="275"/>
      <c r="L773" s="275"/>
      <c r="M773" s="275"/>
      <c r="N773" s="260"/>
      <c r="O773" s="99"/>
      <c r="P773" s="99"/>
      <c r="Q773" s="99"/>
      <c r="R773" s="99"/>
      <c r="S773" s="99"/>
      <c r="T773" s="99"/>
      <c r="U773" s="99"/>
      <c r="V773" s="99"/>
      <c r="W773" s="99"/>
      <c r="X773" s="99"/>
      <c r="Y773" s="99"/>
      <c r="Z773" s="99"/>
      <c r="AB773" s="84"/>
      <c r="AC773" s="84"/>
      <c r="AD773" s="84"/>
      <c r="AE773" s="84"/>
      <c r="AF773" s="84"/>
      <c r="AG773" s="84"/>
      <c r="AH773" s="84"/>
      <c r="AI773" s="84"/>
    </row>
    <row r="774" ht="15.75" customHeight="1">
      <c r="A774" s="84"/>
      <c r="B774" s="84"/>
      <c r="C774" s="84"/>
      <c r="D774" s="84"/>
      <c r="E774" s="84"/>
      <c r="F774" s="276"/>
      <c r="H774" s="275"/>
      <c r="I774" s="275"/>
      <c r="J774" s="275"/>
      <c r="K774" s="275"/>
      <c r="L774" s="275"/>
      <c r="M774" s="275"/>
      <c r="N774" s="260"/>
      <c r="O774" s="99"/>
      <c r="P774" s="99"/>
      <c r="Q774" s="99"/>
      <c r="R774" s="99"/>
      <c r="S774" s="99"/>
      <c r="T774" s="99"/>
      <c r="U774" s="99"/>
      <c r="V774" s="99"/>
      <c r="W774" s="99"/>
      <c r="X774" s="99"/>
      <c r="Y774" s="99"/>
      <c r="Z774" s="99"/>
      <c r="AB774" s="84"/>
      <c r="AC774" s="84"/>
      <c r="AD774" s="84"/>
      <c r="AE774" s="84"/>
      <c r="AF774" s="84"/>
      <c r="AG774" s="84"/>
      <c r="AH774" s="84"/>
      <c r="AI774" s="84"/>
    </row>
    <row r="775" ht="15.75" customHeight="1">
      <c r="A775" s="84"/>
      <c r="B775" s="84"/>
      <c r="C775" s="84"/>
      <c r="D775" s="84"/>
      <c r="E775" s="84"/>
      <c r="F775" s="276"/>
      <c r="H775" s="275"/>
      <c r="I775" s="275"/>
      <c r="J775" s="275"/>
      <c r="K775" s="275"/>
      <c r="L775" s="275"/>
      <c r="M775" s="275"/>
      <c r="N775" s="260"/>
      <c r="O775" s="99"/>
      <c r="P775" s="99"/>
      <c r="Q775" s="99"/>
      <c r="R775" s="99"/>
      <c r="S775" s="99"/>
      <c r="T775" s="99"/>
      <c r="U775" s="99"/>
      <c r="V775" s="99"/>
      <c r="W775" s="99"/>
      <c r="X775" s="99"/>
      <c r="Y775" s="99"/>
      <c r="Z775" s="99"/>
      <c r="AB775" s="84"/>
      <c r="AC775" s="84"/>
      <c r="AD775" s="84"/>
      <c r="AE775" s="84"/>
      <c r="AF775" s="84"/>
      <c r="AG775" s="84"/>
      <c r="AH775" s="84"/>
      <c r="AI775" s="84"/>
    </row>
    <row r="776" ht="15.75" customHeight="1">
      <c r="A776" s="84"/>
      <c r="B776" s="84"/>
      <c r="C776" s="84"/>
      <c r="D776" s="84"/>
      <c r="E776" s="84"/>
      <c r="F776" s="276"/>
      <c r="H776" s="275"/>
      <c r="I776" s="275"/>
      <c r="J776" s="275"/>
      <c r="K776" s="275"/>
      <c r="L776" s="275"/>
      <c r="M776" s="275"/>
      <c r="N776" s="260"/>
      <c r="O776" s="99"/>
      <c r="P776" s="99"/>
      <c r="Q776" s="99"/>
      <c r="R776" s="99"/>
      <c r="S776" s="99"/>
      <c r="T776" s="99"/>
      <c r="U776" s="99"/>
      <c r="V776" s="99"/>
      <c r="W776" s="99"/>
      <c r="X776" s="99"/>
      <c r="Y776" s="99"/>
      <c r="Z776" s="99"/>
      <c r="AB776" s="84"/>
      <c r="AC776" s="84"/>
      <c r="AD776" s="84"/>
      <c r="AE776" s="84"/>
      <c r="AF776" s="84"/>
      <c r="AG776" s="84"/>
      <c r="AH776" s="84"/>
      <c r="AI776" s="84"/>
    </row>
    <row r="777" ht="15.75" customHeight="1">
      <c r="A777" s="84"/>
      <c r="B777" s="84"/>
      <c r="C777" s="84"/>
      <c r="D777" s="84"/>
      <c r="E777" s="84"/>
      <c r="F777" s="276"/>
      <c r="H777" s="275"/>
      <c r="I777" s="275"/>
      <c r="J777" s="275"/>
      <c r="K777" s="275"/>
      <c r="L777" s="275"/>
      <c r="M777" s="275"/>
      <c r="N777" s="260"/>
      <c r="O777" s="99"/>
      <c r="P777" s="99"/>
      <c r="Q777" s="99"/>
      <c r="R777" s="99"/>
      <c r="S777" s="99"/>
      <c r="T777" s="99"/>
      <c r="U777" s="99"/>
      <c r="V777" s="99"/>
      <c r="W777" s="99"/>
      <c r="X777" s="99"/>
      <c r="Y777" s="99"/>
      <c r="Z777" s="99"/>
      <c r="AB777" s="84"/>
      <c r="AC777" s="84"/>
      <c r="AD777" s="84"/>
      <c r="AE777" s="84"/>
      <c r="AF777" s="84"/>
      <c r="AG777" s="84"/>
      <c r="AH777" s="84"/>
      <c r="AI777" s="84"/>
    </row>
    <row r="778" ht="15.75" customHeight="1">
      <c r="A778" s="84"/>
      <c r="B778" s="84"/>
      <c r="C778" s="84"/>
      <c r="D778" s="84"/>
      <c r="E778" s="84"/>
      <c r="F778" s="276"/>
      <c r="H778" s="275"/>
      <c r="I778" s="275"/>
      <c r="J778" s="275"/>
      <c r="K778" s="275"/>
      <c r="L778" s="275"/>
      <c r="M778" s="275"/>
      <c r="N778" s="260"/>
      <c r="O778" s="99"/>
      <c r="P778" s="99"/>
      <c r="Q778" s="99"/>
      <c r="R778" s="99"/>
      <c r="S778" s="99"/>
      <c r="T778" s="99"/>
      <c r="U778" s="99"/>
      <c r="V778" s="99"/>
      <c r="W778" s="99"/>
      <c r="X778" s="99"/>
      <c r="Y778" s="99"/>
      <c r="Z778" s="99"/>
      <c r="AB778" s="84"/>
      <c r="AC778" s="84"/>
      <c r="AD778" s="84"/>
      <c r="AE778" s="84"/>
      <c r="AF778" s="84"/>
      <c r="AG778" s="84"/>
      <c r="AH778" s="84"/>
      <c r="AI778" s="84"/>
    </row>
    <row r="779" ht="15.75" customHeight="1">
      <c r="A779" s="84"/>
      <c r="B779" s="84"/>
      <c r="C779" s="84"/>
      <c r="D779" s="84"/>
      <c r="E779" s="84"/>
      <c r="F779" s="276"/>
      <c r="H779" s="275"/>
      <c r="I779" s="275"/>
      <c r="J779" s="275"/>
      <c r="K779" s="275"/>
      <c r="L779" s="275"/>
      <c r="M779" s="275"/>
      <c r="N779" s="260"/>
      <c r="O779" s="99"/>
      <c r="P779" s="99"/>
      <c r="Q779" s="99"/>
      <c r="R779" s="99"/>
      <c r="S779" s="99"/>
      <c r="T779" s="99"/>
      <c r="U779" s="99"/>
      <c r="V779" s="99"/>
      <c r="W779" s="99"/>
      <c r="X779" s="99"/>
      <c r="Y779" s="99"/>
      <c r="Z779" s="99"/>
      <c r="AB779" s="84"/>
      <c r="AC779" s="84"/>
      <c r="AD779" s="84"/>
      <c r="AE779" s="84"/>
      <c r="AF779" s="84"/>
      <c r="AG779" s="84"/>
      <c r="AH779" s="84"/>
      <c r="AI779" s="84"/>
    </row>
    <row r="780" ht="15.75" customHeight="1">
      <c r="A780" s="84"/>
      <c r="B780" s="84"/>
      <c r="C780" s="84"/>
      <c r="D780" s="84"/>
      <c r="E780" s="84"/>
      <c r="F780" s="276"/>
      <c r="H780" s="275"/>
      <c r="I780" s="275"/>
      <c r="J780" s="275"/>
      <c r="K780" s="275"/>
      <c r="L780" s="275"/>
      <c r="M780" s="275"/>
      <c r="N780" s="260"/>
      <c r="O780" s="99"/>
      <c r="P780" s="99"/>
      <c r="Q780" s="99"/>
      <c r="R780" s="99"/>
      <c r="S780" s="99"/>
      <c r="T780" s="99"/>
      <c r="U780" s="99"/>
      <c r="V780" s="99"/>
      <c r="W780" s="99"/>
      <c r="X780" s="99"/>
      <c r="Y780" s="99"/>
      <c r="Z780" s="99"/>
      <c r="AB780" s="84"/>
      <c r="AC780" s="84"/>
      <c r="AD780" s="84"/>
      <c r="AE780" s="84"/>
      <c r="AF780" s="84"/>
      <c r="AG780" s="84"/>
      <c r="AH780" s="84"/>
      <c r="AI780" s="84"/>
    </row>
    <row r="781" ht="15.75" customHeight="1">
      <c r="A781" s="84"/>
      <c r="B781" s="84"/>
      <c r="C781" s="84"/>
      <c r="D781" s="84"/>
      <c r="E781" s="84"/>
      <c r="F781" s="276"/>
      <c r="H781" s="275"/>
      <c r="I781" s="275"/>
      <c r="J781" s="275"/>
      <c r="K781" s="275"/>
      <c r="L781" s="275"/>
      <c r="M781" s="275"/>
      <c r="N781" s="260"/>
      <c r="O781" s="99"/>
      <c r="P781" s="99"/>
      <c r="Q781" s="99"/>
      <c r="R781" s="99"/>
      <c r="S781" s="99"/>
      <c r="T781" s="99"/>
      <c r="U781" s="99"/>
      <c r="V781" s="99"/>
      <c r="W781" s="99"/>
      <c r="X781" s="99"/>
      <c r="Y781" s="99"/>
      <c r="Z781" s="99"/>
      <c r="AB781" s="84"/>
      <c r="AC781" s="84"/>
      <c r="AD781" s="84"/>
      <c r="AE781" s="84"/>
      <c r="AF781" s="84"/>
      <c r="AG781" s="84"/>
      <c r="AH781" s="84"/>
      <c r="AI781" s="84"/>
    </row>
    <row r="782" ht="15.75" customHeight="1">
      <c r="A782" s="84"/>
      <c r="B782" s="84"/>
      <c r="C782" s="84"/>
      <c r="D782" s="84"/>
      <c r="E782" s="84"/>
      <c r="F782" s="276"/>
      <c r="H782" s="275"/>
      <c r="I782" s="275"/>
      <c r="J782" s="275"/>
      <c r="K782" s="275"/>
      <c r="L782" s="275"/>
      <c r="M782" s="275"/>
      <c r="N782" s="260"/>
      <c r="O782" s="99"/>
      <c r="P782" s="99"/>
      <c r="Q782" s="99"/>
      <c r="R782" s="99"/>
      <c r="S782" s="99"/>
      <c r="T782" s="99"/>
      <c r="U782" s="99"/>
      <c r="V782" s="99"/>
      <c r="W782" s="99"/>
      <c r="X782" s="99"/>
      <c r="Y782" s="99"/>
      <c r="Z782" s="99"/>
      <c r="AB782" s="84"/>
      <c r="AC782" s="84"/>
      <c r="AD782" s="84"/>
      <c r="AE782" s="84"/>
      <c r="AF782" s="84"/>
      <c r="AG782" s="84"/>
      <c r="AH782" s="84"/>
      <c r="AI782" s="84"/>
    </row>
    <row r="783" ht="15.75" customHeight="1">
      <c r="A783" s="84"/>
      <c r="B783" s="84"/>
      <c r="C783" s="84"/>
      <c r="D783" s="84"/>
      <c r="E783" s="84"/>
      <c r="F783" s="276"/>
      <c r="H783" s="275"/>
      <c r="I783" s="275"/>
      <c r="J783" s="275"/>
      <c r="K783" s="275"/>
      <c r="L783" s="275"/>
      <c r="M783" s="275"/>
      <c r="N783" s="260"/>
      <c r="O783" s="99"/>
      <c r="P783" s="99"/>
      <c r="Q783" s="99"/>
      <c r="R783" s="99"/>
      <c r="S783" s="99"/>
      <c r="T783" s="99"/>
      <c r="U783" s="99"/>
      <c r="V783" s="99"/>
      <c r="W783" s="99"/>
      <c r="X783" s="99"/>
      <c r="Y783" s="99"/>
      <c r="Z783" s="99"/>
      <c r="AB783" s="84"/>
      <c r="AC783" s="84"/>
      <c r="AD783" s="84"/>
      <c r="AE783" s="84"/>
      <c r="AF783" s="84"/>
      <c r="AG783" s="84"/>
      <c r="AH783" s="84"/>
      <c r="AI783" s="84"/>
    </row>
    <row r="784" ht="15.75" customHeight="1">
      <c r="A784" s="84"/>
      <c r="B784" s="84"/>
      <c r="C784" s="84"/>
      <c r="D784" s="84"/>
      <c r="E784" s="84"/>
      <c r="F784" s="276"/>
      <c r="H784" s="275"/>
      <c r="I784" s="275"/>
      <c r="J784" s="275"/>
      <c r="K784" s="275"/>
      <c r="L784" s="275"/>
      <c r="M784" s="275"/>
      <c r="N784" s="260"/>
      <c r="O784" s="99"/>
      <c r="P784" s="99"/>
      <c r="Q784" s="99"/>
      <c r="R784" s="99"/>
      <c r="S784" s="99"/>
      <c r="T784" s="99"/>
      <c r="U784" s="99"/>
      <c r="V784" s="99"/>
      <c r="W784" s="99"/>
      <c r="X784" s="99"/>
      <c r="Y784" s="99"/>
      <c r="Z784" s="99"/>
      <c r="AB784" s="84"/>
      <c r="AC784" s="84"/>
      <c r="AD784" s="84"/>
      <c r="AE784" s="84"/>
      <c r="AF784" s="84"/>
      <c r="AG784" s="84"/>
      <c r="AH784" s="84"/>
      <c r="AI784" s="84"/>
    </row>
    <row r="785" ht="15.75" customHeight="1">
      <c r="A785" s="84"/>
      <c r="B785" s="84"/>
      <c r="C785" s="84"/>
      <c r="D785" s="84"/>
      <c r="E785" s="84"/>
      <c r="F785" s="276"/>
      <c r="H785" s="275"/>
      <c r="I785" s="275"/>
      <c r="J785" s="275"/>
      <c r="K785" s="275"/>
      <c r="L785" s="275"/>
      <c r="M785" s="275"/>
      <c r="N785" s="260"/>
      <c r="O785" s="99"/>
      <c r="P785" s="99"/>
      <c r="Q785" s="99"/>
      <c r="R785" s="99"/>
      <c r="S785" s="99"/>
      <c r="T785" s="99"/>
      <c r="U785" s="99"/>
      <c r="V785" s="99"/>
      <c r="W785" s="99"/>
      <c r="X785" s="99"/>
      <c r="Y785" s="99"/>
      <c r="Z785" s="99"/>
      <c r="AB785" s="84"/>
      <c r="AC785" s="84"/>
      <c r="AD785" s="84"/>
      <c r="AE785" s="84"/>
      <c r="AF785" s="84"/>
      <c r="AG785" s="84"/>
      <c r="AH785" s="84"/>
      <c r="AI785" s="84"/>
    </row>
    <row r="786" ht="15.75" customHeight="1">
      <c r="A786" s="84"/>
      <c r="B786" s="84"/>
      <c r="C786" s="84"/>
      <c r="D786" s="84"/>
      <c r="E786" s="84"/>
      <c r="F786" s="276"/>
      <c r="H786" s="275"/>
      <c r="I786" s="275"/>
      <c r="J786" s="275"/>
      <c r="K786" s="275"/>
      <c r="L786" s="275"/>
      <c r="M786" s="275"/>
      <c r="N786" s="260"/>
      <c r="O786" s="99"/>
      <c r="P786" s="99"/>
      <c r="Q786" s="99"/>
      <c r="R786" s="99"/>
      <c r="S786" s="99"/>
      <c r="T786" s="99"/>
      <c r="U786" s="99"/>
      <c r="V786" s="99"/>
      <c r="W786" s="99"/>
      <c r="X786" s="99"/>
      <c r="Y786" s="99"/>
      <c r="Z786" s="99"/>
      <c r="AB786" s="84"/>
      <c r="AC786" s="84"/>
      <c r="AD786" s="84"/>
      <c r="AE786" s="84"/>
      <c r="AF786" s="84"/>
      <c r="AG786" s="84"/>
      <c r="AH786" s="84"/>
      <c r="AI786" s="84"/>
    </row>
    <row r="787" ht="15.75" customHeight="1">
      <c r="A787" s="84"/>
      <c r="B787" s="84"/>
      <c r="C787" s="84"/>
      <c r="D787" s="84"/>
      <c r="E787" s="84"/>
      <c r="F787" s="276"/>
      <c r="H787" s="275"/>
      <c r="I787" s="275"/>
      <c r="J787" s="275"/>
      <c r="K787" s="275"/>
      <c r="L787" s="275"/>
      <c r="M787" s="275"/>
      <c r="N787" s="260"/>
      <c r="O787" s="99"/>
      <c r="P787" s="99"/>
      <c r="Q787" s="99"/>
      <c r="R787" s="99"/>
      <c r="S787" s="99"/>
      <c r="T787" s="99"/>
      <c r="U787" s="99"/>
      <c r="V787" s="99"/>
      <c r="W787" s="99"/>
      <c r="X787" s="99"/>
      <c r="Y787" s="99"/>
      <c r="Z787" s="99"/>
      <c r="AB787" s="84"/>
      <c r="AC787" s="84"/>
      <c r="AD787" s="84"/>
      <c r="AE787" s="84"/>
      <c r="AF787" s="84"/>
      <c r="AG787" s="84"/>
      <c r="AH787" s="84"/>
      <c r="AI787" s="84"/>
    </row>
    <row r="788" ht="15.75" customHeight="1">
      <c r="A788" s="84"/>
      <c r="B788" s="84"/>
      <c r="C788" s="84"/>
      <c r="D788" s="84"/>
      <c r="E788" s="84"/>
      <c r="F788" s="276"/>
      <c r="H788" s="275"/>
      <c r="I788" s="275"/>
      <c r="J788" s="275"/>
      <c r="K788" s="275"/>
      <c r="L788" s="275"/>
      <c r="M788" s="275"/>
      <c r="N788" s="260"/>
      <c r="O788" s="99"/>
      <c r="P788" s="99"/>
      <c r="Q788" s="99"/>
      <c r="R788" s="99"/>
      <c r="S788" s="99"/>
      <c r="T788" s="99"/>
      <c r="U788" s="99"/>
      <c r="V788" s="99"/>
      <c r="W788" s="99"/>
      <c r="X788" s="99"/>
      <c r="Y788" s="99"/>
      <c r="Z788" s="99"/>
      <c r="AB788" s="84"/>
      <c r="AC788" s="84"/>
      <c r="AD788" s="84"/>
      <c r="AE788" s="84"/>
      <c r="AF788" s="84"/>
      <c r="AG788" s="84"/>
      <c r="AH788" s="84"/>
      <c r="AI788" s="84"/>
    </row>
    <row r="789" ht="15.75" customHeight="1">
      <c r="A789" s="84"/>
      <c r="B789" s="84"/>
      <c r="C789" s="84"/>
      <c r="D789" s="84"/>
      <c r="E789" s="84"/>
      <c r="F789" s="276"/>
      <c r="H789" s="275"/>
      <c r="I789" s="275"/>
      <c r="J789" s="275"/>
      <c r="K789" s="275"/>
      <c r="L789" s="275"/>
      <c r="M789" s="275"/>
      <c r="N789" s="260"/>
      <c r="O789" s="99"/>
      <c r="P789" s="99"/>
      <c r="Q789" s="99"/>
      <c r="R789" s="99"/>
      <c r="S789" s="99"/>
      <c r="T789" s="99"/>
      <c r="U789" s="99"/>
      <c r="V789" s="99"/>
      <c r="W789" s="99"/>
      <c r="X789" s="99"/>
      <c r="Y789" s="99"/>
      <c r="Z789" s="99"/>
      <c r="AB789" s="84"/>
      <c r="AC789" s="84"/>
      <c r="AD789" s="84"/>
      <c r="AE789" s="84"/>
      <c r="AF789" s="84"/>
      <c r="AG789" s="84"/>
      <c r="AH789" s="84"/>
      <c r="AI789" s="84"/>
    </row>
    <row r="790" ht="15.75" customHeight="1">
      <c r="A790" s="84"/>
      <c r="B790" s="84"/>
      <c r="C790" s="84"/>
      <c r="D790" s="84"/>
      <c r="E790" s="84"/>
      <c r="F790" s="276"/>
      <c r="H790" s="275"/>
      <c r="I790" s="275"/>
      <c r="J790" s="275"/>
      <c r="K790" s="275"/>
      <c r="L790" s="275"/>
      <c r="M790" s="275"/>
      <c r="N790" s="260"/>
      <c r="O790" s="99"/>
      <c r="P790" s="99"/>
      <c r="Q790" s="99"/>
      <c r="R790" s="99"/>
      <c r="S790" s="99"/>
      <c r="T790" s="99"/>
      <c r="U790" s="99"/>
      <c r="V790" s="99"/>
      <c r="W790" s="99"/>
      <c r="X790" s="99"/>
      <c r="Y790" s="99"/>
      <c r="Z790" s="99"/>
      <c r="AB790" s="84"/>
      <c r="AC790" s="84"/>
      <c r="AD790" s="84"/>
      <c r="AE790" s="84"/>
      <c r="AF790" s="84"/>
      <c r="AG790" s="84"/>
      <c r="AH790" s="84"/>
      <c r="AI790" s="84"/>
    </row>
    <row r="791" ht="15.75" customHeight="1">
      <c r="A791" s="84"/>
      <c r="B791" s="84"/>
      <c r="C791" s="84"/>
      <c r="D791" s="84"/>
      <c r="E791" s="84"/>
      <c r="F791" s="276"/>
      <c r="H791" s="275"/>
      <c r="I791" s="275"/>
      <c r="J791" s="275"/>
      <c r="K791" s="275"/>
      <c r="L791" s="275"/>
      <c r="M791" s="275"/>
      <c r="N791" s="260"/>
      <c r="O791" s="99"/>
      <c r="P791" s="99"/>
      <c r="Q791" s="99"/>
      <c r="R791" s="99"/>
      <c r="S791" s="99"/>
      <c r="T791" s="99"/>
      <c r="U791" s="99"/>
      <c r="V791" s="99"/>
      <c r="W791" s="99"/>
      <c r="X791" s="99"/>
      <c r="Y791" s="99"/>
      <c r="Z791" s="99"/>
      <c r="AB791" s="84"/>
      <c r="AC791" s="84"/>
      <c r="AD791" s="84"/>
      <c r="AE791" s="84"/>
      <c r="AF791" s="84"/>
      <c r="AG791" s="84"/>
      <c r="AH791" s="84"/>
      <c r="AI791" s="84"/>
    </row>
    <row r="792" ht="15.75" customHeight="1">
      <c r="A792" s="84"/>
      <c r="B792" s="84"/>
      <c r="C792" s="84"/>
      <c r="D792" s="84"/>
      <c r="E792" s="84"/>
      <c r="F792" s="276"/>
      <c r="H792" s="275"/>
      <c r="I792" s="275"/>
      <c r="J792" s="275"/>
      <c r="K792" s="275"/>
      <c r="L792" s="275"/>
      <c r="M792" s="275"/>
      <c r="N792" s="260"/>
      <c r="O792" s="99"/>
      <c r="P792" s="99"/>
      <c r="Q792" s="99"/>
      <c r="R792" s="99"/>
      <c r="S792" s="99"/>
      <c r="T792" s="99"/>
      <c r="U792" s="99"/>
      <c r="V792" s="99"/>
      <c r="W792" s="99"/>
      <c r="X792" s="99"/>
      <c r="Y792" s="99"/>
      <c r="Z792" s="99"/>
      <c r="AB792" s="84"/>
      <c r="AC792" s="84"/>
      <c r="AD792" s="84"/>
      <c r="AE792" s="84"/>
      <c r="AF792" s="84"/>
      <c r="AG792" s="84"/>
      <c r="AH792" s="84"/>
      <c r="AI792" s="84"/>
    </row>
    <row r="793" ht="15.75" customHeight="1">
      <c r="A793" s="84"/>
      <c r="B793" s="84"/>
      <c r="C793" s="84"/>
      <c r="D793" s="84"/>
      <c r="E793" s="84"/>
      <c r="F793" s="276"/>
      <c r="H793" s="275"/>
      <c r="I793" s="275"/>
      <c r="J793" s="275"/>
      <c r="K793" s="275"/>
      <c r="L793" s="275"/>
      <c r="M793" s="275"/>
      <c r="N793" s="260"/>
      <c r="O793" s="99"/>
      <c r="P793" s="99"/>
      <c r="Q793" s="99"/>
      <c r="R793" s="99"/>
      <c r="S793" s="99"/>
      <c r="T793" s="99"/>
      <c r="U793" s="99"/>
      <c r="V793" s="99"/>
      <c r="W793" s="99"/>
      <c r="X793" s="99"/>
      <c r="Y793" s="99"/>
      <c r="Z793" s="99"/>
      <c r="AB793" s="84"/>
      <c r="AC793" s="84"/>
      <c r="AD793" s="84"/>
      <c r="AE793" s="84"/>
      <c r="AF793" s="84"/>
      <c r="AG793" s="84"/>
      <c r="AH793" s="84"/>
      <c r="AI793" s="84"/>
    </row>
    <row r="794" ht="15.75" customHeight="1">
      <c r="A794" s="84"/>
      <c r="B794" s="84"/>
      <c r="C794" s="84"/>
      <c r="D794" s="84"/>
      <c r="E794" s="84"/>
      <c r="F794" s="276"/>
      <c r="H794" s="275"/>
      <c r="I794" s="275"/>
      <c r="J794" s="275"/>
      <c r="K794" s="275"/>
      <c r="L794" s="275"/>
      <c r="M794" s="275"/>
      <c r="N794" s="260"/>
      <c r="O794" s="99"/>
      <c r="P794" s="99"/>
      <c r="Q794" s="99"/>
      <c r="R794" s="99"/>
      <c r="S794" s="99"/>
      <c r="T794" s="99"/>
      <c r="U794" s="99"/>
      <c r="V794" s="99"/>
      <c r="W794" s="99"/>
      <c r="X794" s="99"/>
      <c r="Y794" s="99"/>
      <c r="Z794" s="99"/>
      <c r="AB794" s="84"/>
      <c r="AC794" s="84"/>
      <c r="AD794" s="84"/>
      <c r="AE794" s="84"/>
      <c r="AF794" s="84"/>
      <c r="AG794" s="84"/>
      <c r="AH794" s="84"/>
      <c r="AI794" s="84"/>
    </row>
    <row r="795" ht="15.75" customHeight="1">
      <c r="A795" s="84"/>
      <c r="B795" s="84"/>
      <c r="C795" s="84"/>
      <c r="D795" s="84"/>
      <c r="E795" s="84"/>
      <c r="F795" s="276"/>
      <c r="H795" s="275"/>
      <c r="I795" s="275"/>
      <c r="J795" s="275"/>
      <c r="K795" s="275"/>
      <c r="L795" s="275"/>
      <c r="M795" s="275"/>
      <c r="N795" s="260"/>
      <c r="O795" s="99"/>
      <c r="P795" s="99"/>
      <c r="Q795" s="99"/>
      <c r="R795" s="99"/>
      <c r="S795" s="99"/>
      <c r="T795" s="99"/>
      <c r="U795" s="99"/>
      <c r="V795" s="99"/>
      <c r="W795" s="99"/>
      <c r="X795" s="99"/>
      <c r="Y795" s="99"/>
      <c r="Z795" s="99"/>
      <c r="AB795" s="84"/>
      <c r="AC795" s="84"/>
      <c r="AD795" s="84"/>
      <c r="AE795" s="84"/>
      <c r="AF795" s="84"/>
      <c r="AG795" s="84"/>
      <c r="AH795" s="84"/>
      <c r="AI795" s="84"/>
    </row>
    <row r="796" ht="15.75" customHeight="1">
      <c r="A796" s="84"/>
      <c r="B796" s="84"/>
      <c r="C796" s="84"/>
      <c r="D796" s="84"/>
      <c r="E796" s="84"/>
      <c r="F796" s="276"/>
      <c r="H796" s="275"/>
      <c r="I796" s="275"/>
      <c r="J796" s="275"/>
      <c r="K796" s="275"/>
      <c r="L796" s="275"/>
      <c r="M796" s="275"/>
      <c r="N796" s="260"/>
      <c r="O796" s="99"/>
      <c r="P796" s="99"/>
      <c r="Q796" s="99"/>
      <c r="R796" s="99"/>
      <c r="S796" s="99"/>
      <c r="T796" s="99"/>
      <c r="U796" s="99"/>
      <c r="V796" s="99"/>
      <c r="W796" s="99"/>
      <c r="X796" s="99"/>
      <c r="Y796" s="99"/>
      <c r="Z796" s="99"/>
      <c r="AB796" s="84"/>
      <c r="AC796" s="84"/>
      <c r="AD796" s="84"/>
      <c r="AE796" s="84"/>
      <c r="AF796" s="84"/>
      <c r="AG796" s="84"/>
      <c r="AH796" s="84"/>
      <c r="AI796" s="84"/>
    </row>
    <row r="797" ht="15.75" customHeight="1">
      <c r="A797" s="84"/>
      <c r="B797" s="84"/>
      <c r="C797" s="84"/>
      <c r="D797" s="84"/>
      <c r="E797" s="84"/>
      <c r="F797" s="276"/>
      <c r="H797" s="275"/>
      <c r="I797" s="275"/>
      <c r="J797" s="275"/>
      <c r="K797" s="275"/>
      <c r="L797" s="275"/>
      <c r="M797" s="275"/>
      <c r="N797" s="260"/>
      <c r="O797" s="99"/>
      <c r="P797" s="99"/>
      <c r="Q797" s="99"/>
      <c r="R797" s="99"/>
      <c r="S797" s="99"/>
      <c r="T797" s="99"/>
      <c r="U797" s="99"/>
      <c r="V797" s="99"/>
      <c r="W797" s="99"/>
      <c r="X797" s="99"/>
      <c r="Y797" s="99"/>
      <c r="Z797" s="99"/>
      <c r="AB797" s="84"/>
      <c r="AC797" s="84"/>
      <c r="AD797" s="84"/>
      <c r="AE797" s="84"/>
      <c r="AF797" s="84"/>
      <c r="AG797" s="84"/>
      <c r="AH797" s="84"/>
      <c r="AI797" s="84"/>
    </row>
    <row r="798" ht="15.75" customHeight="1">
      <c r="A798" s="84"/>
      <c r="B798" s="84"/>
      <c r="C798" s="84"/>
      <c r="D798" s="84"/>
      <c r="E798" s="84"/>
      <c r="F798" s="276"/>
      <c r="H798" s="275"/>
      <c r="I798" s="275"/>
      <c r="J798" s="275"/>
      <c r="K798" s="275"/>
      <c r="L798" s="275"/>
      <c r="M798" s="275"/>
      <c r="N798" s="260"/>
      <c r="O798" s="99"/>
      <c r="P798" s="99"/>
      <c r="Q798" s="99"/>
      <c r="R798" s="99"/>
      <c r="S798" s="99"/>
      <c r="T798" s="99"/>
      <c r="U798" s="99"/>
      <c r="V798" s="99"/>
      <c r="W798" s="99"/>
      <c r="X798" s="99"/>
      <c r="Y798" s="99"/>
      <c r="Z798" s="99"/>
      <c r="AB798" s="84"/>
      <c r="AC798" s="84"/>
      <c r="AD798" s="84"/>
      <c r="AE798" s="84"/>
      <c r="AF798" s="84"/>
      <c r="AG798" s="84"/>
      <c r="AH798" s="84"/>
      <c r="AI798" s="84"/>
    </row>
    <row r="799" ht="15.75" customHeight="1">
      <c r="A799" s="84"/>
      <c r="B799" s="84"/>
      <c r="C799" s="84"/>
      <c r="D799" s="84"/>
      <c r="E799" s="84"/>
      <c r="F799" s="276"/>
      <c r="H799" s="275"/>
      <c r="I799" s="275"/>
      <c r="J799" s="275"/>
      <c r="K799" s="275"/>
      <c r="L799" s="275"/>
      <c r="M799" s="275"/>
      <c r="N799" s="260"/>
      <c r="O799" s="99"/>
      <c r="P799" s="99"/>
      <c r="Q799" s="99"/>
      <c r="R799" s="99"/>
      <c r="S799" s="99"/>
      <c r="T799" s="99"/>
      <c r="U799" s="99"/>
      <c r="V799" s="99"/>
      <c r="W799" s="99"/>
      <c r="X799" s="99"/>
      <c r="Y799" s="99"/>
      <c r="Z799" s="99"/>
      <c r="AB799" s="84"/>
      <c r="AC799" s="84"/>
      <c r="AD799" s="84"/>
      <c r="AE799" s="84"/>
      <c r="AF799" s="84"/>
      <c r="AG799" s="84"/>
      <c r="AH799" s="84"/>
      <c r="AI799" s="84"/>
    </row>
    <row r="800" ht="15.75" customHeight="1">
      <c r="A800" s="84"/>
      <c r="B800" s="84"/>
      <c r="C800" s="84"/>
      <c r="D800" s="84"/>
      <c r="E800" s="84"/>
      <c r="F800" s="276"/>
      <c r="H800" s="275"/>
      <c r="I800" s="275"/>
      <c r="J800" s="275"/>
      <c r="K800" s="275"/>
      <c r="L800" s="275"/>
      <c r="M800" s="275"/>
      <c r="N800" s="260"/>
      <c r="O800" s="99"/>
      <c r="P800" s="99"/>
      <c r="Q800" s="99"/>
      <c r="R800" s="99"/>
      <c r="S800" s="99"/>
      <c r="T800" s="99"/>
      <c r="U800" s="99"/>
      <c r="V800" s="99"/>
      <c r="W800" s="99"/>
      <c r="X800" s="99"/>
      <c r="Y800" s="99"/>
      <c r="Z800" s="99"/>
      <c r="AB800" s="84"/>
      <c r="AC800" s="84"/>
      <c r="AD800" s="84"/>
      <c r="AE800" s="84"/>
      <c r="AF800" s="84"/>
      <c r="AG800" s="84"/>
      <c r="AH800" s="84"/>
      <c r="AI800" s="84"/>
    </row>
    <row r="801" ht="15.75" customHeight="1">
      <c r="A801" s="84"/>
      <c r="B801" s="84"/>
      <c r="C801" s="84"/>
      <c r="D801" s="84"/>
      <c r="E801" s="84"/>
      <c r="F801" s="276"/>
      <c r="H801" s="275"/>
      <c r="I801" s="275"/>
      <c r="J801" s="275"/>
      <c r="K801" s="275"/>
      <c r="L801" s="275"/>
      <c r="M801" s="275"/>
      <c r="N801" s="260"/>
      <c r="O801" s="99"/>
      <c r="P801" s="99"/>
      <c r="Q801" s="99"/>
      <c r="R801" s="99"/>
      <c r="S801" s="99"/>
      <c r="T801" s="99"/>
      <c r="U801" s="99"/>
      <c r="V801" s="99"/>
      <c r="W801" s="99"/>
      <c r="X801" s="99"/>
      <c r="Y801" s="99"/>
      <c r="Z801" s="99"/>
      <c r="AB801" s="84"/>
      <c r="AC801" s="84"/>
      <c r="AD801" s="84"/>
      <c r="AE801" s="84"/>
      <c r="AF801" s="84"/>
      <c r="AG801" s="84"/>
      <c r="AH801" s="84"/>
      <c r="AI801" s="84"/>
    </row>
    <row r="802" ht="15.75" customHeight="1">
      <c r="A802" s="84"/>
      <c r="B802" s="84"/>
      <c r="C802" s="84"/>
      <c r="D802" s="84"/>
      <c r="E802" s="84"/>
      <c r="F802" s="276"/>
      <c r="H802" s="275"/>
      <c r="I802" s="275"/>
      <c r="J802" s="275"/>
      <c r="K802" s="275"/>
      <c r="L802" s="275"/>
      <c r="M802" s="275"/>
      <c r="N802" s="260"/>
      <c r="O802" s="99"/>
      <c r="P802" s="99"/>
      <c r="Q802" s="99"/>
      <c r="R802" s="99"/>
      <c r="S802" s="99"/>
      <c r="T802" s="99"/>
      <c r="U802" s="99"/>
      <c r="V802" s="99"/>
      <c r="W802" s="99"/>
      <c r="X802" s="99"/>
      <c r="Y802" s="99"/>
      <c r="Z802" s="99"/>
      <c r="AB802" s="84"/>
      <c r="AC802" s="84"/>
      <c r="AD802" s="84"/>
      <c r="AE802" s="84"/>
      <c r="AF802" s="84"/>
      <c r="AG802" s="84"/>
      <c r="AH802" s="84"/>
      <c r="AI802" s="84"/>
    </row>
    <row r="803" ht="15.75" customHeight="1">
      <c r="A803" s="84"/>
      <c r="B803" s="84"/>
      <c r="C803" s="84"/>
      <c r="D803" s="84"/>
      <c r="E803" s="84"/>
      <c r="F803" s="276"/>
      <c r="H803" s="275"/>
      <c r="I803" s="275"/>
      <c r="J803" s="275"/>
      <c r="K803" s="275"/>
      <c r="L803" s="275"/>
      <c r="M803" s="275"/>
      <c r="N803" s="260"/>
      <c r="O803" s="99"/>
      <c r="P803" s="99"/>
      <c r="Q803" s="99"/>
      <c r="R803" s="99"/>
      <c r="S803" s="99"/>
      <c r="T803" s="99"/>
      <c r="U803" s="99"/>
      <c r="V803" s="99"/>
      <c r="W803" s="99"/>
      <c r="X803" s="99"/>
      <c r="Y803" s="99"/>
      <c r="Z803" s="99"/>
      <c r="AB803" s="84"/>
      <c r="AC803" s="84"/>
      <c r="AD803" s="84"/>
      <c r="AE803" s="84"/>
      <c r="AF803" s="84"/>
      <c r="AG803" s="84"/>
      <c r="AH803" s="84"/>
      <c r="AI803" s="84"/>
    </row>
    <row r="804" ht="15.75" customHeight="1">
      <c r="A804" s="84"/>
      <c r="B804" s="84"/>
      <c r="C804" s="84"/>
      <c r="D804" s="84"/>
      <c r="E804" s="84"/>
      <c r="F804" s="276"/>
      <c r="H804" s="275"/>
      <c r="I804" s="275"/>
      <c r="J804" s="275"/>
      <c r="K804" s="275"/>
      <c r="L804" s="275"/>
      <c r="M804" s="275"/>
      <c r="N804" s="260"/>
      <c r="O804" s="99"/>
      <c r="P804" s="99"/>
      <c r="Q804" s="99"/>
      <c r="R804" s="99"/>
      <c r="S804" s="99"/>
      <c r="T804" s="99"/>
      <c r="U804" s="99"/>
      <c r="V804" s="99"/>
      <c r="W804" s="99"/>
      <c r="X804" s="99"/>
      <c r="Y804" s="99"/>
      <c r="Z804" s="99"/>
      <c r="AB804" s="84"/>
      <c r="AC804" s="84"/>
      <c r="AD804" s="84"/>
      <c r="AE804" s="84"/>
      <c r="AF804" s="84"/>
      <c r="AG804" s="84"/>
      <c r="AH804" s="84"/>
      <c r="AI804" s="84"/>
    </row>
    <row r="805" ht="15.75" customHeight="1">
      <c r="A805" s="84"/>
      <c r="B805" s="84"/>
      <c r="C805" s="84"/>
      <c r="D805" s="84"/>
      <c r="E805" s="84"/>
      <c r="F805" s="276"/>
      <c r="H805" s="275"/>
      <c r="I805" s="275"/>
      <c r="J805" s="275"/>
      <c r="K805" s="275"/>
      <c r="L805" s="275"/>
      <c r="M805" s="275"/>
      <c r="N805" s="260"/>
      <c r="O805" s="99"/>
      <c r="P805" s="99"/>
      <c r="Q805" s="99"/>
      <c r="R805" s="99"/>
      <c r="S805" s="99"/>
      <c r="T805" s="99"/>
      <c r="U805" s="99"/>
      <c r="V805" s="99"/>
      <c r="W805" s="99"/>
      <c r="X805" s="99"/>
      <c r="Y805" s="99"/>
      <c r="Z805" s="99"/>
      <c r="AB805" s="84"/>
      <c r="AC805" s="84"/>
      <c r="AD805" s="84"/>
      <c r="AE805" s="84"/>
      <c r="AF805" s="84"/>
      <c r="AG805" s="84"/>
      <c r="AH805" s="84"/>
      <c r="AI805" s="84"/>
    </row>
    <row r="806" ht="15.75" customHeight="1">
      <c r="A806" s="84"/>
      <c r="B806" s="84"/>
      <c r="C806" s="84"/>
      <c r="D806" s="84"/>
      <c r="E806" s="84"/>
      <c r="F806" s="276"/>
      <c r="H806" s="275"/>
      <c r="I806" s="275"/>
      <c r="J806" s="275"/>
      <c r="K806" s="275"/>
      <c r="L806" s="275"/>
      <c r="M806" s="275"/>
      <c r="N806" s="260"/>
      <c r="O806" s="99"/>
      <c r="P806" s="99"/>
      <c r="Q806" s="99"/>
      <c r="R806" s="99"/>
      <c r="S806" s="99"/>
      <c r="T806" s="99"/>
      <c r="U806" s="99"/>
      <c r="V806" s="99"/>
      <c r="W806" s="99"/>
      <c r="X806" s="99"/>
      <c r="Y806" s="99"/>
      <c r="Z806" s="99"/>
      <c r="AB806" s="84"/>
      <c r="AC806" s="84"/>
      <c r="AD806" s="84"/>
      <c r="AE806" s="84"/>
      <c r="AF806" s="84"/>
      <c r="AG806" s="84"/>
      <c r="AH806" s="84"/>
      <c r="AI806" s="84"/>
    </row>
    <row r="807" ht="15.75" customHeight="1">
      <c r="A807" s="84"/>
      <c r="B807" s="84"/>
      <c r="C807" s="84"/>
      <c r="D807" s="84"/>
      <c r="E807" s="84"/>
      <c r="F807" s="276"/>
      <c r="H807" s="275"/>
      <c r="I807" s="275"/>
      <c r="J807" s="275"/>
      <c r="K807" s="275"/>
      <c r="L807" s="275"/>
      <c r="M807" s="275"/>
      <c r="N807" s="260"/>
      <c r="O807" s="99"/>
      <c r="P807" s="99"/>
      <c r="Q807" s="99"/>
      <c r="R807" s="99"/>
      <c r="S807" s="99"/>
      <c r="T807" s="99"/>
      <c r="U807" s="99"/>
      <c r="V807" s="99"/>
      <c r="W807" s="99"/>
      <c r="X807" s="99"/>
      <c r="Y807" s="99"/>
      <c r="Z807" s="99"/>
      <c r="AB807" s="84"/>
      <c r="AC807" s="84"/>
      <c r="AD807" s="84"/>
      <c r="AE807" s="84"/>
      <c r="AF807" s="84"/>
      <c r="AG807" s="84"/>
      <c r="AH807" s="84"/>
      <c r="AI807" s="84"/>
    </row>
    <row r="808" ht="15.75" customHeight="1">
      <c r="A808" s="84"/>
      <c r="B808" s="84"/>
      <c r="C808" s="84"/>
      <c r="D808" s="84"/>
      <c r="E808" s="84"/>
      <c r="F808" s="276"/>
      <c r="H808" s="275"/>
      <c r="I808" s="275"/>
      <c r="J808" s="275"/>
      <c r="K808" s="275"/>
      <c r="L808" s="275"/>
      <c r="M808" s="275"/>
      <c r="N808" s="260"/>
      <c r="O808" s="99"/>
      <c r="P808" s="99"/>
      <c r="Q808" s="99"/>
      <c r="R808" s="99"/>
      <c r="S808" s="99"/>
      <c r="T808" s="99"/>
      <c r="U808" s="99"/>
      <c r="V808" s="99"/>
      <c r="W808" s="99"/>
      <c r="X808" s="99"/>
      <c r="Y808" s="99"/>
      <c r="Z808" s="99"/>
      <c r="AB808" s="84"/>
      <c r="AC808" s="84"/>
      <c r="AD808" s="84"/>
      <c r="AE808" s="84"/>
      <c r="AF808" s="84"/>
      <c r="AG808" s="84"/>
      <c r="AH808" s="84"/>
      <c r="AI808" s="84"/>
    </row>
    <row r="809" ht="15.75" customHeight="1">
      <c r="A809" s="84"/>
      <c r="B809" s="84"/>
      <c r="C809" s="84"/>
      <c r="D809" s="84"/>
      <c r="E809" s="84"/>
      <c r="F809" s="276"/>
      <c r="H809" s="275"/>
      <c r="I809" s="275"/>
      <c r="J809" s="275"/>
      <c r="K809" s="275"/>
      <c r="L809" s="275"/>
      <c r="M809" s="275"/>
      <c r="N809" s="260"/>
      <c r="O809" s="99"/>
      <c r="P809" s="99"/>
      <c r="Q809" s="99"/>
      <c r="R809" s="99"/>
      <c r="S809" s="99"/>
      <c r="T809" s="99"/>
      <c r="U809" s="99"/>
      <c r="V809" s="99"/>
      <c r="W809" s="99"/>
      <c r="X809" s="99"/>
      <c r="Y809" s="99"/>
      <c r="Z809" s="99"/>
      <c r="AB809" s="84"/>
      <c r="AC809" s="84"/>
      <c r="AD809" s="84"/>
      <c r="AE809" s="84"/>
      <c r="AF809" s="84"/>
      <c r="AG809" s="84"/>
      <c r="AH809" s="84"/>
      <c r="AI809" s="84"/>
    </row>
    <row r="810" ht="15.75" customHeight="1">
      <c r="A810" s="84"/>
      <c r="B810" s="84"/>
      <c r="C810" s="84"/>
      <c r="D810" s="84"/>
      <c r="E810" s="84"/>
      <c r="F810" s="276"/>
      <c r="H810" s="275"/>
      <c r="I810" s="275"/>
      <c r="J810" s="275"/>
      <c r="K810" s="275"/>
      <c r="L810" s="275"/>
      <c r="M810" s="275"/>
      <c r="N810" s="260"/>
      <c r="O810" s="99"/>
      <c r="P810" s="99"/>
      <c r="Q810" s="99"/>
      <c r="R810" s="99"/>
      <c r="S810" s="99"/>
      <c r="T810" s="99"/>
      <c r="U810" s="99"/>
      <c r="V810" s="99"/>
      <c r="W810" s="99"/>
      <c r="X810" s="99"/>
      <c r="Y810" s="99"/>
      <c r="Z810" s="99"/>
      <c r="AB810" s="84"/>
      <c r="AC810" s="84"/>
      <c r="AD810" s="84"/>
      <c r="AE810" s="84"/>
      <c r="AF810" s="84"/>
      <c r="AG810" s="84"/>
      <c r="AH810" s="84"/>
      <c r="AI810" s="84"/>
    </row>
    <row r="811" ht="15.75" customHeight="1">
      <c r="A811" s="84"/>
      <c r="B811" s="84"/>
      <c r="C811" s="84"/>
      <c r="D811" s="84"/>
      <c r="E811" s="84"/>
      <c r="F811" s="276"/>
      <c r="H811" s="275"/>
      <c r="I811" s="275"/>
      <c r="J811" s="275"/>
      <c r="K811" s="275"/>
      <c r="L811" s="275"/>
      <c r="M811" s="275"/>
      <c r="N811" s="260"/>
      <c r="O811" s="99"/>
      <c r="P811" s="99"/>
      <c r="Q811" s="99"/>
      <c r="R811" s="99"/>
      <c r="S811" s="99"/>
      <c r="T811" s="99"/>
      <c r="U811" s="99"/>
      <c r="V811" s="99"/>
      <c r="W811" s="99"/>
      <c r="X811" s="99"/>
      <c r="Y811" s="99"/>
      <c r="Z811" s="99"/>
      <c r="AB811" s="84"/>
      <c r="AC811" s="84"/>
      <c r="AD811" s="84"/>
      <c r="AE811" s="84"/>
      <c r="AF811" s="84"/>
      <c r="AG811" s="84"/>
      <c r="AH811" s="84"/>
      <c r="AI811" s="84"/>
    </row>
    <row r="812" ht="15.75" customHeight="1">
      <c r="A812" s="84"/>
      <c r="B812" s="84"/>
      <c r="C812" s="84"/>
      <c r="D812" s="84"/>
      <c r="E812" s="84"/>
      <c r="F812" s="276"/>
      <c r="H812" s="275"/>
      <c r="I812" s="275"/>
      <c r="J812" s="275"/>
      <c r="K812" s="275"/>
      <c r="L812" s="275"/>
      <c r="M812" s="275"/>
      <c r="N812" s="260"/>
      <c r="O812" s="99"/>
      <c r="P812" s="99"/>
      <c r="Q812" s="99"/>
      <c r="R812" s="99"/>
      <c r="S812" s="99"/>
      <c r="T812" s="99"/>
      <c r="U812" s="99"/>
      <c r="V812" s="99"/>
      <c r="W812" s="99"/>
      <c r="X812" s="99"/>
      <c r="Y812" s="99"/>
      <c r="Z812" s="99"/>
      <c r="AB812" s="84"/>
      <c r="AC812" s="84"/>
      <c r="AD812" s="84"/>
      <c r="AE812" s="84"/>
      <c r="AF812" s="84"/>
      <c r="AG812" s="84"/>
      <c r="AH812" s="84"/>
      <c r="AI812" s="84"/>
    </row>
    <row r="813" ht="15.75" customHeight="1">
      <c r="A813" s="84"/>
      <c r="B813" s="84"/>
      <c r="C813" s="84"/>
      <c r="D813" s="84"/>
      <c r="E813" s="84"/>
      <c r="F813" s="276"/>
      <c r="H813" s="275"/>
      <c r="I813" s="275"/>
      <c r="J813" s="275"/>
      <c r="K813" s="275"/>
      <c r="L813" s="275"/>
      <c r="M813" s="275"/>
      <c r="N813" s="260"/>
      <c r="O813" s="99"/>
      <c r="P813" s="99"/>
      <c r="Q813" s="99"/>
      <c r="R813" s="99"/>
      <c r="S813" s="99"/>
      <c r="T813" s="99"/>
      <c r="U813" s="99"/>
      <c r="V813" s="99"/>
      <c r="W813" s="99"/>
      <c r="X813" s="99"/>
      <c r="Y813" s="99"/>
      <c r="Z813" s="99"/>
      <c r="AB813" s="84"/>
      <c r="AC813" s="84"/>
      <c r="AD813" s="84"/>
      <c r="AE813" s="84"/>
      <c r="AF813" s="84"/>
      <c r="AG813" s="84"/>
      <c r="AH813" s="84"/>
      <c r="AI813" s="84"/>
    </row>
    <row r="814" ht="15.75" customHeight="1">
      <c r="A814" s="84"/>
      <c r="B814" s="84"/>
      <c r="C814" s="84"/>
      <c r="D814" s="84"/>
      <c r="E814" s="84"/>
      <c r="F814" s="276"/>
      <c r="H814" s="275"/>
      <c r="I814" s="275"/>
      <c r="J814" s="275"/>
      <c r="K814" s="275"/>
      <c r="L814" s="275"/>
      <c r="M814" s="275"/>
      <c r="N814" s="260"/>
      <c r="O814" s="99"/>
      <c r="P814" s="99"/>
      <c r="Q814" s="99"/>
      <c r="R814" s="99"/>
      <c r="S814" s="99"/>
      <c r="T814" s="99"/>
      <c r="U814" s="99"/>
      <c r="V814" s="99"/>
      <c r="W814" s="99"/>
      <c r="X814" s="99"/>
      <c r="Y814" s="99"/>
      <c r="Z814" s="99"/>
      <c r="AB814" s="84"/>
      <c r="AC814" s="84"/>
      <c r="AD814" s="84"/>
      <c r="AE814" s="84"/>
      <c r="AF814" s="84"/>
      <c r="AG814" s="84"/>
      <c r="AH814" s="84"/>
      <c r="AI814" s="84"/>
    </row>
    <row r="815" ht="15.75" customHeight="1">
      <c r="A815" s="84"/>
      <c r="B815" s="84"/>
      <c r="C815" s="84"/>
      <c r="D815" s="84"/>
      <c r="E815" s="84"/>
      <c r="F815" s="276"/>
      <c r="H815" s="275"/>
      <c r="I815" s="275"/>
      <c r="J815" s="275"/>
      <c r="K815" s="275"/>
      <c r="L815" s="275"/>
      <c r="M815" s="275"/>
      <c r="N815" s="260"/>
      <c r="O815" s="99"/>
      <c r="P815" s="99"/>
      <c r="Q815" s="99"/>
      <c r="R815" s="99"/>
      <c r="S815" s="99"/>
      <c r="T815" s="99"/>
      <c r="U815" s="99"/>
      <c r="V815" s="99"/>
      <c r="W815" s="99"/>
      <c r="X815" s="99"/>
      <c r="Y815" s="99"/>
      <c r="Z815" s="99"/>
      <c r="AB815" s="84"/>
      <c r="AC815" s="84"/>
      <c r="AD815" s="84"/>
      <c r="AE815" s="84"/>
      <c r="AF815" s="84"/>
      <c r="AG815" s="84"/>
      <c r="AH815" s="84"/>
      <c r="AI815" s="84"/>
    </row>
    <row r="816" ht="15.75" customHeight="1">
      <c r="A816" s="84"/>
      <c r="B816" s="84"/>
      <c r="C816" s="84"/>
      <c r="D816" s="84"/>
      <c r="E816" s="84"/>
      <c r="F816" s="276"/>
      <c r="H816" s="275"/>
      <c r="I816" s="275"/>
      <c r="J816" s="275"/>
      <c r="K816" s="275"/>
      <c r="L816" s="275"/>
      <c r="M816" s="275"/>
      <c r="N816" s="260"/>
      <c r="O816" s="99"/>
      <c r="P816" s="99"/>
      <c r="Q816" s="99"/>
      <c r="R816" s="99"/>
      <c r="S816" s="99"/>
      <c r="T816" s="99"/>
      <c r="U816" s="99"/>
      <c r="V816" s="99"/>
      <c r="W816" s="99"/>
      <c r="X816" s="99"/>
      <c r="Y816" s="99"/>
      <c r="Z816" s="99"/>
      <c r="AB816" s="84"/>
      <c r="AC816" s="84"/>
      <c r="AD816" s="84"/>
      <c r="AE816" s="84"/>
      <c r="AF816" s="84"/>
      <c r="AG816" s="84"/>
      <c r="AH816" s="84"/>
      <c r="AI816" s="84"/>
    </row>
    <row r="817" ht="15.75" customHeight="1">
      <c r="A817" s="84"/>
      <c r="B817" s="84"/>
      <c r="C817" s="84"/>
      <c r="D817" s="84"/>
      <c r="E817" s="84"/>
      <c r="F817" s="276"/>
      <c r="H817" s="275"/>
      <c r="I817" s="275"/>
      <c r="J817" s="275"/>
      <c r="K817" s="275"/>
      <c r="L817" s="275"/>
      <c r="M817" s="275"/>
      <c r="N817" s="260"/>
      <c r="O817" s="99"/>
      <c r="P817" s="99"/>
      <c r="Q817" s="99"/>
      <c r="R817" s="99"/>
      <c r="S817" s="99"/>
      <c r="T817" s="99"/>
      <c r="U817" s="99"/>
      <c r="V817" s="99"/>
      <c r="W817" s="99"/>
      <c r="X817" s="99"/>
      <c r="Y817" s="99"/>
      <c r="Z817" s="99"/>
      <c r="AB817" s="84"/>
      <c r="AC817" s="84"/>
      <c r="AD817" s="84"/>
      <c r="AE817" s="84"/>
      <c r="AF817" s="84"/>
      <c r="AG817" s="84"/>
      <c r="AH817" s="84"/>
      <c r="AI817" s="84"/>
    </row>
    <row r="818" ht="15.75" customHeight="1">
      <c r="A818" s="84"/>
      <c r="B818" s="84"/>
      <c r="C818" s="84"/>
      <c r="D818" s="84"/>
      <c r="E818" s="84"/>
      <c r="F818" s="276"/>
      <c r="H818" s="275"/>
      <c r="I818" s="275"/>
      <c r="J818" s="275"/>
      <c r="K818" s="275"/>
      <c r="L818" s="275"/>
      <c r="M818" s="275"/>
      <c r="N818" s="260"/>
      <c r="O818" s="99"/>
      <c r="P818" s="99"/>
      <c r="Q818" s="99"/>
      <c r="R818" s="99"/>
      <c r="S818" s="99"/>
      <c r="T818" s="99"/>
      <c r="U818" s="99"/>
      <c r="V818" s="99"/>
      <c r="W818" s="99"/>
      <c r="X818" s="99"/>
      <c r="Y818" s="99"/>
      <c r="Z818" s="99"/>
      <c r="AB818" s="84"/>
      <c r="AC818" s="84"/>
      <c r="AD818" s="84"/>
      <c r="AE818" s="84"/>
      <c r="AF818" s="84"/>
      <c r="AG818" s="84"/>
      <c r="AH818" s="84"/>
      <c r="AI818" s="84"/>
    </row>
    <row r="819" ht="15.75" customHeight="1">
      <c r="A819" s="84"/>
      <c r="B819" s="84"/>
      <c r="C819" s="84"/>
      <c r="D819" s="84"/>
      <c r="E819" s="84"/>
      <c r="F819" s="276"/>
      <c r="H819" s="275"/>
      <c r="I819" s="275"/>
      <c r="J819" s="275"/>
      <c r="K819" s="275"/>
      <c r="L819" s="275"/>
      <c r="M819" s="275"/>
      <c r="N819" s="260"/>
      <c r="O819" s="99"/>
      <c r="P819" s="99"/>
      <c r="Q819" s="99"/>
      <c r="R819" s="99"/>
      <c r="S819" s="99"/>
      <c r="T819" s="99"/>
      <c r="U819" s="99"/>
      <c r="V819" s="99"/>
      <c r="W819" s="99"/>
      <c r="X819" s="99"/>
      <c r="Y819" s="99"/>
      <c r="Z819" s="99"/>
      <c r="AB819" s="84"/>
      <c r="AC819" s="84"/>
      <c r="AD819" s="84"/>
      <c r="AE819" s="84"/>
      <c r="AF819" s="84"/>
      <c r="AG819" s="84"/>
      <c r="AH819" s="84"/>
      <c r="AI819" s="84"/>
    </row>
    <row r="820" ht="15.75" customHeight="1">
      <c r="A820" s="84"/>
      <c r="B820" s="84"/>
      <c r="C820" s="84"/>
      <c r="D820" s="84"/>
      <c r="E820" s="84"/>
      <c r="F820" s="276"/>
      <c r="H820" s="275"/>
      <c r="I820" s="275"/>
      <c r="J820" s="275"/>
      <c r="K820" s="275"/>
      <c r="L820" s="275"/>
      <c r="M820" s="275"/>
      <c r="N820" s="260"/>
      <c r="O820" s="99"/>
      <c r="P820" s="99"/>
      <c r="Q820" s="99"/>
      <c r="R820" s="99"/>
      <c r="S820" s="99"/>
      <c r="T820" s="99"/>
      <c r="U820" s="99"/>
      <c r="V820" s="99"/>
      <c r="W820" s="99"/>
      <c r="X820" s="99"/>
      <c r="Y820" s="99"/>
      <c r="Z820" s="99"/>
      <c r="AB820" s="84"/>
      <c r="AC820" s="84"/>
      <c r="AD820" s="84"/>
      <c r="AE820" s="84"/>
      <c r="AF820" s="84"/>
      <c r="AG820" s="84"/>
      <c r="AH820" s="84"/>
      <c r="AI820" s="84"/>
    </row>
    <row r="821" ht="15.75" customHeight="1">
      <c r="A821" s="84"/>
      <c r="B821" s="84"/>
      <c r="C821" s="84"/>
      <c r="D821" s="84"/>
      <c r="E821" s="84"/>
      <c r="F821" s="276"/>
      <c r="H821" s="275"/>
      <c r="I821" s="275"/>
      <c r="J821" s="275"/>
      <c r="K821" s="275"/>
      <c r="L821" s="275"/>
      <c r="M821" s="275"/>
      <c r="N821" s="260"/>
      <c r="O821" s="99"/>
      <c r="P821" s="99"/>
      <c r="Q821" s="99"/>
      <c r="R821" s="99"/>
      <c r="S821" s="99"/>
      <c r="T821" s="99"/>
      <c r="U821" s="99"/>
      <c r="V821" s="99"/>
      <c r="W821" s="99"/>
      <c r="X821" s="99"/>
      <c r="Y821" s="99"/>
      <c r="Z821" s="99"/>
      <c r="AB821" s="84"/>
      <c r="AC821" s="84"/>
      <c r="AD821" s="84"/>
      <c r="AE821" s="84"/>
      <c r="AF821" s="84"/>
      <c r="AG821" s="84"/>
      <c r="AH821" s="84"/>
      <c r="AI821" s="84"/>
    </row>
    <row r="822" ht="15.75" customHeight="1">
      <c r="A822" s="84"/>
      <c r="B822" s="84"/>
      <c r="C822" s="84"/>
      <c r="D822" s="84"/>
      <c r="E822" s="84"/>
      <c r="F822" s="276"/>
      <c r="H822" s="275"/>
      <c r="I822" s="275"/>
      <c r="J822" s="275"/>
      <c r="K822" s="275"/>
      <c r="L822" s="275"/>
      <c r="M822" s="275"/>
      <c r="N822" s="260"/>
      <c r="O822" s="99"/>
      <c r="P822" s="99"/>
      <c r="Q822" s="99"/>
      <c r="R822" s="99"/>
      <c r="S822" s="99"/>
      <c r="T822" s="99"/>
      <c r="U822" s="99"/>
      <c r="V822" s="99"/>
      <c r="W822" s="99"/>
      <c r="X822" s="99"/>
      <c r="Y822" s="99"/>
      <c r="Z822" s="99"/>
      <c r="AB822" s="84"/>
      <c r="AC822" s="84"/>
      <c r="AD822" s="84"/>
      <c r="AE822" s="84"/>
      <c r="AF822" s="84"/>
      <c r="AG822" s="84"/>
      <c r="AH822" s="84"/>
      <c r="AI822" s="84"/>
    </row>
    <row r="823" ht="15.75" customHeight="1">
      <c r="A823" s="84"/>
      <c r="B823" s="84"/>
      <c r="C823" s="84"/>
      <c r="D823" s="84"/>
      <c r="E823" s="84"/>
      <c r="F823" s="276"/>
      <c r="H823" s="275"/>
      <c r="I823" s="275"/>
      <c r="J823" s="275"/>
      <c r="K823" s="275"/>
      <c r="L823" s="275"/>
      <c r="M823" s="275"/>
      <c r="N823" s="260"/>
      <c r="O823" s="99"/>
      <c r="P823" s="99"/>
      <c r="Q823" s="99"/>
      <c r="R823" s="99"/>
      <c r="S823" s="99"/>
      <c r="T823" s="99"/>
      <c r="U823" s="99"/>
      <c r="V823" s="99"/>
      <c r="W823" s="99"/>
      <c r="X823" s="99"/>
      <c r="Y823" s="99"/>
      <c r="Z823" s="99"/>
      <c r="AB823" s="84"/>
      <c r="AC823" s="84"/>
      <c r="AD823" s="84"/>
      <c r="AE823" s="84"/>
      <c r="AF823" s="84"/>
      <c r="AG823" s="84"/>
      <c r="AH823" s="84"/>
      <c r="AI823" s="84"/>
    </row>
    <row r="824" ht="15.75" customHeight="1">
      <c r="A824" s="84"/>
      <c r="B824" s="84"/>
      <c r="C824" s="84"/>
      <c r="D824" s="84"/>
      <c r="E824" s="84"/>
      <c r="F824" s="276"/>
      <c r="H824" s="275"/>
      <c r="I824" s="275"/>
      <c r="J824" s="275"/>
      <c r="K824" s="275"/>
      <c r="L824" s="275"/>
      <c r="M824" s="275"/>
      <c r="N824" s="260"/>
      <c r="O824" s="99"/>
      <c r="P824" s="99"/>
      <c r="Q824" s="99"/>
      <c r="R824" s="99"/>
      <c r="S824" s="99"/>
      <c r="T824" s="99"/>
      <c r="U824" s="99"/>
      <c r="V824" s="99"/>
      <c r="W824" s="99"/>
      <c r="X824" s="99"/>
      <c r="Y824" s="99"/>
      <c r="Z824" s="99"/>
      <c r="AB824" s="84"/>
      <c r="AC824" s="84"/>
      <c r="AD824" s="84"/>
      <c r="AE824" s="84"/>
      <c r="AF824" s="84"/>
      <c r="AG824" s="84"/>
      <c r="AH824" s="84"/>
      <c r="AI824" s="84"/>
    </row>
    <row r="825" ht="15.75" customHeight="1">
      <c r="A825" s="84"/>
      <c r="B825" s="84"/>
      <c r="C825" s="84"/>
      <c r="D825" s="84"/>
      <c r="E825" s="84"/>
      <c r="F825" s="276"/>
      <c r="H825" s="275"/>
      <c r="I825" s="275"/>
      <c r="J825" s="275"/>
      <c r="K825" s="275"/>
      <c r="L825" s="275"/>
      <c r="M825" s="275"/>
      <c r="N825" s="260"/>
      <c r="O825" s="99"/>
      <c r="P825" s="99"/>
      <c r="Q825" s="99"/>
      <c r="R825" s="99"/>
      <c r="S825" s="99"/>
      <c r="T825" s="99"/>
      <c r="U825" s="99"/>
      <c r="V825" s="99"/>
      <c r="W825" s="99"/>
      <c r="X825" s="99"/>
      <c r="Y825" s="99"/>
      <c r="Z825" s="99"/>
      <c r="AB825" s="84"/>
      <c r="AC825" s="84"/>
      <c r="AD825" s="84"/>
      <c r="AE825" s="84"/>
      <c r="AF825" s="84"/>
      <c r="AG825" s="84"/>
      <c r="AH825" s="84"/>
      <c r="AI825" s="84"/>
    </row>
    <row r="826" ht="15.75" customHeight="1">
      <c r="A826" s="84"/>
      <c r="B826" s="84"/>
      <c r="C826" s="84"/>
      <c r="D826" s="84"/>
      <c r="E826" s="84"/>
      <c r="F826" s="276"/>
      <c r="H826" s="275"/>
      <c r="I826" s="275"/>
      <c r="J826" s="275"/>
      <c r="K826" s="275"/>
      <c r="L826" s="275"/>
      <c r="M826" s="275"/>
      <c r="N826" s="260"/>
      <c r="O826" s="99"/>
      <c r="P826" s="99"/>
      <c r="Q826" s="99"/>
      <c r="R826" s="99"/>
      <c r="S826" s="99"/>
      <c r="T826" s="99"/>
      <c r="U826" s="99"/>
      <c r="V826" s="99"/>
      <c r="W826" s="99"/>
      <c r="X826" s="99"/>
      <c r="Y826" s="99"/>
      <c r="Z826" s="99"/>
      <c r="AB826" s="84"/>
      <c r="AC826" s="84"/>
      <c r="AD826" s="84"/>
      <c r="AE826" s="84"/>
      <c r="AF826" s="84"/>
      <c r="AG826" s="84"/>
      <c r="AH826" s="84"/>
      <c r="AI826" s="84"/>
    </row>
    <row r="827" ht="15.75" customHeight="1">
      <c r="A827" s="84"/>
      <c r="B827" s="84"/>
      <c r="C827" s="84"/>
      <c r="D827" s="84"/>
      <c r="E827" s="84"/>
      <c r="F827" s="276"/>
      <c r="H827" s="275"/>
      <c r="I827" s="275"/>
      <c r="J827" s="275"/>
      <c r="K827" s="275"/>
      <c r="L827" s="275"/>
      <c r="M827" s="275"/>
      <c r="N827" s="260"/>
      <c r="O827" s="99"/>
      <c r="P827" s="99"/>
      <c r="Q827" s="99"/>
      <c r="R827" s="99"/>
      <c r="S827" s="99"/>
      <c r="T827" s="99"/>
      <c r="U827" s="99"/>
      <c r="V827" s="99"/>
      <c r="W827" s="99"/>
      <c r="X827" s="99"/>
      <c r="Y827" s="99"/>
      <c r="Z827" s="99"/>
      <c r="AB827" s="84"/>
      <c r="AC827" s="84"/>
      <c r="AD827" s="84"/>
      <c r="AE827" s="84"/>
      <c r="AF827" s="84"/>
      <c r="AG827" s="84"/>
      <c r="AH827" s="84"/>
      <c r="AI827" s="84"/>
    </row>
    <row r="828" ht="15.75" customHeight="1">
      <c r="A828" s="84"/>
      <c r="B828" s="84"/>
      <c r="C828" s="84"/>
      <c r="D828" s="84"/>
      <c r="E828" s="84"/>
      <c r="F828" s="276"/>
      <c r="H828" s="275"/>
      <c r="I828" s="275"/>
      <c r="J828" s="275"/>
      <c r="K828" s="275"/>
      <c r="L828" s="275"/>
      <c r="M828" s="275"/>
      <c r="N828" s="260"/>
      <c r="O828" s="99"/>
      <c r="P828" s="99"/>
      <c r="Q828" s="99"/>
      <c r="R828" s="99"/>
      <c r="S828" s="99"/>
      <c r="T828" s="99"/>
      <c r="U828" s="99"/>
      <c r="V828" s="99"/>
      <c r="W828" s="99"/>
      <c r="X828" s="99"/>
      <c r="Y828" s="99"/>
      <c r="Z828" s="99"/>
      <c r="AB828" s="84"/>
      <c r="AC828" s="84"/>
      <c r="AD828" s="84"/>
      <c r="AE828" s="84"/>
      <c r="AF828" s="84"/>
      <c r="AG828" s="84"/>
      <c r="AH828" s="84"/>
      <c r="AI828" s="84"/>
    </row>
    <row r="829" ht="15.75" customHeight="1">
      <c r="A829" s="84"/>
      <c r="B829" s="84"/>
      <c r="C829" s="84"/>
      <c r="D829" s="84"/>
      <c r="E829" s="84"/>
      <c r="F829" s="276"/>
      <c r="H829" s="275"/>
      <c r="I829" s="275"/>
      <c r="J829" s="275"/>
      <c r="K829" s="275"/>
      <c r="L829" s="275"/>
      <c r="M829" s="275"/>
      <c r="N829" s="260"/>
      <c r="O829" s="99"/>
      <c r="P829" s="99"/>
      <c r="Q829" s="99"/>
      <c r="R829" s="99"/>
      <c r="S829" s="99"/>
      <c r="T829" s="99"/>
      <c r="U829" s="99"/>
      <c r="V829" s="99"/>
      <c r="W829" s="99"/>
      <c r="X829" s="99"/>
      <c r="Y829" s="99"/>
      <c r="Z829" s="99"/>
      <c r="AB829" s="84"/>
      <c r="AC829" s="84"/>
      <c r="AD829" s="84"/>
      <c r="AE829" s="84"/>
      <c r="AF829" s="84"/>
      <c r="AG829" s="84"/>
      <c r="AH829" s="84"/>
      <c r="AI829" s="84"/>
    </row>
    <row r="830" ht="15.75" customHeight="1">
      <c r="A830" s="84"/>
      <c r="B830" s="84"/>
      <c r="C830" s="84"/>
      <c r="D830" s="84"/>
      <c r="E830" s="84"/>
      <c r="F830" s="276"/>
      <c r="H830" s="275"/>
      <c r="I830" s="275"/>
      <c r="J830" s="275"/>
      <c r="K830" s="275"/>
      <c r="L830" s="275"/>
      <c r="M830" s="275"/>
      <c r="N830" s="260"/>
      <c r="O830" s="99"/>
      <c r="P830" s="99"/>
      <c r="Q830" s="99"/>
      <c r="R830" s="99"/>
      <c r="S830" s="99"/>
      <c r="T830" s="99"/>
      <c r="U830" s="99"/>
      <c r="V830" s="99"/>
      <c r="W830" s="99"/>
      <c r="X830" s="99"/>
      <c r="Y830" s="99"/>
      <c r="Z830" s="99"/>
      <c r="AB830" s="84"/>
      <c r="AC830" s="84"/>
      <c r="AD830" s="84"/>
      <c r="AE830" s="84"/>
      <c r="AF830" s="84"/>
      <c r="AG830" s="84"/>
      <c r="AH830" s="84"/>
      <c r="AI830" s="84"/>
    </row>
    <row r="831" ht="15.75" customHeight="1">
      <c r="A831" s="84"/>
      <c r="B831" s="84"/>
      <c r="C831" s="84"/>
      <c r="D831" s="84"/>
      <c r="E831" s="84"/>
      <c r="F831" s="276"/>
      <c r="H831" s="275"/>
      <c r="I831" s="275"/>
      <c r="J831" s="275"/>
      <c r="K831" s="275"/>
      <c r="L831" s="275"/>
      <c r="M831" s="275"/>
      <c r="N831" s="260"/>
      <c r="O831" s="99"/>
      <c r="P831" s="99"/>
      <c r="Q831" s="99"/>
      <c r="R831" s="99"/>
      <c r="S831" s="99"/>
      <c r="T831" s="99"/>
      <c r="U831" s="99"/>
      <c r="V831" s="99"/>
      <c r="W831" s="99"/>
      <c r="X831" s="99"/>
      <c r="Y831" s="99"/>
      <c r="Z831" s="99"/>
      <c r="AB831" s="84"/>
      <c r="AC831" s="84"/>
      <c r="AD831" s="84"/>
      <c r="AE831" s="84"/>
      <c r="AF831" s="84"/>
      <c r="AG831" s="84"/>
      <c r="AH831" s="84"/>
      <c r="AI831" s="84"/>
    </row>
    <row r="832" ht="15.75" customHeight="1">
      <c r="A832" s="84"/>
      <c r="B832" s="84"/>
      <c r="C832" s="84"/>
      <c r="D832" s="84"/>
      <c r="E832" s="84"/>
      <c r="F832" s="276"/>
      <c r="H832" s="275"/>
      <c r="I832" s="275"/>
      <c r="J832" s="275"/>
      <c r="K832" s="275"/>
      <c r="L832" s="275"/>
      <c r="M832" s="275"/>
      <c r="N832" s="260"/>
      <c r="O832" s="99"/>
      <c r="P832" s="99"/>
      <c r="Q832" s="99"/>
      <c r="R832" s="99"/>
      <c r="S832" s="99"/>
      <c r="T832" s="99"/>
      <c r="U832" s="99"/>
      <c r="V832" s="99"/>
      <c r="W832" s="99"/>
      <c r="X832" s="99"/>
      <c r="Y832" s="99"/>
      <c r="Z832" s="99"/>
      <c r="AB832" s="84"/>
      <c r="AC832" s="84"/>
      <c r="AD832" s="84"/>
      <c r="AE832" s="84"/>
      <c r="AF832" s="84"/>
      <c r="AG832" s="84"/>
      <c r="AH832" s="84"/>
      <c r="AI832" s="84"/>
    </row>
    <row r="833" ht="15.75" customHeight="1">
      <c r="A833" s="84"/>
      <c r="B833" s="84"/>
      <c r="C833" s="84"/>
      <c r="D833" s="84"/>
      <c r="E833" s="84"/>
      <c r="F833" s="276"/>
      <c r="H833" s="275"/>
      <c r="I833" s="275"/>
      <c r="J833" s="275"/>
      <c r="K833" s="275"/>
      <c r="L833" s="275"/>
      <c r="M833" s="275"/>
      <c r="N833" s="260"/>
      <c r="O833" s="99"/>
      <c r="P833" s="99"/>
      <c r="Q833" s="99"/>
      <c r="R833" s="99"/>
      <c r="S833" s="99"/>
      <c r="T833" s="99"/>
      <c r="U833" s="99"/>
      <c r="V833" s="99"/>
      <c r="W833" s="99"/>
      <c r="X833" s="99"/>
      <c r="Y833" s="99"/>
      <c r="Z833" s="99"/>
      <c r="AB833" s="84"/>
      <c r="AC833" s="84"/>
      <c r="AD833" s="84"/>
      <c r="AE833" s="84"/>
      <c r="AF833" s="84"/>
      <c r="AG833" s="84"/>
      <c r="AH833" s="84"/>
      <c r="AI833" s="84"/>
    </row>
    <row r="834" ht="15.75" customHeight="1">
      <c r="A834" s="84"/>
      <c r="B834" s="84"/>
      <c r="C834" s="84"/>
      <c r="D834" s="84"/>
      <c r="E834" s="84"/>
      <c r="F834" s="276"/>
      <c r="H834" s="275"/>
      <c r="I834" s="275"/>
      <c r="J834" s="275"/>
      <c r="K834" s="275"/>
      <c r="L834" s="275"/>
      <c r="M834" s="275"/>
      <c r="N834" s="260"/>
      <c r="O834" s="99"/>
      <c r="P834" s="99"/>
      <c r="Q834" s="99"/>
      <c r="R834" s="99"/>
      <c r="S834" s="99"/>
      <c r="T834" s="99"/>
      <c r="U834" s="99"/>
      <c r="V834" s="99"/>
      <c r="W834" s="99"/>
      <c r="X834" s="99"/>
      <c r="Y834" s="99"/>
      <c r="Z834" s="99"/>
      <c r="AB834" s="84"/>
      <c r="AC834" s="84"/>
      <c r="AD834" s="84"/>
      <c r="AE834" s="84"/>
      <c r="AF834" s="84"/>
      <c r="AG834" s="84"/>
      <c r="AH834" s="84"/>
      <c r="AI834" s="84"/>
    </row>
    <row r="835" ht="15.75" customHeight="1">
      <c r="A835" s="84"/>
      <c r="B835" s="84"/>
      <c r="C835" s="84"/>
      <c r="D835" s="84"/>
      <c r="E835" s="84"/>
      <c r="F835" s="276"/>
      <c r="H835" s="275"/>
      <c r="I835" s="275"/>
      <c r="J835" s="275"/>
      <c r="K835" s="275"/>
      <c r="L835" s="275"/>
      <c r="M835" s="275"/>
      <c r="N835" s="260"/>
      <c r="O835" s="99"/>
      <c r="P835" s="99"/>
      <c r="Q835" s="99"/>
      <c r="R835" s="99"/>
      <c r="S835" s="99"/>
      <c r="T835" s="99"/>
      <c r="U835" s="99"/>
      <c r="V835" s="99"/>
      <c r="W835" s="99"/>
      <c r="X835" s="99"/>
      <c r="Y835" s="99"/>
      <c r="Z835" s="99"/>
      <c r="AB835" s="84"/>
      <c r="AC835" s="84"/>
      <c r="AD835" s="84"/>
      <c r="AE835" s="84"/>
      <c r="AF835" s="84"/>
      <c r="AG835" s="84"/>
      <c r="AH835" s="84"/>
      <c r="AI835" s="84"/>
    </row>
    <row r="836" ht="15.75" customHeight="1">
      <c r="A836" s="84"/>
      <c r="B836" s="84"/>
      <c r="C836" s="84"/>
      <c r="D836" s="84"/>
      <c r="E836" s="84"/>
      <c r="F836" s="276"/>
      <c r="H836" s="275"/>
      <c r="I836" s="275"/>
      <c r="J836" s="275"/>
      <c r="K836" s="275"/>
      <c r="L836" s="275"/>
      <c r="M836" s="275"/>
      <c r="N836" s="260"/>
      <c r="O836" s="99"/>
      <c r="P836" s="99"/>
      <c r="Q836" s="99"/>
      <c r="R836" s="99"/>
      <c r="S836" s="99"/>
      <c r="T836" s="99"/>
      <c r="U836" s="99"/>
      <c r="V836" s="99"/>
      <c r="W836" s="99"/>
      <c r="X836" s="99"/>
      <c r="Y836" s="99"/>
      <c r="Z836" s="99"/>
      <c r="AB836" s="84"/>
      <c r="AC836" s="84"/>
      <c r="AD836" s="84"/>
      <c r="AE836" s="84"/>
      <c r="AF836" s="84"/>
      <c r="AG836" s="84"/>
      <c r="AH836" s="84"/>
      <c r="AI836" s="84"/>
    </row>
    <row r="837" ht="15.75" customHeight="1">
      <c r="A837" s="84"/>
      <c r="B837" s="84"/>
      <c r="C837" s="84"/>
      <c r="D837" s="84"/>
      <c r="E837" s="84"/>
      <c r="F837" s="276"/>
      <c r="H837" s="275"/>
      <c r="I837" s="275"/>
      <c r="J837" s="275"/>
      <c r="K837" s="275"/>
      <c r="L837" s="275"/>
      <c r="M837" s="275"/>
      <c r="N837" s="260"/>
      <c r="O837" s="99"/>
      <c r="P837" s="99"/>
      <c r="Q837" s="99"/>
      <c r="R837" s="99"/>
      <c r="S837" s="99"/>
      <c r="T837" s="99"/>
      <c r="U837" s="99"/>
      <c r="V837" s="99"/>
      <c r="W837" s="99"/>
      <c r="X837" s="99"/>
      <c r="Y837" s="99"/>
      <c r="Z837" s="99"/>
      <c r="AB837" s="84"/>
      <c r="AC837" s="84"/>
      <c r="AD837" s="84"/>
      <c r="AE837" s="84"/>
      <c r="AF837" s="84"/>
      <c r="AG837" s="84"/>
      <c r="AH837" s="84"/>
      <c r="AI837" s="84"/>
    </row>
    <row r="838" ht="15.75" customHeight="1">
      <c r="A838" s="84"/>
      <c r="B838" s="84"/>
      <c r="C838" s="84"/>
      <c r="D838" s="84"/>
      <c r="E838" s="84"/>
      <c r="F838" s="276"/>
      <c r="H838" s="275"/>
      <c r="I838" s="275"/>
      <c r="J838" s="275"/>
      <c r="K838" s="275"/>
      <c r="L838" s="275"/>
      <c r="M838" s="275"/>
      <c r="N838" s="260"/>
      <c r="O838" s="99"/>
      <c r="P838" s="99"/>
      <c r="Q838" s="99"/>
      <c r="R838" s="99"/>
      <c r="S838" s="99"/>
      <c r="T838" s="99"/>
      <c r="U838" s="99"/>
      <c r="V838" s="99"/>
      <c r="W838" s="99"/>
      <c r="X838" s="99"/>
      <c r="Y838" s="99"/>
      <c r="Z838" s="99"/>
      <c r="AB838" s="84"/>
      <c r="AC838" s="84"/>
      <c r="AD838" s="84"/>
      <c r="AE838" s="84"/>
      <c r="AF838" s="84"/>
      <c r="AG838" s="84"/>
      <c r="AH838" s="84"/>
      <c r="AI838" s="84"/>
    </row>
    <row r="839" ht="15.75" customHeight="1">
      <c r="A839" s="84"/>
      <c r="B839" s="84"/>
      <c r="C839" s="84"/>
      <c r="D839" s="84"/>
      <c r="E839" s="84"/>
      <c r="F839" s="276"/>
      <c r="H839" s="275"/>
      <c r="I839" s="275"/>
      <c r="J839" s="275"/>
      <c r="K839" s="275"/>
      <c r="L839" s="275"/>
      <c r="M839" s="275"/>
      <c r="N839" s="260"/>
      <c r="O839" s="99"/>
      <c r="P839" s="99"/>
      <c r="Q839" s="99"/>
      <c r="R839" s="99"/>
      <c r="S839" s="99"/>
      <c r="T839" s="99"/>
      <c r="U839" s="99"/>
      <c r="V839" s="99"/>
      <c r="W839" s="99"/>
      <c r="X839" s="99"/>
      <c r="Y839" s="99"/>
      <c r="Z839" s="99"/>
      <c r="AB839" s="84"/>
      <c r="AC839" s="84"/>
      <c r="AD839" s="84"/>
      <c r="AE839" s="84"/>
      <c r="AF839" s="84"/>
      <c r="AG839" s="84"/>
      <c r="AH839" s="84"/>
      <c r="AI839" s="84"/>
    </row>
    <row r="840" ht="15.75" customHeight="1">
      <c r="A840" s="84"/>
      <c r="B840" s="84"/>
      <c r="C840" s="84"/>
      <c r="D840" s="84"/>
      <c r="E840" s="84"/>
      <c r="F840" s="276"/>
      <c r="H840" s="275"/>
      <c r="I840" s="275"/>
      <c r="J840" s="275"/>
      <c r="K840" s="275"/>
      <c r="L840" s="275"/>
      <c r="M840" s="275"/>
      <c r="N840" s="260"/>
      <c r="O840" s="99"/>
      <c r="P840" s="99"/>
      <c r="Q840" s="99"/>
      <c r="R840" s="99"/>
      <c r="S840" s="99"/>
      <c r="T840" s="99"/>
      <c r="U840" s="99"/>
      <c r="V840" s="99"/>
      <c r="W840" s="99"/>
      <c r="X840" s="99"/>
      <c r="Y840" s="99"/>
      <c r="Z840" s="99"/>
      <c r="AB840" s="84"/>
      <c r="AC840" s="84"/>
      <c r="AD840" s="84"/>
      <c r="AE840" s="84"/>
      <c r="AF840" s="84"/>
      <c r="AG840" s="84"/>
      <c r="AH840" s="84"/>
      <c r="AI840" s="84"/>
    </row>
    <row r="841" ht="15.75" customHeight="1">
      <c r="A841" s="84"/>
      <c r="B841" s="84"/>
      <c r="C841" s="84"/>
      <c r="D841" s="84"/>
      <c r="E841" s="84"/>
      <c r="F841" s="276"/>
      <c r="H841" s="275"/>
      <c r="I841" s="275"/>
      <c r="J841" s="275"/>
      <c r="K841" s="275"/>
      <c r="L841" s="275"/>
      <c r="M841" s="275"/>
      <c r="N841" s="260"/>
      <c r="O841" s="99"/>
      <c r="P841" s="99"/>
      <c r="Q841" s="99"/>
      <c r="R841" s="99"/>
      <c r="S841" s="99"/>
      <c r="T841" s="99"/>
      <c r="U841" s="99"/>
      <c r="V841" s="99"/>
      <c r="W841" s="99"/>
      <c r="X841" s="99"/>
      <c r="Y841" s="99"/>
      <c r="Z841" s="99"/>
      <c r="AB841" s="84"/>
      <c r="AC841" s="84"/>
      <c r="AD841" s="84"/>
      <c r="AE841" s="84"/>
      <c r="AF841" s="84"/>
      <c r="AG841" s="84"/>
      <c r="AH841" s="84"/>
      <c r="AI841" s="84"/>
    </row>
    <row r="842" ht="15.75" customHeight="1">
      <c r="A842" s="84"/>
      <c r="B842" s="84"/>
      <c r="C842" s="84"/>
      <c r="D842" s="84"/>
      <c r="E842" s="84"/>
      <c r="F842" s="276"/>
      <c r="H842" s="275"/>
      <c r="I842" s="275"/>
      <c r="J842" s="275"/>
      <c r="K842" s="275"/>
      <c r="L842" s="275"/>
      <c r="M842" s="275"/>
      <c r="N842" s="260"/>
      <c r="O842" s="99"/>
      <c r="P842" s="99"/>
      <c r="Q842" s="99"/>
      <c r="R842" s="99"/>
      <c r="S842" s="99"/>
      <c r="T842" s="99"/>
      <c r="U842" s="99"/>
      <c r="V842" s="99"/>
      <c r="W842" s="99"/>
      <c r="X842" s="99"/>
      <c r="Y842" s="99"/>
      <c r="Z842" s="99"/>
      <c r="AB842" s="84"/>
      <c r="AC842" s="84"/>
      <c r="AD842" s="84"/>
      <c r="AE842" s="84"/>
      <c r="AF842" s="84"/>
      <c r="AG842" s="84"/>
      <c r="AH842" s="84"/>
      <c r="AI842" s="84"/>
    </row>
    <row r="843" ht="15.75" customHeight="1">
      <c r="A843" s="84"/>
      <c r="B843" s="84"/>
      <c r="C843" s="84"/>
      <c r="D843" s="84"/>
      <c r="E843" s="84"/>
      <c r="F843" s="276"/>
      <c r="H843" s="275"/>
      <c r="I843" s="275"/>
      <c r="J843" s="275"/>
      <c r="K843" s="275"/>
      <c r="L843" s="275"/>
      <c r="M843" s="275"/>
      <c r="N843" s="260"/>
      <c r="O843" s="99"/>
      <c r="P843" s="99"/>
      <c r="Q843" s="99"/>
      <c r="R843" s="99"/>
      <c r="S843" s="99"/>
      <c r="T843" s="99"/>
      <c r="U843" s="99"/>
      <c r="V843" s="99"/>
      <c r="W843" s="99"/>
      <c r="X843" s="99"/>
      <c r="Y843" s="99"/>
      <c r="Z843" s="99"/>
      <c r="AB843" s="84"/>
      <c r="AC843" s="84"/>
      <c r="AD843" s="84"/>
      <c r="AE843" s="84"/>
      <c r="AF843" s="84"/>
      <c r="AG843" s="84"/>
      <c r="AH843" s="84"/>
      <c r="AI843" s="84"/>
    </row>
    <row r="844" ht="15.75" customHeight="1">
      <c r="A844" s="84"/>
      <c r="B844" s="84"/>
      <c r="C844" s="84"/>
      <c r="D844" s="84"/>
      <c r="E844" s="84"/>
      <c r="F844" s="276"/>
      <c r="H844" s="275"/>
      <c r="I844" s="275"/>
      <c r="J844" s="275"/>
      <c r="K844" s="275"/>
      <c r="L844" s="275"/>
      <c r="M844" s="275"/>
      <c r="N844" s="260"/>
      <c r="O844" s="99"/>
      <c r="P844" s="99"/>
      <c r="Q844" s="99"/>
      <c r="R844" s="99"/>
      <c r="S844" s="99"/>
      <c r="T844" s="99"/>
      <c r="U844" s="99"/>
      <c r="V844" s="99"/>
      <c r="W844" s="99"/>
      <c r="X844" s="99"/>
      <c r="Y844" s="99"/>
      <c r="Z844" s="99"/>
      <c r="AB844" s="84"/>
      <c r="AC844" s="84"/>
      <c r="AD844" s="84"/>
      <c r="AE844" s="84"/>
      <c r="AF844" s="84"/>
      <c r="AG844" s="84"/>
      <c r="AH844" s="84"/>
      <c r="AI844" s="84"/>
    </row>
    <row r="845" ht="15.75" customHeight="1">
      <c r="A845" s="84"/>
      <c r="B845" s="84"/>
      <c r="C845" s="84"/>
      <c r="D845" s="84"/>
      <c r="E845" s="84"/>
      <c r="F845" s="276"/>
      <c r="H845" s="275"/>
      <c r="I845" s="275"/>
      <c r="J845" s="275"/>
      <c r="K845" s="275"/>
      <c r="L845" s="275"/>
      <c r="M845" s="275"/>
      <c r="N845" s="260"/>
      <c r="O845" s="99"/>
      <c r="P845" s="99"/>
      <c r="Q845" s="99"/>
      <c r="R845" s="99"/>
      <c r="S845" s="99"/>
      <c r="T845" s="99"/>
      <c r="U845" s="99"/>
      <c r="V845" s="99"/>
      <c r="W845" s="99"/>
      <c r="X845" s="99"/>
      <c r="Y845" s="99"/>
      <c r="Z845" s="99"/>
      <c r="AB845" s="84"/>
      <c r="AC845" s="84"/>
      <c r="AD845" s="84"/>
      <c r="AE845" s="84"/>
      <c r="AF845" s="84"/>
      <c r="AG845" s="84"/>
      <c r="AH845" s="84"/>
      <c r="AI845" s="84"/>
    </row>
    <row r="846" ht="15.75" customHeight="1">
      <c r="A846" s="84"/>
      <c r="B846" s="84"/>
      <c r="C846" s="84"/>
      <c r="D846" s="84"/>
      <c r="E846" s="84"/>
      <c r="F846" s="276"/>
      <c r="H846" s="275"/>
      <c r="I846" s="275"/>
      <c r="J846" s="275"/>
      <c r="K846" s="275"/>
      <c r="L846" s="275"/>
      <c r="M846" s="275"/>
      <c r="N846" s="260"/>
      <c r="O846" s="99"/>
      <c r="P846" s="99"/>
      <c r="Q846" s="99"/>
      <c r="R846" s="99"/>
      <c r="S846" s="99"/>
      <c r="T846" s="99"/>
      <c r="U846" s="99"/>
      <c r="V846" s="99"/>
      <c r="W846" s="99"/>
      <c r="X846" s="99"/>
      <c r="Y846" s="99"/>
      <c r="Z846" s="99"/>
      <c r="AB846" s="84"/>
      <c r="AC846" s="84"/>
      <c r="AD846" s="84"/>
      <c r="AE846" s="84"/>
      <c r="AF846" s="84"/>
      <c r="AG846" s="84"/>
      <c r="AH846" s="84"/>
      <c r="AI846" s="84"/>
    </row>
    <row r="847" ht="15.75" customHeight="1">
      <c r="A847" s="84"/>
      <c r="B847" s="84"/>
      <c r="C847" s="84"/>
      <c r="D847" s="84"/>
      <c r="E847" s="84"/>
      <c r="F847" s="276"/>
      <c r="H847" s="275"/>
      <c r="I847" s="275"/>
      <c r="J847" s="275"/>
      <c r="K847" s="275"/>
      <c r="L847" s="275"/>
      <c r="M847" s="275"/>
      <c r="N847" s="260"/>
      <c r="O847" s="99"/>
      <c r="P847" s="99"/>
      <c r="Q847" s="99"/>
      <c r="R847" s="99"/>
      <c r="S847" s="99"/>
      <c r="T847" s="99"/>
      <c r="U847" s="99"/>
      <c r="V847" s="99"/>
      <c r="W847" s="99"/>
      <c r="X847" s="99"/>
      <c r="Y847" s="99"/>
      <c r="Z847" s="99"/>
      <c r="AB847" s="84"/>
      <c r="AC847" s="84"/>
      <c r="AD847" s="84"/>
      <c r="AE847" s="84"/>
      <c r="AF847" s="84"/>
      <c r="AG847" s="84"/>
      <c r="AH847" s="84"/>
      <c r="AI847" s="84"/>
    </row>
    <row r="848" ht="15.75" customHeight="1">
      <c r="A848" s="84"/>
      <c r="B848" s="84"/>
      <c r="C848" s="84"/>
      <c r="D848" s="84"/>
      <c r="E848" s="84"/>
      <c r="F848" s="276"/>
      <c r="H848" s="275"/>
      <c r="I848" s="275"/>
      <c r="J848" s="275"/>
      <c r="K848" s="275"/>
      <c r="L848" s="275"/>
      <c r="M848" s="275"/>
      <c r="N848" s="260"/>
      <c r="O848" s="99"/>
      <c r="P848" s="99"/>
      <c r="Q848" s="99"/>
      <c r="R848" s="99"/>
      <c r="S848" s="99"/>
      <c r="T848" s="99"/>
      <c r="U848" s="99"/>
      <c r="V848" s="99"/>
      <c r="W848" s="99"/>
      <c r="X848" s="99"/>
      <c r="Y848" s="99"/>
      <c r="Z848" s="99"/>
      <c r="AB848" s="84"/>
      <c r="AC848" s="84"/>
      <c r="AD848" s="84"/>
      <c r="AE848" s="84"/>
      <c r="AF848" s="84"/>
      <c r="AG848" s="84"/>
      <c r="AH848" s="84"/>
      <c r="AI848" s="84"/>
    </row>
    <row r="849" ht="15.75" customHeight="1">
      <c r="A849" s="84"/>
      <c r="B849" s="84"/>
      <c r="C849" s="84"/>
      <c r="D849" s="84"/>
      <c r="E849" s="84"/>
      <c r="F849" s="276"/>
      <c r="H849" s="275"/>
      <c r="I849" s="275"/>
      <c r="J849" s="275"/>
      <c r="K849" s="275"/>
      <c r="L849" s="275"/>
      <c r="M849" s="275"/>
      <c r="N849" s="260"/>
      <c r="O849" s="99"/>
      <c r="P849" s="99"/>
      <c r="Q849" s="99"/>
      <c r="R849" s="99"/>
      <c r="S849" s="99"/>
      <c r="T849" s="99"/>
      <c r="U849" s="99"/>
      <c r="V849" s="99"/>
      <c r="W849" s="99"/>
      <c r="X849" s="99"/>
      <c r="Y849" s="99"/>
      <c r="Z849" s="99"/>
      <c r="AB849" s="84"/>
      <c r="AC849" s="84"/>
      <c r="AD849" s="84"/>
      <c r="AE849" s="84"/>
      <c r="AF849" s="84"/>
      <c r="AG849" s="84"/>
      <c r="AH849" s="84"/>
      <c r="AI849" s="84"/>
    </row>
    <row r="850" ht="15.75" customHeight="1">
      <c r="A850" s="84"/>
      <c r="B850" s="84"/>
      <c r="C850" s="84"/>
      <c r="D850" s="84"/>
      <c r="E850" s="84"/>
      <c r="F850" s="276"/>
      <c r="H850" s="275"/>
      <c r="I850" s="275"/>
      <c r="J850" s="275"/>
      <c r="K850" s="275"/>
      <c r="L850" s="275"/>
      <c r="M850" s="275"/>
      <c r="N850" s="260"/>
      <c r="O850" s="99"/>
      <c r="P850" s="99"/>
      <c r="Q850" s="99"/>
      <c r="R850" s="99"/>
      <c r="S850" s="99"/>
      <c r="T850" s="99"/>
      <c r="U850" s="99"/>
      <c r="V850" s="99"/>
      <c r="W850" s="99"/>
      <c r="X850" s="99"/>
      <c r="Y850" s="99"/>
      <c r="Z850" s="99"/>
      <c r="AB850" s="84"/>
      <c r="AC850" s="84"/>
      <c r="AD850" s="84"/>
      <c r="AE850" s="84"/>
      <c r="AF850" s="84"/>
      <c r="AG850" s="84"/>
      <c r="AH850" s="84"/>
      <c r="AI850" s="84"/>
    </row>
    <row r="851" ht="15.75" customHeight="1">
      <c r="A851" s="84"/>
      <c r="B851" s="84"/>
      <c r="C851" s="84"/>
      <c r="D851" s="84"/>
      <c r="E851" s="84"/>
      <c r="F851" s="276"/>
      <c r="H851" s="275"/>
      <c r="I851" s="275"/>
      <c r="J851" s="275"/>
      <c r="K851" s="275"/>
      <c r="L851" s="275"/>
      <c r="M851" s="275"/>
      <c r="N851" s="260"/>
      <c r="O851" s="99"/>
      <c r="P851" s="99"/>
      <c r="Q851" s="99"/>
      <c r="R851" s="99"/>
      <c r="S851" s="99"/>
      <c r="T851" s="99"/>
      <c r="U851" s="99"/>
      <c r="V851" s="99"/>
      <c r="W851" s="99"/>
      <c r="X851" s="99"/>
      <c r="Y851" s="99"/>
      <c r="Z851" s="99"/>
      <c r="AB851" s="84"/>
      <c r="AC851" s="84"/>
      <c r="AD851" s="84"/>
      <c r="AE851" s="84"/>
      <c r="AF851" s="84"/>
      <c r="AG851" s="84"/>
      <c r="AH851" s="84"/>
      <c r="AI851" s="84"/>
    </row>
    <row r="852" ht="15.75" customHeight="1">
      <c r="A852" s="84"/>
      <c r="B852" s="84"/>
      <c r="C852" s="84"/>
      <c r="D852" s="84"/>
      <c r="E852" s="84"/>
      <c r="F852" s="276"/>
      <c r="H852" s="275"/>
      <c r="I852" s="275"/>
      <c r="J852" s="275"/>
      <c r="K852" s="275"/>
      <c r="L852" s="275"/>
      <c r="M852" s="275"/>
      <c r="N852" s="260"/>
      <c r="O852" s="99"/>
      <c r="P852" s="99"/>
      <c r="Q852" s="99"/>
      <c r="R852" s="99"/>
      <c r="S852" s="99"/>
      <c r="T852" s="99"/>
      <c r="U852" s="99"/>
      <c r="V852" s="99"/>
      <c r="W852" s="99"/>
      <c r="X852" s="99"/>
      <c r="Y852" s="99"/>
      <c r="Z852" s="99"/>
      <c r="AB852" s="84"/>
      <c r="AC852" s="84"/>
      <c r="AD852" s="84"/>
      <c r="AE852" s="84"/>
      <c r="AF852" s="84"/>
      <c r="AG852" s="84"/>
      <c r="AH852" s="84"/>
      <c r="AI852" s="84"/>
    </row>
    <row r="853" ht="15.75" customHeight="1">
      <c r="A853" s="84"/>
      <c r="B853" s="84"/>
      <c r="C853" s="84"/>
      <c r="D853" s="84"/>
      <c r="E853" s="84"/>
      <c r="F853" s="276"/>
      <c r="H853" s="275"/>
      <c r="I853" s="275"/>
      <c r="J853" s="275"/>
      <c r="K853" s="275"/>
      <c r="L853" s="275"/>
      <c r="M853" s="275"/>
      <c r="N853" s="260"/>
      <c r="O853" s="99"/>
      <c r="P853" s="99"/>
      <c r="Q853" s="99"/>
      <c r="R853" s="99"/>
      <c r="S853" s="99"/>
      <c r="T853" s="99"/>
      <c r="U853" s="99"/>
      <c r="V853" s="99"/>
      <c r="W853" s="99"/>
      <c r="X853" s="99"/>
      <c r="Y853" s="99"/>
      <c r="Z853" s="99"/>
      <c r="AB853" s="84"/>
      <c r="AC853" s="84"/>
      <c r="AD853" s="84"/>
      <c r="AE853" s="84"/>
      <c r="AF853" s="84"/>
      <c r="AG853" s="84"/>
      <c r="AH853" s="84"/>
      <c r="AI853" s="84"/>
    </row>
    <row r="854" ht="15.75" customHeight="1">
      <c r="A854" s="84"/>
      <c r="B854" s="84"/>
      <c r="C854" s="84"/>
      <c r="D854" s="84"/>
      <c r="E854" s="84"/>
      <c r="F854" s="276"/>
      <c r="H854" s="275"/>
      <c r="I854" s="275"/>
      <c r="J854" s="275"/>
      <c r="K854" s="275"/>
      <c r="L854" s="275"/>
      <c r="M854" s="275"/>
      <c r="N854" s="260"/>
      <c r="O854" s="99"/>
      <c r="P854" s="99"/>
      <c r="Q854" s="99"/>
      <c r="R854" s="99"/>
      <c r="S854" s="99"/>
      <c r="T854" s="99"/>
      <c r="U854" s="99"/>
      <c r="V854" s="99"/>
      <c r="W854" s="99"/>
      <c r="X854" s="99"/>
      <c r="Y854" s="99"/>
      <c r="Z854" s="99"/>
      <c r="AB854" s="84"/>
      <c r="AC854" s="84"/>
      <c r="AD854" s="84"/>
      <c r="AE854" s="84"/>
      <c r="AF854" s="84"/>
      <c r="AG854" s="84"/>
      <c r="AH854" s="84"/>
      <c r="AI854" s="84"/>
    </row>
    <row r="855" ht="15.75" customHeight="1">
      <c r="A855" s="84"/>
      <c r="B855" s="84"/>
      <c r="C855" s="84"/>
      <c r="D855" s="84"/>
      <c r="E855" s="84"/>
      <c r="F855" s="276"/>
      <c r="H855" s="275"/>
      <c r="I855" s="275"/>
      <c r="J855" s="275"/>
      <c r="K855" s="275"/>
      <c r="L855" s="275"/>
      <c r="M855" s="275"/>
      <c r="N855" s="260"/>
      <c r="O855" s="99"/>
      <c r="P855" s="99"/>
      <c r="Q855" s="99"/>
      <c r="R855" s="99"/>
      <c r="S855" s="99"/>
      <c r="T855" s="99"/>
      <c r="U855" s="99"/>
      <c r="V855" s="99"/>
      <c r="W855" s="99"/>
      <c r="X855" s="99"/>
      <c r="Y855" s="99"/>
      <c r="Z855" s="99"/>
      <c r="AB855" s="84"/>
      <c r="AC855" s="84"/>
      <c r="AD855" s="84"/>
      <c r="AE855" s="84"/>
      <c r="AF855" s="84"/>
      <c r="AG855" s="84"/>
      <c r="AH855" s="84"/>
      <c r="AI855" s="84"/>
    </row>
    <row r="856" ht="15.75" customHeight="1">
      <c r="A856" s="84"/>
      <c r="B856" s="84"/>
      <c r="C856" s="84"/>
      <c r="D856" s="84"/>
      <c r="E856" s="84"/>
      <c r="F856" s="276"/>
      <c r="H856" s="275"/>
      <c r="I856" s="275"/>
      <c r="J856" s="275"/>
      <c r="K856" s="275"/>
      <c r="L856" s="275"/>
      <c r="M856" s="275"/>
      <c r="N856" s="260"/>
      <c r="O856" s="99"/>
      <c r="P856" s="99"/>
      <c r="Q856" s="99"/>
      <c r="R856" s="99"/>
      <c r="S856" s="99"/>
      <c r="T856" s="99"/>
      <c r="U856" s="99"/>
      <c r="V856" s="99"/>
      <c r="W856" s="99"/>
      <c r="X856" s="99"/>
      <c r="Y856" s="99"/>
      <c r="Z856" s="99"/>
      <c r="AB856" s="84"/>
      <c r="AC856" s="84"/>
      <c r="AD856" s="84"/>
      <c r="AE856" s="84"/>
      <c r="AF856" s="84"/>
      <c r="AG856" s="84"/>
      <c r="AH856" s="84"/>
      <c r="AI856" s="84"/>
    </row>
    <row r="857" ht="15.75" customHeight="1">
      <c r="A857" s="84"/>
      <c r="B857" s="84"/>
      <c r="C857" s="84"/>
      <c r="D857" s="84"/>
      <c r="E857" s="84"/>
      <c r="F857" s="276"/>
      <c r="H857" s="275"/>
      <c r="I857" s="275"/>
      <c r="J857" s="275"/>
      <c r="K857" s="275"/>
      <c r="L857" s="275"/>
      <c r="M857" s="275"/>
      <c r="N857" s="260"/>
      <c r="O857" s="99"/>
      <c r="P857" s="99"/>
      <c r="Q857" s="99"/>
      <c r="R857" s="99"/>
      <c r="S857" s="99"/>
      <c r="T857" s="99"/>
      <c r="U857" s="99"/>
      <c r="V857" s="99"/>
      <c r="W857" s="99"/>
      <c r="X857" s="99"/>
      <c r="Y857" s="99"/>
      <c r="Z857" s="99"/>
      <c r="AB857" s="84"/>
      <c r="AC857" s="84"/>
      <c r="AD857" s="84"/>
      <c r="AE857" s="84"/>
      <c r="AF857" s="84"/>
      <c r="AG857" s="84"/>
      <c r="AH857" s="84"/>
      <c r="AI857" s="84"/>
    </row>
    <row r="858" ht="15.75" customHeight="1">
      <c r="A858" s="84"/>
      <c r="B858" s="84"/>
      <c r="C858" s="84"/>
      <c r="D858" s="84"/>
      <c r="E858" s="84"/>
      <c r="F858" s="276"/>
      <c r="H858" s="275"/>
      <c r="I858" s="275"/>
      <c r="J858" s="275"/>
      <c r="K858" s="275"/>
      <c r="L858" s="275"/>
      <c r="M858" s="275"/>
      <c r="N858" s="260"/>
      <c r="O858" s="99"/>
      <c r="P858" s="99"/>
      <c r="Q858" s="99"/>
      <c r="R858" s="99"/>
      <c r="S858" s="99"/>
      <c r="T858" s="99"/>
      <c r="U858" s="99"/>
      <c r="V858" s="99"/>
      <c r="W858" s="99"/>
      <c r="X858" s="99"/>
      <c r="Y858" s="99"/>
      <c r="Z858" s="99"/>
      <c r="AB858" s="84"/>
      <c r="AC858" s="84"/>
      <c r="AD858" s="84"/>
      <c r="AE858" s="84"/>
      <c r="AF858" s="84"/>
      <c r="AG858" s="84"/>
      <c r="AH858" s="84"/>
      <c r="AI858" s="84"/>
    </row>
    <row r="859" ht="15.75" customHeight="1">
      <c r="A859" s="84"/>
      <c r="B859" s="84"/>
      <c r="C859" s="84"/>
      <c r="D859" s="84"/>
      <c r="E859" s="84"/>
      <c r="F859" s="276"/>
      <c r="H859" s="275"/>
      <c r="I859" s="275"/>
      <c r="J859" s="275"/>
      <c r="K859" s="275"/>
      <c r="L859" s="275"/>
      <c r="M859" s="275"/>
      <c r="N859" s="260"/>
      <c r="O859" s="99"/>
      <c r="P859" s="99"/>
      <c r="Q859" s="99"/>
      <c r="R859" s="99"/>
      <c r="S859" s="99"/>
      <c r="T859" s="99"/>
      <c r="U859" s="99"/>
      <c r="V859" s="99"/>
      <c r="W859" s="99"/>
      <c r="X859" s="99"/>
      <c r="Y859" s="99"/>
      <c r="Z859" s="99"/>
      <c r="AB859" s="84"/>
      <c r="AC859" s="84"/>
      <c r="AD859" s="84"/>
      <c r="AE859" s="84"/>
      <c r="AF859" s="84"/>
      <c r="AG859" s="84"/>
      <c r="AH859" s="84"/>
      <c r="AI859" s="84"/>
    </row>
    <row r="860" ht="15.75" customHeight="1">
      <c r="A860" s="84"/>
      <c r="B860" s="84"/>
      <c r="C860" s="84"/>
      <c r="D860" s="84"/>
      <c r="E860" s="84"/>
      <c r="F860" s="276"/>
      <c r="H860" s="275"/>
      <c r="I860" s="275"/>
      <c r="J860" s="275"/>
      <c r="K860" s="275"/>
      <c r="L860" s="275"/>
      <c r="M860" s="275"/>
      <c r="N860" s="260"/>
      <c r="O860" s="99"/>
      <c r="P860" s="99"/>
      <c r="Q860" s="99"/>
      <c r="R860" s="99"/>
      <c r="S860" s="99"/>
      <c r="T860" s="99"/>
      <c r="U860" s="99"/>
      <c r="V860" s="99"/>
      <c r="W860" s="99"/>
      <c r="X860" s="99"/>
      <c r="Y860" s="99"/>
      <c r="Z860" s="99"/>
      <c r="AB860" s="84"/>
      <c r="AC860" s="84"/>
      <c r="AD860" s="84"/>
      <c r="AE860" s="84"/>
      <c r="AF860" s="84"/>
      <c r="AG860" s="84"/>
      <c r="AH860" s="84"/>
      <c r="AI860" s="84"/>
    </row>
    <row r="861" ht="15.75" customHeight="1">
      <c r="A861" s="84"/>
      <c r="B861" s="84"/>
      <c r="C861" s="84"/>
      <c r="D861" s="84"/>
      <c r="E861" s="84"/>
      <c r="F861" s="276"/>
      <c r="H861" s="275"/>
      <c r="I861" s="275"/>
      <c r="J861" s="275"/>
      <c r="K861" s="275"/>
      <c r="L861" s="275"/>
      <c r="M861" s="275"/>
      <c r="N861" s="260"/>
      <c r="O861" s="99"/>
      <c r="P861" s="99"/>
      <c r="Q861" s="99"/>
      <c r="R861" s="99"/>
      <c r="S861" s="99"/>
      <c r="T861" s="99"/>
      <c r="U861" s="99"/>
      <c r="V861" s="99"/>
      <c r="W861" s="99"/>
      <c r="X861" s="99"/>
      <c r="Y861" s="99"/>
      <c r="Z861" s="99"/>
      <c r="AB861" s="84"/>
      <c r="AC861" s="84"/>
      <c r="AD861" s="84"/>
      <c r="AE861" s="84"/>
      <c r="AF861" s="84"/>
      <c r="AG861" s="84"/>
      <c r="AH861" s="84"/>
      <c r="AI861" s="84"/>
    </row>
    <row r="862" ht="15.75" customHeight="1">
      <c r="A862" s="84"/>
      <c r="B862" s="84"/>
      <c r="C862" s="84"/>
      <c r="D862" s="84"/>
      <c r="E862" s="84"/>
      <c r="F862" s="276"/>
      <c r="H862" s="275"/>
      <c r="I862" s="275"/>
      <c r="J862" s="275"/>
      <c r="K862" s="275"/>
      <c r="L862" s="275"/>
      <c r="M862" s="275"/>
      <c r="N862" s="260"/>
      <c r="O862" s="99"/>
      <c r="P862" s="99"/>
      <c r="Q862" s="99"/>
      <c r="R862" s="99"/>
      <c r="S862" s="99"/>
      <c r="T862" s="99"/>
      <c r="U862" s="99"/>
      <c r="V862" s="99"/>
      <c r="W862" s="99"/>
      <c r="X862" s="99"/>
      <c r="Y862" s="99"/>
      <c r="Z862" s="99"/>
      <c r="AB862" s="84"/>
      <c r="AC862" s="84"/>
      <c r="AD862" s="84"/>
      <c r="AE862" s="84"/>
      <c r="AF862" s="84"/>
      <c r="AG862" s="84"/>
      <c r="AH862" s="84"/>
      <c r="AI862" s="84"/>
    </row>
    <row r="863" ht="15.75" customHeight="1">
      <c r="A863" s="84"/>
      <c r="B863" s="84"/>
      <c r="C863" s="84"/>
      <c r="D863" s="84"/>
      <c r="E863" s="84"/>
      <c r="F863" s="276"/>
      <c r="H863" s="275"/>
      <c r="I863" s="275"/>
      <c r="J863" s="275"/>
      <c r="K863" s="275"/>
      <c r="L863" s="275"/>
      <c r="M863" s="275"/>
      <c r="N863" s="260"/>
      <c r="O863" s="99"/>
      <c r="P863" s="99"/>
      <c r="Q863" s="99"/>
      <c r="R863" s="99"/>
      <c r="S863" s="99"/>
      <c r="T863" s="99"/>
      <c r="U863" s="99"/>
      <c r="V863" s="99"/>
      <c r="W863" s="99"/>
      <c r="X863" s="99"/>
      <c r="Y863" s="99"/>
      <c r="Z863" s="99"/>
      <c r="AB863" s="84"/>
      <c r="AC863" s="84"/>
      <c r="AD863" s="84"/>
      <c r="AE863" s="84"/>
      <c r="AF863" s="84"/>
      <c r="AG863" s="84"/>
      <c r="AH863" s="84"/>
      <c r="AI863" s="84"/>
    </row>
    <row r="864" ht="15.75" customHeight="1">
      <c r="A864" s="84"/>
      <c r="B864" s="84"/>
      <c r="C864" s="84"/>
      <c r="D864" s="84"/>
      <c r="E864" s="84"/>
      <c r="F864" s="276"/>
      <c r="H864" s="275"/>
      <c r="I864" s="275"/>
      <c r="J864" s="275"/>
      <c r="K864" s="275"/>
      <c r="L864" s="275"/>
      <c r="M864" s="275"/>
      <c r="N864" s="260"/>
      <c r="O864" s="99"/>
      <c r="P864" s="99"/>
      <c r="Q864" s="99"/>
      <c r="R864" s="99"/>
      <c r="S864" s="99"/>
      <c r="T864" s="99"/>
      <c r="U864" s="99"/>
      <c r="V864" s="99"/>
      <c r="W864" s="99"/>
      <c r="X864" s="99"/>
      <c r="Y864" s="99"/>
      <c r="Z864" s="99"/>
      <c r="AB864" s="84"/>
      <c r="AC864" s="84"/>
      <c r="AD864" s="84"/>
      <c r="AE864" s="84"/>
      <c r="AF864" s="84"/>
      <c r="AG864" s="84"/>
      <c r="AH864" s="84"/>
      <c r="AI864" s="84"/>
    </row>
    <row r="865" ht="15.75" customHeight="1">
      <c r="A865" s="84"/>
      <c r="B865" s="84"/>
      <c r="C865" s="84"/>
      <c r="D865" s="84"/>
      <c r="E865" s="84"/>
      <c r="F865" s="276"/>
      <c r="H865" s="275"/>
      <c r="I865" s="275"/>
      <c r="J865" s="275"/>
      <c r="K865" s="275"/>
      <c r="L865" s="275"/>
      <c r="M865" s="275"/>
      <c r="N865" s="260"/>
      <c r="O865" s="99"/>
      <c r="P865" s="99"/>
      <c r="Q865" s="99"/>
      <c r="R865" s="99"/>
      <c r="S865" s="99"/>
      <c r="T865" s="99"/>
      <c r="U865" s="99"/>
      <c r="V865" s="99"/>
      <c r="W865" s="99"/>
      <c r="X865" s="99"/>
      <c r="Y865" s="99"/>
      <c r="Z865" s="99"/>
      <c r="AB865" s="84"/>
      <c r="AC865" s="84"/>
      <c r="AD865" s="84"/>
      <c r="AE865" s="84"/>
      <c r="AF865" s="84"/>
      <c r="AG865" s="84"/>
      <c r="AH865" s="84"/>
      <c r="AI865" s="84"/>
    </row>
    <row r="866" ht="15.75" customHeight="1">
      <c r="A866" s="84"/>
      <c r="B866" s="84"/>
      <c r="C866" s="84"/>
      <c r="D866" s="84"/>
      <c r="E866" s="84"/>
      <c r="F866" s="276"/>
      <c r="H866" s="275"/>
      <c r="I866" s="275"/>
      <c r="J866" s="275"/>
      <c r="K866" s="275"/>
      <c r="L866" s="275"/>
      <c r="M866" s="275"/>
      <c r="N866" s="260"/>
      <c r="O866" s="99"/>
      <c r="P866" s="99"/>
      <c r="Q866" s="99"/>
      <c r="R866" s="99"/>
      <c r="S866" s="99"/>
      <c r="T866" s="99"/>
      <c r="U866" s="99"/>
      <c r="V866" s="99"/>
      <c r="W866" s="99"/>
      <c r="X866" s="99"/>
      <c r="Y866" s="99"/>
      <c r="Z866" s="99"/>
      <c r="AB866" s="84"/>
      <c r="AC866" s="84"/>
      <c r="AD866" s="84"/>
      <c r="AE866" s="84"/>
      <c r="AF866" s="84"/>
      <c r="AG866" s="84"/>
      <c r="AH866" s="84"/>
      <c r="AI866" s="84"/>
    </row>
    <row r="867" ht="15.75" customHeight="1">
      <c r="A867" s="84"/>
      <c r="B867" s="84"/>
      <c r="C867" s="84"/>
      <c r="D867" s="84"/>
      <c r="E867" s="84"/>
      <c r="F867" s="276"/>
      <c r="H867" s="275"/>
      <c r="I867" s="275"/>
      <c r="J867" s="275"/>
      <c r="K867" s="275"/>
      <c r="L867" s="275"/>
      <c r="M867" s="275"/>
      <c r="N867" s="260"/>
      <c r="O867" s="99"/>
      <c r="P867" s="99"/>
      <c r="Q867" s="99"/>
      <c r="R867" s="99"/>
      <c r="S867" s="99"/>
      <c r="T867" s="99"/>
      <c r="U867" s="99"/>
      <c r="V867" s="99"/>
      <c r="W867" s="99"/>
      <c r="X867" s="99"/>
      <c r="Y867" s="99"/>
      <c r="Z867" s="99"/>
      <c r="AB867" s="84"/>
      <c r="AC867" s="84"/>
      <c r="AD867" s="84"/>
      <c r="AE867" s="84"/>
      <c r="AF867" s="84"/>
      <c r="AG867" s="84"/>
      <c r="AH867" s="84"/>
      <c r="AI867" s="84"/>
    </row>
    <row r="868" ht="15.75" customHeight="1">
      <c r="A868" s="84"/>
      <c r="B868" s="84"/>
      <c r="C868" s="84"/>
      <c r="D868" s="84"/>
      <c r="E868" s="84"/>
      <c r="F868" s="276"/>
      <c r="H868" s="275"/>
      <c r="I868" s="275"/>
      <c r="J868" s="275"/>
      <c r="K868" s="275"/>
      <c r="L868" s="275"/>
      <c r="M868" s="275"/>
      <c r="N868" s="260"/>
      <c r="O868" s="99"/>
      <c r="P868" s="99"/>
      <c r="Q868" s="99"/>
      <c r="R868" s="99"/>
      <c r="S868" s="99"/>
      <c r="T868" s="99"/>
      <c r="U868" s="99"/>
      <c r="V868" s="99"/>
      <c r="W868" s="99"/>
      <c r="X868" s="99"/>
      <c r="Y868" s="99"/>
      <c r="Z868" s="99"/>
      <c r="AB868" s="84"/>
      <c r="AC868" s="84"/>
      <c r="AD868" s="84"/>
      <c r="AE868" s="84"/>
      <c r="AF868" s="84"/>
      <c r="AG868" s="84"/>
      <c r="AH868" s="84"/>
      <c r="AI868" s="84"/>
    </row>
    <row r="869" ht="15.75" customHeight="1">
      <c r="A869" s="84"/>
      <c r="B869" s="84"/>
      <c r="C869" s="84"/>
      <c r="D869" s="84"/>
      <c r="E869" s="84"/>
      <c r="F869" s="276"/>
      <c r="H869" s="275"/>
      <c r="I869" s="275"/>
      <c r="J869" s="275"/>
      <c r="K869" s="275"/>
      <c r="L869" s="275"/>
      <c r="M869" s="275"/>
      <c r="N869" s="260"/>
      <c r="O869" s="99"/>
      <c r="P869" s="99"/>
      <c r="Q869" s="99"/>
      <c r="R869" s="99"/>
      <c r="S869" s="99"/>
      <c r="T869" s="99"/>
      <c r="U869" s="99"/>
      <c r="V869" s="99"/>
      <c r="W869" s="99"/>
      <c r="X869" s="99"/>
      <c r="Y869" s="99"/>
      <c r="Z869" s="99"/>
      <c r="AB869" s="84"/>
      <c r="AC869" s="84"/>
      <c r="AD869" s="84"/>
      <c r="AE869" s="84"/>
      <c r="AF869" s="84"/>
      <c r="AG869" s="84"/>
      <c r="AH869" s="84"/>
      <c r="AI869" s="84"/>
    </row>
    <row r="870" ht="15.75" customHeight="1">
      <c r="A870" s="84"/>
      <c r="B870" s="84"/>
      <c r="C870" s="84"/>
      <c r="D870" s="84"/>
      <c r="E870" s="84"/>
      <c r="F870" s="276"/>
      <c r="H870" s="275"/>
      <c r="I870" s="275"/>
      <c r="J870" s="275"/>
      <c r="K870" s="275"/>
      <c r="L870" s="275"/>
      <c r="M870" s="275"/>
      <c r="N870" s="260"/>
      <c r="O870" s="99"/>
      <c r="P870" s="99"/>
      <c r="Q870" s="99"/>
      <c r="R870" s="99"/>
      <c r="S870" s="99"/>
      <c r="T870" s="99"/>
      <c r="U870" s="99"/>
      <c r="V870" s="99"/>
      <c r="W870" s="99"/>
      <c r="X870" s="99"/>
      <c r="Y870" s="99"/>
      <c r="Z870" s="99"/>
      <c r="AB870" s="84"/>
      <c r="AC870" s="84"/>
      <c r="AD870" s="84"/>
      <c r="AE870" s="84"/>
      <c r="AF870" s="84"/>
      <c r="AG870" s="84"/>
      <c r="AH870" s="84"/>
      <c r="AI870" s="84"/>
    </row>
    <row r="871" ht="15.75" customHeight="1">
      <c r="A871" s="84"/>
      <c r="B871" s="84"/>
      <c r="C871" s="84"/>
      <c r="D871" s="84"/>
      <c r="E871" s="84"/>
      <c r="F871" s="276"/>
      <c r="H871" s="275"/>
      <c r="I871" s="275"/>
      <c r="J871" s="275"/>
      <c r="K871" s="275"/>
      <c r="L871" s="275"/>
      <c r="M871" s="275"/>
      <c r="N871" s="260"/>
      <c r="O871" s="99"/>
      <c r="P871" s="99"/>
      <c r="Q871" s="99"/>
      <c r="R871" s="99"/>
      <c r="S871" s="99"/>
      <c r="T871" s="99"/>
      <c r="U871" s="99"/>
      <c r="V871" s="99"/>
      <c r="W871" s="99"/>
      <c r="X871" s="99"/>
      <c r="Y871" s="99"/>
      <c r="Z871" s="99"/>
      <c r="AB871" s="84"/>
      <c r="AC871" s="84"/>
      <c r="AD871" s="84"/>
      <c r="AE871" s="84"/>
      <c r="AF871" s="84"/>
      <c r="AG871" s="84"/>
      <c r="AH871" s="84"/>
      <c r="AI871" s="84"/>
    </row>
    <row r="872" ht="15.75" customHeight="1">
      <c r="A872" s="84"/>
      <c r="B872" s="84"/>
      <c r="C872" s="84"/>
      <c r="D872" s="84"/>
      <c r="E872" s="84"/>
      <c r="F872" s="276"/>
      <c r="H872" s="275"/>
      <c r="I872" s="275"/>
      <c r="J872" s="275"/>
      <c r="K872" s="275"/>
      <c r="L872" s="275"/>
      <c r="M872" s="275"/>
      <c r="N872" s="260"/>
      <c r="O872" s="99"/>
      <c r="P872" s="99"/>
      <c r="Q872" s="99"/>
      <c r="R872" s="99"/>
      <c r="S872" s="99"/>
      <c r="T872" s="99"/>
      <c r="U872" s="99"/>
      <c r="V872" s="99"/>
      <c r="W872" s="99"/>
      <c r="X872" s="99"/>
      <c r="Y872" s="99"/>
      <c r="Z872" s="99"/>
      <c r="AB872" s="84"/>
      <c r="AC872" s="84"/>
      <c r="AD872" s="84"/>
      <c r="AE872" s="84"/>
      <c r="AF872" s="84"/>
      <c r="AG872" s="84"/>
      <c r="AH872" s="84"/>
      <c r="AI872" s="84"/>
    </row>
    <row r="873" ht="15.75" customHeight="1">
      <c r="A873" s="84"/>
      <c r="B873" s="84"/>
      <c r="C873" s="84"/>
      <c r="D873" s="84"/>
      <c r="E873" s="84"/>
      <c r="F873" s="276"/>
      <c r="H873" s="275"/>
      <c r="I873" s="275"/>
      <c r="J873" s="275"/>
      <c r="K873" s="275"/>
      <c r="L873" s="275"/>
      <c r="M873" s="275"/>
      <c r="N873" s="260"/>
      <c r="O873" s="99"/>
      <c r="P873" s="99"/>
      <c r="Q873" s="99"/>
      <c r="R873" s="99"/>
      <c r="S873" s="99"/>
      <c r="T873" s="99"/>
      <c r="U873" s="99"/>
      <c r="V873" s="99"/>
      <c r="W873" s="99"/>
      <c r="X873" s="99"/>
      <c r="Y873" s="99"/>
      <c r="Z873" s="99"/>
      <c r="AB873" s="84"/>
      <c r="AC873" s="84"/>
      <c r="AD873" s="84"/>
      <c r="AE873" s="84"/>
      <c r="AF873" s="84"/>
      <c r="AG873" s="84"/>
      <c r="AH873" s="84"/>
      <c r="AI873" s="84"/>
    </row>
    <row r="874" ht="15.75" customHeight="1">
      <c r="A874" s="84"/>
      <c r="B874" s="84"/>
      <c r="C874" s="84"/>
      <c r="D874" s="84"/>
      <c r="E874" s="84"/>
      <c r="F874" s="276"/>
      <c r="H874" s="275"/>
      <c r="I874" s="275"/>
      <c r="J874" s="275"/>
      <c r="K874" s="275"/>
      <c r="L874" s="275"/>
      <c r="M874" s="275"/>
      <c r="N874" s="260"/>
      <c r="O874" s="99"/>
      <c r="P874" s="99"/>
      <c r="Q874" s="99"/>
      <c r="R874" s="99"/>
      <c r="S874" s="99"/>
      <c r="T874" s="99"/>
      <c r="U874" s="99"/>
      <c r="V874" s="99"/>
      <c r="W874" s="99"/>
      <c r="X874" s="99"/>
      <c r="Y874" s="99"/>
      <c r="Z874" s="99"/>
      <c r="AB874" s="84"/>
      <c r="AC874" s="84"/>
      <c r="AD874" s="84"/>
      <c r="AE874" s="84"/>
      <c r="AF874" s="84"/>
      <c r="AG874" s="84"/>
      <c r="AH874" s="84"/>
      <c r="AI874" s="84"/>
    </row>
    <row r="875" ht="15.75" customHeight="1">
      <c r="A875" s="84"/>
      <c r="B875" s="84"/>
      <c r="C875" s="84"/>
      <c r="D875" s="84"/>
      <c r="E875" s="84"/>
      <c r="F875" s="276"/>
      <c r="H875" s="275"/>
      <c r="I875" s="275"/>
      <c r="J875" s="275"/>
      <c r="K875" s="275"/>
      <c r="L875" s="275"/>
      <c r="M875" s="275"/>
      <c r="N875" s="260"/>
      <c r="O875" s="99"/>
      <c r="P875" s="99"/>
      <c r="Q875" s="99"/>
      <c r="R875" s="99"/>
      <c r="S875" s="99"/>
      <c r="T875" s="99"/>
      <c r="U875" s="99"/>
      <c r="V875" s="99"/>
      <c r="W875" s="99"/>
      <c r="X875" s="99"/>
      <c r="Y875" s="99"/>
      <c r="Z875" s="99"/>
      <c r="AB875" s="84"/>
      <c r="AC875" s="84"/>
      <c r="AD875" s="84"/>
      <c r="AE875" s="84"/>
      <c r="AF875" s="84"/>
      <c r="AG875" s="84"/>
      <c r="AH875" s="84"/>
      <c r="AI875" s="84"/>
    </row>
    <row r="876" ht="15.75" customHeight="1">
      <c r="A876" s="84"/>
      <c r="B876" s="84"/>
      <c r="C876" s="84"/>
      <c r="D876" s="84"/>
      <c r="E876" s="84"/>
      <c r="F876" s="276"/>
      <c r="H876" s="275"/>
      <c r="I876" s="275"/>
      <c r="J876" s="275"/>
      <c r="K876" s="275"/>
      <c r="L876" s="275"/>
      <c r="M876" s="275"/>
      <c r="N876" s="260"/>
      <c r="O876" s="99"/>
      <c r="P876" s="99"/>
      <c r="Q876" s="99"/>
      <c r="R876" s="99"/>
      <c r="S876" s="99"/>
      <c r="T876" s="99"/>
      <c r="U876" s="99"/>
      <c r="V876" s="99"/>
      <c r="W876" s="99"/>
      <c r="X876" s="99"/>
      <c r="Y876" s="99"/>
      <c r="Z876" s="99"/>
      <c r="AB876" s="84"/>
      <c r="AC876" s="84"/>
      <c r="AD876" s="84"/>
      <c r="AE876" s="84"/>
      <c r="AF876" s="84"/>
      <c r="AG876" s="84"/>
      <c r="AH876" s="84"/>
      <c r="AI876" s="84"/>
    </row>
    <row r="877" ht="15.75" customHeight="1">
      <c r="A877" s="84"/>
      <c r="B877" s="84"/>
      <c r="C877" s="84"/>
      <c r="D877" s="84"/>
      <c r="E877" s="84"/>
      <c r="F877" s="276"/>
      <c r="H877" s="275"/>
      <c r="I877" s="275"/>
      <c r="J877" s="275"/>
      <c r="K877" s="275"/>
      <c r="L877" s="275"/>
      <c r="M877" s="275"/>
      <c r="N877" s="260"/>
      <c r="O877" s="99"/>
      <c r="P877" s="99"/>
      <c r="Q877" s="99"/>
      <c r="R877" s="99"/>
      <c r="S877" s="99"/>
      <c r="T877" s="99"/>
      <c r="U877" s="99"/>
      <c r="V877" s="99"/>
      <c r="W877" s="99"/>
      <c r="X877" s="99"/>
      <c r="Y877" s="99"/>
      <c r="Z877" s="99"/>
      <c r="AB877" s="84"/>
      <c r="AC877" s="84"/>
      <c r="AD877" s="84"/>
      <c r="AE877" s="84"/>
      <c r="AF877" s="84"/>
      <c r="AG877" s="84"/>
      <c r="AH877" s="84"/>
      <c r="AI877" s="84"/>
    </row>
    <row r="878" ht="15.75" customHeight="1">
      <c r="A878" s="84"/>
      <c r="B878" s="84"/>
      <c r="C878" s="84"/>
      <c r="D878" s="84"/>
      <c r="E878" s="84"/>
      <c r="F878" s="276"/>
      <c r="H878" s="275"/>
      <c r="I878" s="275"/>
      <c r="J878" s="275"/>
      <c r="K878" s="275"/>
      <c r="L878" s="275"/>
      <c r="M878" s="275"/>
      <c r="N878" s="260"/>
      <c r="O878" s="99"/>
      <c r="P878" s="99"/>
      <c r="Q878" s="99"/>
      <c r="R878" s="99"/>
      <c r="S878" s="99"/>
      <c r="T878" s="99"/>
      <c r="U878" s="99"/>
      <c r="V878" s="99"/>
      <c r="W878" s="99"/>
      <c r="X878" s="99"/>
      <c r="Y878" s="99"/>
      <c r="Z878" s="99"/>
      <c r="AB878" s="84"/>
      <c r="AC878" s="84"/>
      <c r="AD878" s="84"/>
      <c r="AE878" s="84"/>
      <c r="AF878" s="84"/>
      <c r="AG878" s="84"/>
      <c r="AH878" s="84"/>
      <c r="AI878" s="84"/>
    </row>
    <row r="879" ht="15.75" customHeight="1">
      <c r="A879" s="84"/>
      <c r="B879" s="84"/>
      <c r="C879" s="84"/>
      <c r="D879" s="84"/>
      <c r="E879" s="84"/>
      <c r="F879" s="276"/>
      <c r="H879" s="275"/>
      <c r="I879" s="275"/>
      <c r="J879" s="275"/>
      <c r="K879" s="275"/>
      <c r="L879" s="275"/>
      <c r="M879" s="275"/>
      <c r="N879" s="260"/>
      <c r="O879" s="99"/>
      <c r="P879" s="99"/>
      <c r="Q879" s="99"/>
      <c r="R879" s="99"/>
      <c r="S879" s="99"/>
      <c r="T879" s="99"/>
      <c r="U879" s="99"/>
      <c r="V879" s="99"/>
      <c r="W879" s="99"/>
      <c r="X879" s="99"/>
      <c r="Y879" s="99"/>
      <c r="Z879" s="99"/>
      <c r="AB879" s="84"/>
      <c r="AC879" s="84"/>
      <c r="AD879" s="84"/>
      <c r="AE879" s="84"/>
      <c r="AF879" s="84"/>
      <c r="AG879" s="84"/>
      <c r="AH879" s="84"/>
      <c r="AI879" s="84"/>
    </row>
    <row r="880" ht="15.75" customHeight="1">
      <c r="A880" s="84"/>
      <c r="B880" s="84"/>
      <c r="C880" s="84"/>
      <c r="D880" s="84"/>
      <c r="E880" s="84"/>
      <c r="F880" s="276"/>
      <c r="H880" s="275"/>
      <c r="I880" s="275"/>
      <c r="J880" s="275"/>
      <c r="K880" s="275"/>
      <c r="L880" s="275"/>
      <c r="M880" s="275"/>
      <c r="N880" s="260"/>
      <c r="O880" s="99"/>
      <c r="P880" s="99"/>
      <c r="Q880" s="99"/>
      <c r="R880" s="99"/>
      <c r="S880" s="99"/>
      <c r="T880" s="99"/>
      <c r="U880" s="99"/>
      <c r="V880" s="99"/>
      <c r="W880" s="99"/>
      <c r="X880" s="99"/>
      <c r="Y880" s="99"/>
      <c r="Z880" s="99"/>
      <c r="AB880" s="84"/>
      <c r="AC880" s="84"/>
      <c r="AD880" s="84"/>
      <c r="AE880" s="84"/>
      <c r="AF880" s="84"/>
      <c r="AG880" s="84"/>
      <c r="AH880" s="84"/>
      <c r="AI880" s="84"/>
    </row>
    <row r="881" ht="15.75" customHeight="1">
      <c r="A881" s="84"/>
      <c r="B881" s="84"/>
      <c r="C881" s="84"/>
      <c r="D881" s="84"/>
      <c r="E881" s="84"/>
      <c r="F881" s="276"/>
      <c r="H881" s="275"/>
      <c r="I881" s="275"/>
      <c r="J881" s="275"/>
      <c r="K881" s="275"/>
      <c r="L881" s="275"/>
      <c r="M881" s="275"/>
      <c r="N881" s="260"/>
      <c r="O881" s="99"/>
      <c r="P881" s="99"/>
      <c r="Q881" s="99"/>
      <c r="R881" s="99"/>
      <c r="S881" s="99"/>
      <c r="T881" s="99"/>
      <c r="U881" s="99"/>
      <c r="V881" s="99"/>
      <c r="W881" s="99"/>
      <c r="X881" s="99"/>
      <c r="Y881" s="99"/>
      <c r="Z881" s="99"/>
      <c r="AB881" s="84"/>
      <c r="AC881" s="84"/>
      <c r="AD881" s="84"/>
      <c r="AE881" s="84"/>
      <c r="AF881" s="84"/>
      <c r="AG881" s="84"/>
      <c r="AH881" s="84"/>
      <c r="AI881" s="84"/>
    </row>
    <row r="882" ht="15.75" customHeight="1">
      <c r="A882" s="84"/>
      <c r="B882" s="84"/>
      <c r="C882" s="84"/>
      <c r="D882" s="84"/>
      <c r="E882" s="84"/>
      <c r="F882" s="276"/>
      <c r="H882" s="275"/>
      <c r="I882" s="275"/>
      <c r="J882" s="275"/>
      <c r="K882" s="275"/>
      <c r="L882" s="275"/>
      <c r="M882" s="275"/>
      <c r="N882" s="260"/>
      <c r="O882" s="99"/>
      <c r="P882" s="99"/>
      <c r="Q882" s="99"/>
      <c r="R882" s="99"/>
      <c r="S882" s="99"/>
      <c r="T882" s="99"/>
      <c r="U882" s="99"/>
      <c r="V882" s="99"/>
      <c r="W882" s="99"/>
      <c r="X882" s="99"/>
      <c r="Y882" s="99"/>
      <c r="Z882" s="99"/>
      <c r="AB882" s="84"/>
      <c r="AC882" s="84"/>
      <c r="AD882" s="84"/>
      <c r="AE882" s="84"/>
      <c r="AF882" s="84"/>
      <c r="AG882" s="84"/>
      <c r="AH882" s="84"/>
      <c r="AI882" s="84"/>
    </row>
    <row r="883" ht="15.75" customHeight="1">
      <c r="A883" s="84"/>
      <c r="B883" s="84"/>
      <c r="C883" s="84"/>
      <c r="D883" s="84"/>
      <c r="E883" s="84"/>
      <c r="F883" s="276"/>
      <c r="H883" s="275"/>
      <c r="I883" s="275"/>
      <c r="J883" s="275"/>
      <c r="K883" s="275"/>
      <c r="L883" s="275"/>
      <c r="M883" s="275"/>
      <c r="N883" s="260"/>
      <c r="O883" s="99"/>
      <c r="P883" s="99"/>
      <c r="Q883" s="99"/>
      <c r="R883" s="99"/>
      <c r="S883" s="99"/>
      <c r="T883" s="99"/>
      <c r="U883" s="99"/>
      <c r="V883" s="99"/>
      <c r="W883" s="99"/>
      <c r="X883" s="99"/>
      <c r="Y883" s="99"/>
      <c r="Z883" s="99"/>
      <c r="AB883" s="84"/>
      <c r="AC883" s="84"/>
      <c r="AD883" s="84"/>
      <c r="AE883" s="84"/>
      <c r="AF883" s="84"/>
      <c r="AG883" s="84"/>
      <c r="AH883" s="84"/>
      <c r="AI883" s="84"/>
    </row>
    <row r="884" ht="15.75" customHeight="1">
      <c r="A884" s="84"/>
      <c r="B884" s="84"/>
      <c r="C884" s="84"/>
      <c r="D884" s="84"/>
      <c r="E884" s="84"/>
      <c r="F884" s="276"/>
      <c r="H884" s="275"/>
      <c r="I884" s="275"/>
      <c r="J884" s="275"/>
      <c r="K884" s="275"/>
      <c r="L884" s="275"/>
      <c r="M884" s="275"/>
      <c r="N884" s="260"/>
      <c r="O884" s="99"/>
      <c r="P884" s="99"/>
      <c r="Q884" s="99"/>
      <c r="R884" s="99"/>
      <c r="S884" s="99"/>
      <c r="T884" s="99"/>
      <c r="U884" s="99"/>
      <c r="V884" s="99"/>
      <c r="W884" s="99"/>
      <c r="X884" s="99"/>
      <c r="Y884" s="99"/>
      <c r="Z884" s="99"/>
      <c r="AB884" s="84"/>
      <c r="AC884" s="84"/>
      <c r="AD884" s="84"/>
      <c r="AE884" s="84"/>
      <c r="AF884" s="84"/>
      <c r="AG884" s="84"/>
      <c r="AH884" s="84"/>
      <c r="AI884" s="84"/>
    </row>
    <row r="885" ht="15.75" customHeight="1">
      <c r="A885" s="84"/>
      <c r="B885" s="84"/>
      <c r="C885" s="84"/>
      <c r="D885" s="84"/>
      <c r="E885" s="84"/>
      <c r="F885" s="276"/>
      <c r="H885" s="275"/>
      <c r="I885" s="275"/>
      <c r="J885" s="275"/>
      <c r="K885" s="275"/>
      <c r="L885" s="275"/>
      <c r="M885" s="275"/>
      <c r="N885" s="260"/>
      <c r="O885" s="99"/>
      <c r="P885" s="99"/>
      <c r="Q885" s="99"/>
      <c r="R885" s="99"/>
      <c r="S885" s="99"/>
      <c r="T885" s="99"/>
      <c r="U885" s="99"/>
      <c r="V885" s="99"/>
      <c r="W885" s="99"/>
      <c r="X885" s="99"/>
      <c r="Y885" s="99"/>
      <c r="Z885" s="99"/>
      <c r="AB885" s="84"/>
      <c r="AC885" s="84"/>
      <c r="AD885" s="84"/>
      <c r="AE885" s="84"/>
      <c r="AF885" s="84"/>
      <c r="AG885" s="84"/>
      <c r="AH885" s="84"/>
      <c r="AI885" s="84"/>
    </row>
    <row r="886" ht="15.75" customHeight="1">
      <c r="A886" s="84"/>
      <c r="B886" s="84"/>
      <c r="C886" s="84"/>
      <c r="D886" s="84"/>
      <c r="E886" s="84"/>
      <c r="F886" s="276"/>
      <c r="H886" s="275"/>
      <c r="I886" s="275"/>
      <c r="J886" s="275"/>
      <c r="K886" s="275"/>
      <c r="L886" s="275"/>
      <c r="M886" s="275"/>
      <c r="N886" s="260"/>
      <c r="O886" s="99"/>
      <c r="P886" s="99"/>
      <c r="Q886" s="99"/>
      <c r="R886" s="99"/>
      <c r="S886" s="99"/>
      <c r="T886" s="99"/>
      <c r="U886" s="99"/>
      <c r="V886" s="99"/>
      <c r="W886" s="99"/>
      <c r="X886" s="99"/>
      <c r="Y886" s="99"/>
      <c r="Z886" s="99"/>
      <c r="AB886" s="84"/>
      <c r="AC886" s="84"/>
      <c r="AD886" s="84"/>
      <c r="AE886" s="84"/>
      <c r="AF886" s="84"/>
      <c r="AG886" s="84"/>
      <c r="AH886" s="84"/>
      <c r="AI886" s="84"/>
    </row>
    <row r="887" ht="15.75" customHeight="1">
      <c r="A887" s="84"/>
      <c r="B887" s="84"/>
      <c r="C887" s="84"/>
      <c r="D887" s="84"/>
      <c r="E887" s="84"/>
      <c r="F887" s="276"/>
      <c r="H887" s="275"/>
      <c r="I887" s="275"/>
      <c r="J887" s="275"/>
      <c r="K887" s="275"/>
      <c r="L887" s="275"/>
      <c r="M887" s="275"/>
      <c r="N887" s="260"/>
      <c r="O887" s="99"/>
      <c r="P887" s="99"/>
      <c r="Q887" s="99"/>
      <c r="R887" s="99"/>
      <c r="S887" s="99"/>
      <c r="T887" s="99"/>
      <c r="U887" s="99"/>
      <c r="V887" s="99"/>
      <c r="W887" s="99"/>
      <c r="X887" s="99"/>
      <c r="Y887" s="99"/>
      <c r="Z887" s="99"/>
      <c r="AB887" s="84"/>
      <c r="AC887" s="84"/>
      <c r="AD887" s="84"/>
      <c r="AE887" s="84"/>
      <c r="AF887" s="84"/>
      <c r="AG887" s="84"/>
      <c r="AH887" s="84"/>
      <c r="AI887" s="84"/>
    </row>
    <row r="888" ht="15.75" customHeight="1">
      <c r="A888" s="84"/>
      <c r="B888" s="84"/>
      <c r="C888" s="84"/>
      <c r="D888" s="84"/>
      <c r="E888" s="84"/>
      <c r="F888" s="276"/>
      <c r="H888" s="275"/>
      <c r="I888" s="275"/>
      <c r="J888" s="275"/>
      <c r="K888" s="275"/>
      <c r="L888" s="275"/>
      <c r="M888" s="275"/>
      <c r="N888" s="260"/>
      <c r="O888" s="99"/>
      <c r="P888" s="99"/>
      <c r="Q888" s="99"/>
      <c r="R888" s="99"/>
      <c r="S888" s="99"/>
      <c r="T888" s="99"/>
      <c r="U888" s="99"/>
      <c r="V888" s="99"/>
      <c r="W888" s="99"/>
      <c r="X888" s="99"/>
      <c r="Y888" s="99"/>
      <c r="Z888" s="99"/>
      <c r="AB888" s="84"/>
      <c r="AC888" s="84"/>
      <c r="AD888" s="84"/>
      <c r="AE888" s="84"/>
      <c r="AF888" s="84"/>
      <c r="AG888" s="84"/>
      <c r="AH888" s="84"/>
      <c r="AI888" s="84"/>
    </row>
    <row r="889" ht="15.75" customHeight="1">
      <c r="A889" s="84"/>
      <c r="B889" s="84"/>
      <c r="C889" s="84"/>
      <c r="D889" s="84"/>
      <c r="E889" s="84"/>
      <c r="F889" s="276"/>
      <c r="H889" s="275"/>
      <c r="I889" s="275"/>
      <c r="J889" s="275"/>
      <c r="K889" s="275"/>
      <c r="L889" s="275"/>
      <c r="M889" s="275"/>
      <c r="N889" s="260"/>
      <c r="O889" s="99"/>
      <c r="P889" s="99"/>
      <c r="Q889" s="99"/>
      <c r="R889" s="99"/>
      <c r="S889" s="99"/>
      <c r="T889" s="99"/>
      <c r="U889" s="99"/>
      <c r="V889" s="99"/>
      <c r="W889" s="99"/>
      <c r="X889" s="99"/>
      <c r="Y889" s="99"/>
      <c r="Z889" s="99"/>
      <c r="AB889" s="84"/>
      <c r="AC889" s="84"/>
      <c r="AD889" s="84"/>
      <c r="AE889" s="84"/>
      <c r="AF889" s="84"/>
      <c r="AG889" s="84"/>
      <c r="AH889" s="84"/>
      <c r="AI889" s="84"/>
    </row>
    <row r="890" ht="15.75" customHeight="1">
      <c r="A890" s="84"/>
      <c r="B890" s="84"/>
      <c r="C890" s="84"/>
      <c r="D890" s="84"/>
      <c r="E890" s="84"/>
      <c r="F890" s="276"/>
      <c r="H890" s="275"/>
      <c r="I890" s="275"/>
      <c r="J890" s="275"/>
      <c r="K890" s="275"/>
      <c r="L890" s="275"/>
      <c r="M890" s="275"/>
      <c r="N890" s="260"/>
      <c r="O890" s="99"/>
      <c r="P890" s="99"/>
      <c r="Q890" s="99"/>
      <c r="R890" s="99"/>
      <c r="S890" s="99"/>
      <c r="T890" s="99"/>
      <c r="U890" s="99"/>
      <c r="V890" s="99"/>
      <c r="W890" s="99"/>
      <c r="X890" s="99"/>
      <c r="Y890" s="99"/>
      <c r="Z890" s="99"/>
      <c r="AB890" s="84"/>
      <c r="AC890" s="84"/>
      <c r="AD890" s="84"/>
      <c r="AE890" s="84"/>
      <c r="AF890" s="84"/>
      <c r="AG890" s="84"/>
      <c r="AH890" s="84"/>
      <c r="AI890" s="84"/>
    </row>
    <row r="891" ht="15.75" customHeight="1">
      <c r="A891" s="84"/>
      <c r="B891" s="84"/>
      <c r="C891" s="84"/>
      <c r="D891" s="84"/>
      <c r="E891" s="84"/>
      <c r="F891" s="276"/>
      <c r="H891" s="275"/>
      <c r="I891" s="275"/>
      <c r="J891" s="275"/>
      <c r="K891" s="275"/>
      <c r="L891" s="275"/>
      <c r="M891" s="275"/>
      <c r="N891" s="260"/>
      <c r="O891" s="99"/>
      <c r="P891" s="99"/>
      <c r="Q891" s="99"/>
      <c r="R891" s="99"/>
      <c r="S891" s="99"/>
      <c r="T891" s="99"/>
      <c r="U891" s="99"/>
      <c r="V891" s="99"/>
      <c r="W891" s="99"/>
      <c r="X891" s="99"/>
      <c r="Y891" s="99"/>
      <c r="Z891" s="99"/>
      <c r="AB891" s="84"/>
      <c r="AC891" s="84"/>
      <c r="AD891" s="84"/>
      <c r="AE891" s="84"/>
      <c r="AF891" s="84"/>
      <c r="AG891" s="84"/>
      <c r="AH891" s="84"/>
      <c r="AI891" s="84"/>
    </row>
    <row r="892" ht="15.75" customHeight="1">
      <c r="A892" s="84"/>
      <c r="B892" s="84"/>
      <c r="C892" s="84"/>
      <c r="D892" s="84"/>
      <c r="E892" s="84"/>
      <c r="F892" s="276"/>
      <c r="H892" s="275"/>
      <c r="I892" s="275"/>
      <c r="J892" s="275"/>
      <c r="K892" s="275"/>
      <c r="L892" s="275"/>
      <c r="M892" s="275"/>
      <c r="N892" s="260"/>
      <c r="O892" s="99"/>
      <c r="P892" s="99"/>
      <c r="Q892" s="99"/>
      <c r="R892" s="99"/>
      <c r="S892" s="99"/>
      <c r="T892" s="99"/>
      <c r="U892" s="99"/>
      <c r="V892" s="99"/>
      <c r="W892" s="99"/>
      <c r="X892" s="99"/>
      <c r="Y892" s="99"/>
      <c r="Z892" s="99"/>
      <c r="AB892" s="84"/>
      <c r="AC892" s="84"/>
      <c r="AD892" s="84"/>
      <c r="AE892" s="84"/>
      <c r="AF892" s="84"/>
      <c r="AG892" s="84"/>
      <c r="AH892" s="84"/>
      <c r="AI892" s="84"/>
    </row>
    <row r="893" ht="15.75" customHeight="1">
      <c r="A893" s="84"/>
      <c r="B893" s="84"/>
      <c r="C893" s="84"/>
      <c r="D893" s="84"/>
      <c r="E893" s="84"/>
      <c r="F893" s="276"/>
      <c r="H893" s="275"/>
      <c r="I893" s="275"/>
      <c r="J893" s="275"/>
      <c r="K893" s="275"/>
      <c r="L893" s="275"/>
      <c r="M893" s="275"/>
      <c r="N893" s="260"/>
      <c r="O893" s="99"/>
      <c r="P893" s="99"/>
      <c r="Q893" s="99"/>
      <c r="R893" s="99"/>
      <c r="S893" s="99"/>
      <c r="T893" s="99"/>
      <c r="U893" s="99"/>
      <c r="V893" s="99"/>
      <c r="W893" s="99"/>
      <c r="X893" s="99"/>
      <c r="Y893" s="99"/>
      <c r="Z893" s="99"/>
      <c r="AB893" s="84"/>
      <c r="AC893" s="84"/>
      <c r="AD893" s="84"/>
      <c r="AE893" s="84"/>
      <c r="AF893" s="84"/>
      <c r="AG893" s="84"/>
      <c r="AH893" s="84"/>
      <c r="AI893" s="84"/>
    </row>
    <row r="894" ht="15.75" customHeight="1">
      <c r="A894" s="84"/>
      <c r="B894" s="84"/>
      <c r="C894" s="84"/>
      <c r="D894" s="84"/>
      <c r="E894" s="84"/>
      <c r="F894" s="276"/>
      <c r="H894" s="275"/>
      <c r="I894" s="275"/>
      <c r="J894" s="275"/>
      <c r="K894" s="275"/>
      <c r="L894" s="275"/>
      <c r="M894" s="275"/>
      <c r="N894" s="260"/>
      <c r="O894" s="99"/>
      <c r="P894" s="99"/>
      <c r="Q894" s="99"/>
      <c r="R894" s="99"/>
      <c r="S894" s="99"/>
      <c r="T894" s="99"/>
      <c r="U894" s="99"/>
      <c r="V894" s="99"/>
      <c r="W894" s="99"/>
      <c r="X894" s="99"/>
      <c r="Y894" s="99"/>
      <c r="Z894" s="99"/>
      <c r="AB894" s="84"/>
      <c r="AC894" s="84"/>
      <c r="AD894" s="84"/>
      <c r="AE894" s="84"/>
      <c r="AF894" s="84"/>
      <c r="AG894" s="84"/>
      <c r="AH894" s="84"/>
      <c r="AI894" s="84"/>
    </row>
    <row r="895" ht="15.75" customHeight="1">
      <c r="A895" s="84"/>
      <c r="B895" s="84"/>
      <c r="C895" s="84"/>
      <c r="D895" s="84"/>
      <c r="E895" s="84"/>
      <c r="F895" s="276"/>
      <c r="H895" s="275"/>
      <c r="I895" s="275"/>
      <c r="J895" s="275"/>
      <c r="K895" s="275"/>
      <c r="L895" s="275"/>
      <c r="M895" s="275"/>
      <c r="N895" s="260"/>
      <c r="O895" s="99"/>
      <c r="P895" s="99"/>
      <c r="Q895" s="99"/>
      <c r="R895" s="99"/>
      <c r="S895" s="99"/>
      <c r="T895" s="99"/>
      <c r="U895" s="99"/>
      <c r="V895" s="99"/>
      <c r="W895" s="99"/>
      <c r="X895" s="99"/>
      <c r="Y895" s="99"/>
      <c r="Z895" s="99"/>
      <c r="AB895" s="84"/>
      <c r="AC895" s="84"/>
      <c r="AD895" s="84"/>
      <c r="AE895" s="84"/>
      <c r="AF895" s="84"/>
      <c r="AG895" s="84"/>
      <c r="AH895" s="84"/>
      <c r="AI895" s="84"/>
    </row>
    <row r="896" ht="15.75" customHeight="1">
      <c r="A896" s="84"/>
      <c r="B896" s="84"/>
      <c r="C896" s="84"/>
      <c r="D896" s="84"/>
      <c r="E896" s="84"/>
      <c r="F896" s="276"/>
      <c r="H896" s="275"/>
      <c r="I896" s="275"/>
      <c r="J896" s="275"/>
      <c r="K896" s="275"/>
      <c r="L896" s="275"/>
      <c r="M896" s="275"/>
      <c r="N896" s="260"/>
      <c r="O896" s="99"/>
      <c r="P896" s="99"/>
      <c r="Q896" s="99"/>
      <c r="R896" s="99"/>
      <c r="S896" s="99"/>
      <c r="T896" s="99"/>
      <c r="U896" s="99"/>
      <c r="V896" s="99"/>
      <c r="W896" s="99"/>
      <c r="X896" s="99"/>
      <c r="Y896" s="99"/>
      <c r="Z896" s="99"/>
      <c r="AB896" s="84"/>
      <c r="AC896" s="84"/>
      <c r="AD896" s="84"/>
      <c r="AE896" s="84"/>
      <c r="AF896" s="84"/>
      <c r="AG896" s="84"/>
      <c r="AH896" s="84"/>
      <c r="AI896" s="84"/>
    </row>
    <row r="897" ht="15.75" customHeight="1">
      <c r="A897" s="84"/>
      <c r="B897" s="84"/>
      <c r="C897" s="84"/>
      <c r="D897" s="84"/>
      <c r="E897" s="84"/>
      <c r="F897" s="276"/>
      <c r="H897" s="275"/>
      <c r="I897" s="275"/>
      <c r="J897" s="275"/>
      <c r="K897" s="275"/>
      <c r="L897" s="275"/>
      <c r="M897" s="275"/>
      <c r="N897" s="260"/>
      <c r="O897" s="99"/>
      <c r="P897" s="99"/>
      <c r="Q897" s="99"/>
      <c r="R897" s="99"/>
      <c r="S897" s="99"/>
      <c r="T897" s="99"/>
      <c r="U897" s="99"/>
      <c r="V897" s="99"/>
      <c r="W897" s="99"/>
      <c r="X897" s="99"/>
      <c r="Y897" s="99"/>
      <c r="Z897" s="99"/>
      <c r="AB897" s="84"/>
      <c r="AC897" s="84"/>
      <c r="AD897" s="84"/>
      <c r="AE897" s="84"/>
      <c r="AF897" s="84"/>
      <c r="AG897" s="84"/>
      <c r="AH897" s="84"/>
      <c r="AI897" s="84"/>
    </row>
    <row r="898" ht="15.75" customHeight="1">
      <c r="A898" s="84"/>
      <c r="B898" s="84"/>
      <c r="C898" s="84"/>
      <c r="D898" s="84"/>
      <c r="E898" s="84"/>
      <c r="F898" s="276"/>
      <c r="H898" s="275"/>
      <c r="I898" s="275"/>
      <c r="J898" s="275"/>
      <c r="K898" s="275"/>
      <c r="L898" s="275"/>
      <c r="M898" s="275"/>
      <c r="N898" s="260"/>
      <c r="O898" s="99"/>
      <c r="P898" s="99"/>
      <c r="Q898" s="99"/>
      <c r="R898" s="99"/>
      <c r="S898" s="99"/>
      <c r="T898" s="99"/>
      <c r="U898" s="99"/>
      <c r="V898" s="99"/>
      <c r="W898" s="99"/>
      <c r="X898" s="99"/>
      <c r="Y898" s="99"/>
      <c r="Z898" s="99"/>
      <c r="AB898" s="84"/>
      <c r="AC898" s="84"/>
      <c r="AD898" s="84"/>
      <c r="AE898" s="84"/>
      <c r="AF898" s="84"/>
      <c r="AG898" s="84"/>
      <c r="AH898" s="84"/>
      <c r="AI898" s="84"/>
    </row>
    <row r="899" ht="15.75" customHeight="1">
      <c r="A899" s="84"/>
      <c r="B899" s="84"/>
      <c r="C899" s="84"/>
      <c r="D899" s="84"/>
      <c r="E899" s="84"/>
      <c r="F899" s="276"/>
      <c r="H899" s="275"/>
      <c r="I899" s="275"/>
      <c r="J899" s="275"/>
      <c r="K899" s="275"/>
      <c r="L899" s="275"/>
      <c r="M899" s="275"/>
      <c r="N899" s="260"/>
      <c r="O899" s="99"/>
      <c r="P899" s="99"/>
      <c r="Q899" s="99"/>
      <c r="R899" s="99"/>
      <c r="S899" s="99"/>
      <c r="T899" s="99"/>
      <c r="U899" s="99"/>
      <c r="V899" s="99"/>
      <c r="W899" s="99"/>
      <c r="X899" s="99"/>
      <c r="Y899" s="99"/>
      <c r="Z899" s="99"/>
      <c r="AB899" s="84"/>
      <c r="AC899" s="84"/>
      <c r="AD899" s="84"/>
      <c r="AE899" s="84"/>
      <c r="AF899" s="84"/>
      <c r="AG899" s="84"/>
      <c r="AH899" s="84"/>
      <c r="AI899" s="84"/>
    </row>
    <row r="900" ht="15.75" customHeight="1">
      <c r="A900" s="84"/>
      <c r="B900" s="84"/>
      <c r="C900" s="84"/>
      <c r="D900" s="84"/>
      <c r="E900" s="84"/>
      <c r="F900" s="276"/>
      <c r="H900" s="275"/>
      <c r="I900" s="275"/>
      <c r="J900" s="275"/>
      <c r="K900" s="275"/>
      <c r="L900" s="275"/>
      <c r="M900" s="275"/>
      <c r="N900" s="260"/>
      <c r="O900" s="99"/>
      <c r="P900" s="99"/>
      <c r="Q900" s="99"/>
      <c r="R900" s="99"/>
      <c r="S900" s="99"/>
      <c r="T900" s="99"/>
      <c r="U900" s="99"/>
      <c r="V900" s="99"/>
      <c r="W900" s="99"/>
      <c r="X900" s="99"/>
      <c r="Y900" s="99"/>
      <c r="Z900" s="99"/>
      <c r="AB900" s="84"/>
      <c r="AC900" s="84"/>
      <c r="AD900" s="84"/>
      <c r="AE900" s="84"/>
      <c r="AF900" s="84"/>
      <c r="AG900" s="84"/>
      <c r="AH900" s="84"/>
      <c r="AI900" s="84"/>
    </row>
    <row r="901" ht="15.75" customHeight="1">
      <c r="A901" s="84"/>
      <c r="B901" s="84"/>
      <c r="C901" s="84"/>
      <c r="D901" s="84"/>
      <c r="E901" s="84"/>
      <c r="F901" s="276"/>
      <c r="H901" s="275"/>
      <c r="I901" s="275"/>
      <c r="J901" s="275"/>
      <c r="K901" s="275"/>
      <c r="L901" s="275"/>
      <c r="M901" s="275"/>
      <c r="N901" s="260"/>
      <c r="O901" s="99"/>
      <c r="P901" s="99"/>
      <c r="Q901" s="99"/>
      <c r="R901" s="99"/>
      <c r="S901" s="99"/>
      <c r="T901" s="99"/>
      <c r="U901" s="99"/>
      <c r="V901" s="99"/>
      <c r="W901" s="99"/>
      <c r="X901" s="99"/>
      <c r="Y901" s="99"/>
      <c r="Z901" s="99"/>
      <c r="AB901" s="84"/>
      <c r="AC901" s="84"/>
      <c r="AD901" s="84"/>
      <c r="AE901" s="84"/>
      <c r="AF901" s="84"/>
      <c r="AG901" s="84"/>
      <c r="AH901" s="84"/>
      <c r="AI901" s="84"/>
    </row>
    <row r="902" ht="15.75" customHeight="1">
      <c r="A902" s="84"/>
      <c r="B902" s="84"/>
      <c r="C902" s="84"/>
      <c r="D902" s="84"/>
      <c r="E902" s="84"/>
      <c r="F902" s="276"/>
      <c r="H902" s="275"/>
      <c r="I902" s="275"/>
      <c r="J902" s="275"/>
      <c r="K902" s="275"/>
      <c r="L902" s="275"/>
      <c r="M902" s="275"/>
      <c r="N902" s="260"/>
      <c r="O902" s="99"/>
      <c r="P902" s="99"/>
      <c r="Q902" s="99"/>
      <c r="R902" s="99"/>
      <c r="S902" s="99"/>
      <c r="T902" s="99"/>
      <c r="U902" s="99"/>
      <c r="V902" s="99"/>
      <c r="W902" s="99"/>
      <c r="X902" s="99"/>
      <c r="Y902" s="99"/>
      <c r="Z902" s="99"/>
      <c r="AB902" s="84"/>
      <c r="AC902" s="84"/>
      <c r="AD902" s="84"/>
      <c r="AE902" s="84"/>
      <c r="AF902" s="84"/>
      <c r="AG902" s="84"/>
      <c r="AH902" s="84"/>
      <c r="AI902" s="84"/>
    </row>
    <row r="903" ht="15.75" customHeight="1">
      <c r="A903" s="84"/>
      <c r="B903" s="84"/>
      <c r="C903" s="84"/>
      <c r="D903" s="84"/>
      <c r="E903" s="84"/>
      <c r="F903" s="276"/>
      <c r="H903" s="275"/>
      <c r="I903" s="275"/>
      <c r="J903" s="275"/>
      <c r="K903" s="275"/>
      <c r="L903" s="275"/>
      <c r="M903" s="275"/>
      <c r="N903" s="260"/>
      <c r="O903" s="99"/>
      <c r="P903" s="99"/>
      <c r="Q903" s="99"/>
      <c r="R903" s="99"/>
      <c r="S903" s="99"/>
      <c r="T903" s="99"/>
      <c r="U903" s="99"/>
      <c r="V903" s="99"/>
      <c r="W903" s="99"/>
      <c r="X903" s="99"/>
      <c r="Y903" s="99"/>
      <c r="Z903" s="99"/>
      <c r="AB903" s="84"/>
      <c r="AC903" s="84"/>
      <c r="AD903" s="84"/>
      <c r="AE903" s="84"/>
      <c r="AF903" s="84"/>
      <c r="AG903" s="84"/>
      <c r="AH903" s="84"/>
      <c r="AI903" s="84"/>
    </row>
    <row r="904" ht="15.75" customHeight="1">
      <c r="A904" s="84"/>
      <c r="B904" s="84"/>
      <c r="C904" s="84"/>
      <c r="D904" s="84"/>
      <c r="E904" s="84"/>
      <c r="F904" s="276"/>
      <c r="H904" s="275"/>
      <c r="I904" s="275"/>
      <c r="J904" s="275"/>
      <c r="K904" s="275"/>
      <c r="L904" s="275"/>
      <c r="M904" s="275"/>
      <c r="N904" s="260"/>
      <c r="O904" s="99"/>
      <c r="P904" s="99"/>
      <c r="Q904" s="99"/>
      <c r="R904" s="99"/>
      <c r="S904" s="99"/>
      <c r="T904" s="99"/>
      <c r="U904" s="99"/>
      <c r="V904" s="99"/>
      <c r="W904" s="99"/>
      <c r="X904" s="99"/>
      <c r="Y904" s="99"/>
      <c r="Z904" s="99"/>
      <c r="AB904" s="84"/>
      <c r="AC904" s="84"/>
      <c r="AD904" s="84"/>
      <c r="AE904" s="84"/>
      <c r="AF904" s="84"/>
      <c r="AG904" s="84"/>
      <c r="AH904" s="84"/>
      <c r="AI904" s="84"/>
    </row>
    <row r="905" ht="15.75" customHeight="1">
      <c r="A905" s="84"/>
      <c r="B905" s="84"/>
      <c r="C905" s="84"/>
      <c r="D905" s="84"/>
      <c r="E905" s="84"/>
      <c r="F905" s="276"/>
      <c r="H905" s="275"/>
      <c r="I905" s="275"/>
      <c r="J905" s="275"/>
      <c r="K905" s="275"/>
      <c r="L905" s="275"/>
      <c r="M905" s="275"/>
      <c r="N905" s="260"/>
      <c r="O905" s="99"/>
      <c r="P905" s="99"/>
      <c r="Q905" s="99"/>
      <c r="R905" s="99"/>
      <c r="S905" s="99"/>
      <c r="T905" s="99"/>
      <c r="U905" s="99"/>
      <c r="V905" s="99"/>
      <c r="W905" s="99"/>
      <c r="X905" s="99"/>
      <c r="Y905" s="99"/>
      <c r="Z905" s="99"/>
      <c r="AB905" s="84"/>
      <c r="AC905" s="84"/>
      <c r="AD905" s="84"/>
      <c r="AE905" s="84"/>
      <c r="AF905" s="84"/>
      <c r="AG905" s="84"/>
      <c r="AH905" s="84"/>
      <c r="AI905" s="84"/>
    </row>
    <row r="906" ht="15.75" customHeight="1">
      <c r="A906" s="84"/>
      <c r="B906" s="84"/>
      <c r="C906" s="84"/>
      <c r="D906" s="84"/>
      <c r="E906" s="84"/>
      <c r="F906" s="276"/>
      <c r="H906" s="275"/>
      <c r="I906" s="275"/>
      <c r="J906" s="275"/>
      <c r="K906" s="275"/>
      <c r="L906" s="275"/>
      <c r="M906" s="275"/>
      <c r="N906" s="260"/>
      <c r="O906" s="99"/>
      <c r="P906" s="99"/>
      <c r="Q906" s="99"/>
      <c r="R906" s="99"/>
      <c r="S906" s="99"/>
      <c r="T906" s="99"/>
      <c r="U906" s="99"/>
      <c r="V906" s="99"/>
      <c r="W906" s="99"/>
      <c r="X906" s="99"/>
      <c r="Y906" s="99"/>
      <c r="Z906" s="99"/>
      <c r="AB906" s="84"/>
      <c r="AC906" s="84"/>
      <c r="AD906" s="84"/>
      <c r="AE906" s="84"/>
      <c r="AF906" s="84"/>
      <c r="AG906" s="84"/>
      <c r="AH906" s="84"/>
      <c r="AI906" s="84"/>
    </row>
    <row r="907" ht="15.75" customHeight="1">
      <c r="A907" s="84"/>
      <c r="B907" s="84"/>
      <c r="C907" s="84"/>
      <c r="D907" s="84"/>
      <c r="E907" s="84"/>
      <c r="F907" s="276"/>
      <c r="H907" s="275"/>
      <c r="I907" s="275"/>
      <c r="J907" s="275"/>
      <c r="K907" s="275"/>
      <c r="L907" s="275"/>
      <c r="M907" s="275"/>
      <c r="N907" s="260"/>
      <c r="O907" s="99"/>
      <c r="P907" s="99"/>
      <c r="Q907" s="99"/>
      <c r="R907" s="99"/>
      <c r="S907" s="99"/>
      <c r="T907" s="99"/>
      <c r="U907" s="99"/>
      <c r="V907" s="99"/>
      <c r="W907" s="99"/>
      <c r="X907" s="99"/>
      <c r="Y907" s="99"/>
      <c r="Z907" s="99"/>
      <c r="AB907" s="84"/>
      <c r="AC907" s="84"/>
      <c r="AD907" s="84"/>
      <c r="AE907" s="84"/>
      <c r="AF907" s="84"/>
      <c r="AG907" s="84"/>
      <c r="AH907" s="84"/>
      <c r="AI907" s="84"/>
    </row>
    <row r="908" ht="15.75" customHeight="1">
      <c r="A908" s="84"/>
      <c r="B908" s="84"/>
      <c r="C908" s="84"/>
      <c r="D908" s="84"/>
      <c r="E908" s="84"/>
      <c r="F908" s="276"/>
      <c r="H908" s="275"/>
      <c r="I908" s="275"/>
      <c r="J908" s="275"/>
      <c r="K908" s="275"/>
      <c r="L908" s="275"/>
      <c r="M908" s="275"/>
      <c r="N908" s="260"/>
      <c r="O908" s="99"/>
      <c r="P908" s="99"/>
      <c r="Q908" s="99"/>
      <c r="R908" s="99"/>
      <c r="S908" s="99"/>
      <c r="T908" s="99"/>
      <c r="U908" s="99"/>
      <c r="V908" s="99"/>
      <c r="W908" s="99"/>
      <c r="X908" s="99"/>
      <c r="Y908" s="99"/>
      <c r="Z908" s="99"/>
      <c r="AB908" s="84"/>
      <c r="AC908" s="84"/>
      <c r="AD908" s="84"/>
      <c r="AE908" s="84"/>
      <c r="AF908" s="84"/>
      <c r="AG908" s="84"/>
      <c r="AH908" s="84"/>
      <c r="AI908" s="84"/>
    </row>
    <row r="909" ht="15.75" customHeight="1">
      <c r="A909" s="84"/>
      <c r="B909" s="84"/>
      <c r="C909" s="84"/>
      <c r="D909" s="84"/>
      <c r="E909" s="84"/>
      <c r="F909" s="276"/>
      <c r="H909" s="275"/>
      <c r="I909" s="275"/>
      <c r="J909" s="275"/>
      <c r="K909" s="275"/>
      <c r="L909" s="275"/>
      <c r="M909" s="275"/>
      <c r="N909" s="260"/>
      <c r="O909" s="99"/>
      <c r="P909" s="99"/>
      <c r="Q909" s="99"/>
      <c r="R909" s="99"/>
      <c r="S909" s="99"/>
      <c r="T909" s="99"/>
      <c r="U909" s="99"/>
      <c r="V909" s="99"/>
      <c r="W909" s="99"/>
      <c r="X909" s="99"/>
      <c r="Y909" s="99"/>
      <c r="Z909" s="99"/>
      <c r="AB909" s="84"/>
      <c r="AC909" s="84"/>
      <c r="AD909" s="84"/>
      <c r="AE909" s="84"/>
      <c r="AF909" s="84"/>
      <c r="AG909" s="84"/>
      <c r="AH909" s="84"/>
      <c r="AI909" s="84"/>
    </row>
    <row r="910" ht="15.75" customHeight="1">
      <c r="A910" s="84"/>
      <c r="B910" s="84"/>
      <c r="C910" s="84"/>
      <c r="D910" s="84"/>
      <c r="E910" s="84"/>
      <c r="F910" s="276"/>
      <c r="H910" s="275"/>
      <c r="I910" s="275"/>
      <c r="J910" s="275"/>
      <c r="K910" s="275"/>
      <c r="L910" s="275"/>
      <c r="M910" s="275"/>
      <c r="N910" s="260"/>
      <c r="O910" s="99"/>
      <c r="P910" s="99"/>
      <c r="Q910" s="99"/>
      <c r="R910" s="99"/>
      <c r="S910" s="99"/>
      <c r="T910" s="99"/>
      <c r="U910" s="99"/>
      <c r="V910" s="99"/>
      <c r="W910" s="99"/>
      <c r="X910" s="99"/>
      <c r="Y910" s="99"/>
      <c r="Z910" s="99"/>
      <c r="AB910" s="84"/>
      <c r="AC910" s="84"/>
      <c r="AD910" s="84"/>
      <c r="AE910" s="84"/>
      <c r="AF910" s="84"/>
      <c r="AG910" s="84"/>
      <c r="AH910" s="84"/>
      <c r="AI910" s="84"/>
    </row>
    <row r="911" ht="15.75" customHeight="1">
      <c r="A911" s="84"/>
      <c r="B911" s="84"/>
      <c r="C911" s="84"/>
      <c r="D911" s="84"/>
      <c r="E911" s="84"/>
      <c r="F911" s="276"/>
      <c r="H911" s="275"/>
      <c r="I911" s="275"/>
      <c r="J911" s="275"/>
      <c r="K911" s="275"/>
      <c r="L911" s="275"/>
      <c r="M911" s="275"/>
      <c r="N911" s="260"/>
      <c r="O911" s="99"/>
      <c r="P911" s="99"/>
      <c r="Q911" s="99"/>
      <c r="R911" s="99"/>
      <c r="S911" s="99"/>
      <c r="T911" s="99"/>
      <c r="U911" s="99"/>
      <c r="V911" s="99"/>
      <c r="W911" s="99"/>
      <c r="X911" s="99"/>
      <c r="Y911" s="99"/>
      <c r="Z911" s="99"/>
      <c r="AB911" s="84"/>
      <c r="AC911" s="84"/>
      <c r="AD911" s="84"/>
      <c r="AE911" s="84"/>
      <c r="AF911" s="84"/>
      <c r="AG911" s="84"/>
      <c r="AH911" s="84"/>
      <c r="AI911" s="84"/>
    </row>
    <row r="912" ht="15.75" customHeight="1">
      <c r="A912" s="84"/>
      <c r="B912" s="84"/>
      <c r="C912" s="84"/>
      <c r="D912" s="84"/>
      <c r="E912" s="84"/>
      <c r="F912" s="276"/>
      <c r="H912" s="275"/>
      <c r="I912" s="275"/>
      <c r="J912" s="275"/>
      <c r="K912" s="275"/>
      <c r="L912" s="275"/>
      <c r="M912" s="275"/>
      <c r="N912" s="260"/>
      <c r="O912" s="99"/>
      <c r="P912" s="99"/>
      <c r="Q912" s="99"/>
      <c r="R912" s="99"/>
      <c r="S912" s="99"/>
      <c r="T912" s="99"/>
      <c r="U912" s="99"/>
      <c r="V912" s="99"/>
      <c r="W912" s="99"/>
      <c r="X912" s="99"/>
      <c r="Y912" s="99"/>
      <c r="Z912" s="99"/>
      <c r="AB912" s="84"/>
      <c r="AC912" s="84"/>
      <c r="AD912" s="84"/>
      <c r="AE912" s="84"/>
      <c r="AF912" s="84"/>
      <c r="AG912" s="84"/>
      <c r="AH912" s="84"/>
      <c r="AI912" s="84"/>
    </row>
    <row r="913" ht="15.75" customHeight="1">
      <c r="A913" s="84"/>
      <c r="B913" s="84"/>
      <c r="C913" s="84"/>
      <c r="D913" s="84"/>
      <c r="E913" s="84"/>
      <c r="F913" s="276"/>
      <c r="H913" s="275"/>
      <c r="I913" s="275"/>
      <c r="J913" s="275"/>
      <c r="K913" s="275"/>
      <c r="L913" s="275"/>
      <c r="M913" s="275"/>
      <c r="N913" s="260"/>
      <c r="O913" s="99"/>
      <c r="P913" s="99"/>
      <c r="Q913" s="99"/>
      <c r="R913" s="99"/>
      <c r="S913" s="99"/>
      <c r="T913" s="99"/>
      <c r="U913" s="99"/>
      <c r="V913" s="99"/>
      <c r="W913" s="99"/>
      <c r="X913" s="99"/>
      <c r="Y913" s="99"/>
      <c r="Z913" s="99"/>
      <c r="AB913" s="84"/>
      <c r="AC913" s="84"/>
      <c r="AD913" s="84"/>
      <c r="AE913" s="84"/>
      <c r="AF913" s="84"/>
      <c r="AG913" s="84"/>
      <c r="AH913" s="84"/>
      <c r="AI913" s="84"/>
    </row>
    <row r="914" ht="15.75" customHeight="1">
      <c r="A914" s="84"/>
      <c r="B914" s="84"/>
      <c r="C914" s="84"/>
      <c r="D914" s="84"/>
      <c r="E914" s="84"/>
      <c r="F914" s="276"/>
      <c r="H914" s="275"/>
      <c r="I914" s="275"/>
      <c r="J914" s="275"/>
      <c r="K914" s="275"/>
      <c r="L914" s="275"/>
      <c r="M914" s="275"/>
      <c r="N914" s="260"/>
      <c r="O914" s="99"/>
      <c r="P914" s="99"/>
      <c r="Q914" s="99"/>
      <c r="R914" s="99"/>
      <c r="S914" s="99"/>
      <c r="T914" s="99"/>
      <c r="U914" s="99"/>
      <c r="V914" s="99"/>
      <c r="W914" s="99"/>
      <c r="X914" s="99"/>
      <c r="Y914" s="99"/>
      <c r="Z914" s="99"/>
      <c r="AB914" s="84"/>
      <c r="AC914" s="84"/>
      <c r="AD914" s="84"/>
      <c r="AE914" s="84"/>
      <c r="AF914" s="84"/>
      <c r="AG914" s="84"/>
      <c r="AH914" s="84"/>
      <c r="AI914" s="84"/>
    </row>
    <row r="915" ht="15.75" customHeight="1">
      <c r="A915" s="84"/>
      <c r="B915" s="84"/>
      <c r="C915" s="84"/>
      <c r="D915" s="84"/>
      <c r="E915" s="84"/>
      <c r="F915" s="276"/>
      <c r="H915" s="275"/>
      <c r="I915" s="275"/>
      <c r="J915" s="275"/>
      <c r="K915" s="275"/>
      <c r="L915" s="275"/>
      <c r="M915" s="275"/>
      <c r="N915" s="260"/>
      <c r="O915" s="99"/>
      <c r="P915" s="99"/>
      <c r="Q915" s="99"/>
      <c r="R915" s="99"/>
      <c r="S915" s="99"/>
      <c r="T915" s="99"/>
      <c r="U915" s="99"/>
      <c r="V915" s="99"/>
      <c r="W915" s="99"/>
      <c r="X915" s="99"/>
      <c r="Y915" s="99"/>
      <c r="Z915" s="99"/>
      <c r="AB915" s="84"/>
      <c r="AC915" s="84"/>
      <c r="AD915" s="84"/>
      <c r="AE915" s="84"/>
      <c r="AF915" s="84"/>
      <c r="AG915" s="84"/>
      <c r="AH915" s="84"/>
      <c r="AI915" s="84"/>
    </row>
    <row r="916" ht="15.75" customHeight="1">
      <c r="A916" s="84"/>
      <c r="B916" s="84"/>
      <c r="C916" s="84"/>
      <c r="D916" s="84"/>
      <c r="E916" s="84"/>
      <c r="F916" s="276"/>
      <c r="H916" s="275"/>
      <c r="I916" s="275"/>
      <c r="J916" s="275"/>
      <c r="K916" s="275"/>
      <c r="L916" s="275"/>
      <c r="M916" s="275"/>
      <c r="N916" s="260"/>
      <c r="O916" s="99"/>
      <c r="P916" s="99"/>
      <c r="Q916" s="99"/>
      <c r="R916" s="99"/>
      <c r="S916" s="99"/>
      <c r="T916" s="99"/>
      <c r="U916" s="99"/>
      <c r="V916" s="99"/>
      <c r="W916" s="99"/>
      <c r="X916" s="99"/>
      <c r="Y916" s="99"/>
      <c r="Z916" s="99"/>
      <c r="AB916" s="84"/>
      <c r="AC916" s="84"/>
      <c r="AD916" s="84"/>
      <c r="AE916" s="84"/>
      <c r="AF916" s="84"/>
      <c r="AG916" s="84"/>
      <c r="AH916" s="84"/>
      <c r="AI916" s="84"/>
    </row>
    <row r="917" ht="15.75" customHeight="1">
      <c r="A917" s="84"/>
      <c r="B917" s="84"/>
      <c r="C917" s="84"/>
      <c r="D917" s="84"/>
      <c r="E917" s="84"/>
      <c r="F917" s="276"/>
      <c r="H917" s="275"/>
      <c r="I917" s="275"/>
      <c r="J917" s="275"/>
      <c r="K917" s="275"/>
      <c r="L917" s="275"/>
      <c r="M917" s="275"/>
      <c r="N917" s="260"/>
      <c r="O917" s="99"/>
      <c r="P917" s="99"/>
      <c r="Q917" s="99"/>
      <c r="R917" s="99"/>
      <c r="S917" s="99"/>
      <c r="T917" s="99"/>
      <c r="U917" s="99"/>
      <c r="V917" s="99"/>
      <c r="W917" s="99"/>
      <c r="X917" s="99"/>
      <c r="Y917" s="99"/>
      <c r="Z917" s="99"/>
      <c r="AB917" s="84"/>
      <c r="AC917" s="84"/>
      <c r="AD917" s="84"/>
      <c r="AE917" s="84"/>
      <c r="AF917" s="84"/>
      <c r="AG917" s="84"/>
      <c r="AH917" s="84"/>
      <c r="AI917" s="84"/>
    </row>
    <row r="918" ht="15.75" customHeight="1">
      <c r="A918" s="84"/>
      <c r="B918" s="84"/>
      <c r="C918" s="84"/>
      <c r="D918" s="84"/>
      <c r="E918" s="84"/>
      <c r="F918" s="276"/>
      <c r="H918" s="275"/>
      <c r="I918" s="275"/>
      <c r="J918" s="275"/>
      <c r="K918" s="275"/>
      <c r="L918" s="275"/>
      <c r="M918" s="275"/>
      <c r="N918" s="260"/>
      <c r="O918" s="99"/>
      <c r="P918" s="99"/>
      <c r="Q918" s="99"/>
      <c r="R918" s="99"/>
      <c r="S918" s="99"/>
      <c r="T918" s="99"/>
      <c r="U918" s="99"/>
      <c r="V918" s="99"/>
      <c r="W918" s="99"/>
      <c r="X918" s="99"/>
      <c r="Y918" s="99"/>
      <c r="Z918" s="99"/>
      <c r="AB918" s="84"/>
      <c r="AC918" s="84"/>
      <c r="AD918" s="84"/>
      <c r="AE918" s="84"/>
      <c r="AF918" s="84"/>
      <c r="AG918" s="84"/>
      <c r="AH918" s="84"/>
      <c r="AI918" s="84"/>
    </row>
    <row r="919" ht="15.75" customHeight="1">
      <c r="A919" s="84"/>
      <c r="B919" s="84"/>
      <c r="C919" s="84"/>
      <c r="D919" s="84"/>
      <c r="E919" s="84"/>
      <c r="F919" s="276"/>
      <c r="H919" s="275"/>
      <c r="I919" s="275"/>
      <c r="J919" s="275"/>
      <c r="K919" s="275"/>
      <c r="L919" s="275"/>
      <c r="M919" s="275"/>
      <c r="N919" s="260"/>
      <c r="O919" s="99"/>
      <c r="P919" s="99"/>
      <c r="Q919" s="99"/>
      <c r="R919" s="99"/>
      <c r="S919" s="99"/>
      <c r="T919" s="99"/>
      <c r="U919" s="99"/>
      <c r="V919" s="99"/>
      <c r="W919" s="99"/>
      <c r="X919" s="99"/>
      <c r="Y919" s="99"/>
      <c r="Z919" s="99"/>
      <c r="AB919" s="84"/>
      <c r="AC919" s="84"/>
      <c r="AD919" s="84"/>
      <c r="AE919" s="84"/>
      <c r="AF919" s="84"/>
      <c r="AG919" s="84"/>
      <c r="AH919" s="84"/>
      <c r="AI919" s="84"/>
    </row>
    <row r="920" ht="15.75" customHeight="1">
      <c r="A920" s="84"/>
      <c r="B920" s="84"/>
      <c r="C920" s="84"/>
      <c r="D920" s="84"/>
      <c r="E920" s="84"/>
      <c r="F920" s="276"/>
      <c r="H920" s="275"/>
      <c r="I920" s="275"/>
      <c r="J920" s="275"/>
      <c r="K920" s="275"/>
      <c r="L920" s="275"/>
      <c r="M920" s="275"/>
      <c r="N920" s="260"/>
      <c r="O920" s="99"/>
      <c r="P920" s="99"/>
      <c r="Q920" s="99"/>
      <c r="R920" s="99"/>
      <c r="S920" s="99"/>
      <c r="T920" s="99"/>
      <c r="U920" s="99"/>
      <c r="V920" s="99"/>
      <c r="W920" s="99"/>
      <c r="X920" s="99"/>
      <c r="Y920" s="99"/>
      <c r="Z920" s="99"/>
      <c r="AB920" s="84"/>
      <c r="AC920" s="84"/>
      <c r="AD920" s="84"/>
      <c r="AE920" s="84"/>
      <c r="AF920" s="84"/>
      <c r="AG920" s="84"/>
      <c r="AH920" s="84"/>
      <c r="AI920" s="84"/>
    </row>
    <row r="921" ht="15.75" customHeight="1">
      <c r="A921" s="84"/>
      <c r="B921" s="84"/>
      <c r="C921" s="84"/>
      <c r="D921" s="84"/>
      <c r="E921" s="84"/>
      <c r="F921" s="276"/>
      <c r="H921" s="275"/>
      <c r="I921" s="275"/>
      <c r="J921" s="275"/>
      <c r="K921" s="275"/>
      <c r="L921" s="275"/>
      <c r="M921" s="275"/>
      <c r="N921" s="260"/>
      <c r="O921" s="99"/>
      <c r="P921" s="99"/>
      <c r="Q921" s="99"/>
      <c r="R921" s="99"/>
      <c r="S921" s="99"/>
      <c r="T921" s="99"/>
      <c r="U921" s="99"/>
      <c r="V921" s="99"/>
      <c r="W921" s="99"/>
      <c r="X921" s="99"/>
      <c r="Y921" s="99"/>
      <c r="Z921" s="99"/>
      <c r="AB921" s="84"/>
      <c r="AC921" s="84"/>
      <c r="AD921" s="84"/>
      <c r="AE921" s="84"/>
      <c r="AF921" s="84"/>
      <c r="AG921" s="84"/>
      <c r="AH921" s="84"/>
      <c r="AI921" s="84"/>
    </row>
    <row r="922" ht="15.75" customHeight="1">
      <c r="A922" s="84"/>
      <c r="B922" s="84"/>
      <c r="C922" s="84"/>
      <c r="D922" s="84"/>
      <c r="E922" s="84"/>
      <c r="F922" s="276"/>
      <c r="H922" s="275"/>
      <c r="I922" s="275"/>
      <c r="J922" s="275"/>
      <c r="K922" s="275"/>
      <c r="L922" s="275"/>
      <c r="M922" s="275"/>
      <c r="N922" s="260"/>
      <c r="O922" s="99"/>
      <c r="P922" s="99"/>
      <c r="Q922" s="99"/>
      <c r="R922" s="99"/>
      <c r="S922" s="99"/>
      <c r="T922" s="99"/>
      <c r="U922" s="99"/>
      <c r="V922" s="99"/>
      <c r="W922" s="99"/>
      <c r="X922" s="99"/>
      <c r="Y922" s="99"/>
      <c r="Z922" s="99"/>
      <c r="AB922" s="84"/>
      <c r="AC922" s="84"/>
      <c r="AD922" s="84"/>
      <c r="AE922" s="84"/>
      <c r="AF922" s="84"/>
      <c r="AG922" s="84"/>
      <c r="AH922" s="84"/>
      <c r="AI922" s="84"/>
    </row>
    <row r="923" ht="15.75" customHeight="1">
      <c r="A923" s="84"/>
      <c r="B923" s="84"/>
      <c r="C923" s="84"/>
      <c r="D923" s="84"/>
      <c r="E923" s="84"/>
      <c r="F923" s="276"/>
      <c r="H923" s="275"/>
      <c r="I923" s="275"/>
      <c r="J923" s="275"/>
      <c r="K923" s="275"/>
      <c r="L923" s="275"/>
      <c r="M923" s="275"/>
      <c r="N923" s="260"/>
      <c r="O923" s="99"/>
      <c r="P923" s="99"/>
      <c r="Q923" s="99"/>
      <c r="R923" s="99"/>
      <c r="S923" s="99"/>
      <c r="T923" s="99"/>
      <c r="U923" s="99"/>
      <c r="V923" s="99"/>
      <c r="W923" s="99"/>
      <c r="X923" s="99"/>
      <c r="Y923" s="99"/>
      <c r="Z923" s="99"/>
      <c r="AB923" s="84"/>
      <c r="AC923" s="84"/>
      <c r="AD923" s="84"/>
      <c r="AE923" s="84"/>
      <c r="AF923" s="84"/>
      <c r="AG923" s="84"/>
      <c r="AH923" s="84"/>
      <c r="AI923" s="84"/>
    </row>
    <row r="924" ht="15.75" customHeight="1">
      <c r="A924" s="84"/>
      <c r="B924" s="84"/>
      <c r="C924" s="84"/>
      <c r="D924" s="84"/>
      <c r="E924" s="84"/>
      <c r="F924" s="276"/>
      <c r="H924" s="275"/>
      <c r="I924" s="275"/>
      <c r="J924" s="275"/>
      <c r="K924" s="275"/>
      <c r="L924" s="275"/>
      <c r="M924" s="275"/>
      <c r="N924" s="260"/>
      <c r="O924" s="99"/>
      <c r="P924" s="99"/>
      <c r="Q924" s="99"/>
      <c r="R924" s="99"/>
      <c r="S924" s="99"/>
      <c r="T924" s="99"/>
      <c r="U924" s="99"/>
      <c r="V924" s="99"/>
      <c r="W924" s="99"/>
      <c r="X924" s="99"/>
      <c r="Y924" s="99"/>
      <c r="Z924" s="99"/>
      <c r="AB924" s="84"/>
      <c r="AC924" s="84"/>
      <c r="AD924" s="84"/>
      <c r="AE924" s="84"/>
      <c r="AF924" s="84"/>
      <c r="AG924" s="84"/>
      <c r="AH924" s="84"/>
      <c r="AI924" s="84"/>
    </row>
    <row r="925" ht="15.75" customHeight="1">
      <c r="A925" s="84"/>
      <c r="B925" s="84"/>
      <c r="C925" s="84"/>
      <c r="D925" s="84"/>
      <c r="E925" s="84"/>
      <c r="F925" s="276"/>
      <c r="H925" s="275"/>
      <c r="I925" s="275"/>
      <c r="J925" s="275"/>
      <c r="K925" s="275"/>
      <c r="L925" s="275"/>
      <c r="M925" s="275"/>
      <c r="N925" s="260"/>
      <c r="O925" s="99"/>
      <c r="P925" s="99"/>
      <c r="Q925" s="99"/>
      <c r="R925" s="99"/>
      <c r="S925" s="99"/>
      <c r="T925" s="99"/>
      <c r="U925" s="99"/>
      <c r="V925" s="99"/>
      <c r="W925" s="99"/>
      <c r="X925" s="99"/>
      <c r="Y925" s="99"/>
      <c r="Z925" s="99"/>
      <c r="AB925" s="84"/>
      <c r="AC925" s="84"/>
      <c r="AD925" s="84"/>
      <c r="AE925" s="84"/>
      <c r="AF925" s="84"/>
      <c r="AG925" s="84"/>
      <c r="AH925" s="84"/>
      <c r="AI925" s="84"/>
    </row>
    <row r="926" ht="15.75" customHeight="1">
      <c r="A926" s="84"/>
      <c r="B926" s="84"/>
      <c r="C926" s="84"/>
      <c r="D926" s="84"/>
      <c r="E926" s="84"/>
      <c r="F926" s="276"/>
      <c r="H926" s="275"/>
      <c r="I926" s="275"/>
      <c r="J926" s="275"/>
      <c r="K926" s="275"/>
      <c r="L926" s="275"/>
      <c r="M926" s="275"/>
      <c r="N926" s="260"/>
      <c r="O926" s="99"/>
      <c r="P926" s="99"/>
      <c r="Q926" s="99"/>
      <c r="R926" s="99"/>
      <c r="S926" s="99"/>
      <c r="T926" s="99"/>
      <c r="U926" s="99"/>
      <c r="V926" s="99"/>
      <c r="W926" s="99"/>
      <c r="X926" s="99"/>
      <c r="Y926" s="99"/>
      <c r="Z926" s="99"/>
      <c r="AB926" s="84"/>
      <c r="AC926" s="84"/>
      <c r="AD926" s="84"/>
      <c r="AE926" s="84"/>
      <c r="AF926" s="84"/>
      <c r="AG926" s="84"/>
      <c r="AH926" s="84"/>
      <c r="AI926" s="84"/>
    </row>
    <row r="927" ht="15.75" customHeight="1">
      <c r="A927" s="84"/>
      <c r="B927" s="84"/>
      <c r="C927" s="84"/>
      <c r="D927" s="84"/>
      <c r="E927" s="84"/>
      <c r="F927" s="276"/>
      <c r="H927" s="275"/>
      <c r="I927" s="275"/>
      <c r="J927" s="275"/>
      <c r="K927" s="275"/>
      <c r="L927" s="275"/>
      <c r="M927" s="275"/>
      <c r="N927" s="260"/>
      <c r="O927" s="99"/>
      <c r="P927" s="99"/>
      <c r="Q927" s="99"/>
      <c r="R927" s="99"/>
      <c r="S927" s="99"/>
      <c r="T927" s="99"/>
      <c r="U927" s="99"/>
      <c r="V927" s="99"/>
      <c r="W927" s="99"/>
      <c r="X927" s="99"/>
      <c r="Y927" s="99"/>
      <c r="Z927" s="99"/>
      <c r="AB927" s="84"/>
      <c r="AC927" s="84"/>
      <c r="AD927" s="84"/>
      <c r="AE927" s="84"/>
      <c r="AF927" s="84"/>
      <c r="AG927" s="84"/>
      <c r="AH927" s="84"/>
      <c r="AI927" s="84"/>
    </row>
    <row r="928" ht="15.75" customHeight="1">
      <c r="A928" s="84"/>
      <c r="B928" s="84"/>
      <c r="C928" s="84"/>
      <c r="D928" s="84"/>
      <c r="E928" s="84"/>
      <c r="F928" s="276"/>
      <c r="H928" s="275"/>
      <c r="I928" s="275"/>
      <c r="J928" s="275"/>
      <c r="K928" s="275"/>
      <c r="L928" s="275"/>
      <c r="M928" s="275"/>
      <c r="N928" s="260"/>
      <c r="O928" s="99"/>
      <c r="P928" s="99"/>
      <c r="Q928" s="99"/>
      <c r="R928" s="99"/>
      <c r="S928" s="99"/>
      <c r="T928" s="99"/>
      <c r="U928" s="99"/>
      <c r="V928" s="99"/>
      <c r="W928" s="99"/>
      <c r="X928" s="99"/>
      <c r="Y928" s="99"/>
      <c r="Z928" s="99"/>
      <c r="AB928" s="84"/>
      <c r="AC928" s="84"/>
      <c r="AD928" s="84"/>
      <c r="AE928" s="84"/>
      <c r="AF928" s="84"/>
      <c r="AG928" s="84"/>
      <c r="AH928" s="84"/>
      <c r="AI928" s="84"/>
    </row>
    <row r="929" ht="15.75" customHeight="1">
      <c r="A929" s="84"/>
      <c r="B929" s="84"/>
      <c r="C929" s="84"/>
      <c r="D929" s="84"/>
      <c r="E929" s="84"/>
      <c r="F929" s="276"/>
      <c r="H929" s="275"/>
      <c r="I929" s="275"/>
      <c r="J929" s="275"/>
      <c r="K929" s="275"/>
      <c r="L929" s="275"/>
      <c r="M929" s="275"/>
      <c r="N929" s="260"/>
      <c r="O929" s="99"/>
      <c r="P929" s="99"/>
      <c r="Q929" s="99"/>
      <c r="R929" s="99"/>
      <c r="S929" s="99"/>
      <c r="T929" s="99"/>
      <c r="U929" s="99"/>
      <c r="V929" s="99"/>
      <c r="W929" s="99"/>
      <c r="X929" s="99"/>
      <c r="Y929" s="99"/>
      <c r="Z929" s="99"/>
      <c r="AB929" s="84"/>
      <c r="AC929" s="84"/>
      <c r="AD929" s="84"/>
      <c r="AE929" s="84"/>
      <c r="AF929" s="84"/>
      <c r="AG929" s="84"/>
      <c r="AH929" s="84"/>
      <c r="AI929" s="84"/>
    </row>
    <row r="930" ht="15.75" customHeight="1">
      <c r="A930" s="84"/>
      <c r="B930" s="84"/>
      <c r="C930" s="84"/>
      <c r="D930" s="84"/>
      <c r="E930" s="84"/>
      <c r="F930" s="276"/>
      <c r="H930" s="275"/>
      <c r="I930" s="275"/>
      <c r="J930" s="275"/>
      <c r="K930" s="275"/>
      <c r="L930" s="275"/>
      <c r="M930" s="275"/>
      <c r="N930" s="260"/>
      <c r="O930" s="99"/>
      <c r="P930" s="99"/>
      <c r="Q930" s="99"/>
      <c r="R930" s="99"/>
      <c r="S930" s="99"/>
      <c r="T930" s="99"/>
      <c r="U930" s="99"/>
      <c r="V930" s="99"/>
      <c r="W930" s="99"/>
      <c r="X930" s="99"/>
      <c r="Y930" s="99"/>
      <c r="Z930" s="99"/>
      <c r="AB930" s="84"/>
      <c r="AC930" s="84"/>
      <c r="AD930" s="84"/>
      <c r="AE930" s="84"/>
      <c r="AF930" s="84"/>
      <c r="AG930" s="84"/>
      <c r="AH930" s="84"/>
      <c r="AI930" s="84"/>
    </row>
    <row r="931" ht="15.75" customHeight="1">
      <c r="A931" s="84"/>
      <c r="B931" s="84"/>
      <c r="C931" s="84"/>
      <c r="D931" s="84"/>
      <c r="E931" s="84"/>
      <c r="F931" s="276"/>
      <c r="H931" s="275"/>
      <c r="I931" s="275"/>
      <c r="J931" s="275"/>
      <c r="K931" s="275"/>
      <c r="L931" s="275"/>
      <c r="M931" s="275"/>
      <c r="N931" s="260"/>
      <c r="O931" s="99"/>
      <c r="P931" s="99"/>
      <c r="Q931" s="99"/>
      <c r="R931" s="99"/>
      <c r="S931" s="99"/>
      <c r="T931" s="99"/>
      <c r="U931" s="99"/>
      <c r="V931" s="99"/>
      <c r="W931" s="99"/>
      <c r="X931" s="99"/>
      <c r="Y931" s="99"/>
      <c r="Z931" s="99"/>
      <c r="AB931" s="84"/>
      <c r="AC931" s="84"/>
      <c r="AD931" s="84"/>
      <c r="AE931" s="84"/>
      <c r="AF931" s="84"/>
      <c r="AG931" s="84"/>
      <c r="AH931" s="84"/>
      <c r="AI931" s="84"/>
    </row>
    <row r="932" ht="15.75" customHeight="1">
      <c r="A932" s="84"/>
      <c r="B932" s="84"/>
      <c r="C932" s="84"/>
      <c r="D932" s="84"/>
      <c r="E932" s="84"/>
      <c r="F932" s="276"/>
      <c r="H932" s="275"/>
      <c r="I932" s="275"/>
      <c r="J932" s="275"/>
      <c r="K932" s="275"/>
      <c r="L932" s="275"/>
      <c r="M932" s="275"/>
      <c r="N932" s="260"/>
      <c r="O932" s="99"/>
      <c r="P932" s="99"/>
      <c r="Q932" s="99"/>
      <c r="R932" s="99"/>
      <c r="S932" s="99"/>
      <c r="T932" s="99"/>
      <c r="U932" s="99"/>
      <c r="V932" s="99"/>
      <c r="W932" s="99"/>
      <c r="X932" s="99"/>
      <c r="Y932" s="99"/>
      <c r="Z932" s="99"/>
      <c r="AB932" s="84"/>
      <c r="AC932" s="84"/>
      <c r="AD932" s="84"/>
      <c r="AE932" s="84"/>
      <c r="AF932" s="84"/>
      <c r="AG932" s="84"/>
      <c r="AH932" s="84"/>
      <c r="AI932" s="84"/>
    </row>
    <row r="933" ht="15.75" customHeight="1">
      <c r="A933" s="84"/>
      <c r="B933" s="84"/>
      <c r="C933" s="84"/>
      <c r="D933" s="84"/>
      <c r="E933" s="84"/>
      <c r="F933" s="276"/>
      <c r="H933" s="275"/>
      <c r="I933" s="275"/>
      <c r="J933" s="275"/>
      <c r="K933" s="275"/>
      <c r="L933" s="275"/>
      <c r="M933" s="275"/>
      <c r="N933" s="260"/>
      <c r="O933" s="99"/>
      <c r="P933" s="99"/>
      <c r="Q933" s="99"/>
      <c r="R933" s="99"/>
      <c r="S933" s="99"/>
      <c r="T933" s="99"/>
      <c r="U933" s="99"/>
      <c r="V933" s="99"/>
      <c r="W933" s="99"/>
      <c r="X933" s="99"/>
      <c r="Y933" s="99"/>
      <c r="Z933" s="99"/>
      <c r="AB933" s="84"/>
      <c r="AC933" s="84"/>
      <c r="AD933" s="84"/>
      <c r="AE933" s="84"/>
      <c r="AF933" s="84"/>
      <c r="AG933" s="84"/>
      <c r="AH933" s="84"/>
      <c r="AI933" s="84"/>
    </row>
    <row r="934" ht="15.75" customHeight="1">
      <c r="A934" s="84"/>
      <c r="B934" s="84"/>
      <c r="C934" s="84"/>
      <c r="D934" s="84"/>
      <c r="E934" s="84"/>
      <c r="F934" s="276"/>
      <c r="H934" s="275"/>
      <c r="I934" s="275"/>
      <c r="J934" s="275"/>
      <c r="K934" s="275"/>
      <c r="L934" s="275"/>
      <c r="M934" s="275"/>
      <c r="N934" s="260"/>
      <c r="O934" s="99"/>
      <c r="P934" s="99"/>
      <c r="Q934" s="99"/>
      <c r="R934" s="99"/>
      <c r="S934" s="99"/>
      <c r="T934" s="99"/>
      <c r="U934" s="99"/>
      <c r="V934" s="99"/>
      <c r="W934" s="99"/>
      <c r="X934" s="99"/>
      <c r="Y934" s="99"/>
      <c r="Z934" s="99"/>
      <c r="AB934" s="84"/>
      <c r="AC934" s="84"/>
      <c r="AD934" s="84"/>
      <c r="AE934" s="84"/>
      <c r="AF934" s="84"/>
      <c r="AG934" s="84"/>
      <c r="AH934" s="84"/>
      <c r="AI934" s="84"/>
    </row>
    <row r="935" ht="15.75" customHeight="1">
      <c r="A935" s="84"/>
      <c r="B935" s="84"/>
      <c r="C935" s="84"/>
      <c r="D935" s="84"/>
      <c r="E935" s="84"/>
      <c r="F935" s="276"/>
      <c r="H935" s="275"/>
      <c r="I935" s="275"/>
      <c r="J935" s="275"/>
      <c r="K935" s="275"/>
      <c r="L935" s="275"/>
      <c r="M935" s="275"/>
      <c r="N935" s="260"/>
      <c r="O935" s="99"/>
      <c r="P935" s="99"/>
      <c r="Q935" s="99"/>
      <c r="R935" s="99"/>
      <c r="S935" s="99"/>
      <c r="T935" s="99"/>
      <c r="U935" s="99"/>
      <c r="V935" s="99"/>
      <c r="W935" s="99"/>
      <c r="X935" s="99"/>
      <c r="Y935" s="99"/>
      <c r="Z935" s="99"/>
      <c r="AB935" s="84"/>
      <c r="AC935" s="84"/>
      <c r="AD935" s="84"/>
      <c r="AE935" s="84"/>
      <c r="AF935" s="84"/>
      <c r="AG935" s="84"/>
      <c r="AH935" s="84"/>
      <c r="AI935" s="84"/>
    </row>
    <row r="936" ht="15.75" customHeight="1">
      <c r="A936" s="84"/>
      <c r="B936" s="84"/>
      <c r="C936" s="84"/>
      <c r="D936" s="84"/>
      <c r="E936" s="84"/>
      <c r="F936" s="276"/>
      <c r="H936" s="275"/>
      <c r="I936" s="275"/>
      <c r="J936" s="275"/>
      <c r="K936" s="275"/>
      <c r="L936" s="275"/>
      <c r="M936" s="275"/>
      <c r="N936" s="260"/>
      <c r="O936" s="99"/>
      <c r="P936" s="99"/>
      <c r="Q936" s="99"/>
      <c r="R936" s="99"/>
      <c r="S936" s="99"/>
      <c r="T936" s="99"/>
      <c r="U936" s="99"/>
      <c r="V936" s="99"/>
      <c r="W936" s="99"/>
      <c r="X936" s="99"/>
      <c r="Y936" s="99"/>
      <c r="Z936" s="99"/>
      <c r="AB936" s="84"/>
      <c r="AC936" s="84"/>
      <c r="AD936" s="84"/>
      <c r="AE936" s="84"/>
      <c r="AF936" s="84"/>
      <c r="AG936" s="84"/>
      <c r="AH936" s="84"/>
      <c r="AI936" s="84"/>
    </row>
    <row r="937" ht="15.75" customHeight="1">
      <c r="A937" s="84"/>
      <c r="B937" s="84"/>
      <c r="C937" s="84"/>
      <c r="D937" s="84"/>
      <c r="E937" s="84"/>
      <c r="F937" s="276"/>
      <c r="H937" s="275"/>
      <c r="I937" s="275"/>
      <c r="J937" s="275"/>
      <c r="K937" s="275"/>
      <c r="L937" s="275"/>
      <c r="M937" s="275"/>
      <c r="N937" s="260"/>
      <c r="O937" s="99"/>
      <c r="P937" s="99"/>
      <c r="Q937" s="99"/>
      <c r="R937" s="99"/>
      <c r="S937" s="99"/>
      <c r="T937" s="99"/>
      <c r="U937" s="99"/>
      <c r="V937" s="99"/>
      <c r="W937" s="99"/>
      <c r="X937" s="99"/>
      <c r="Y937" s="99"/>
      <c r="Z937" s="99"/>
      <c r="AB937" s="84"/>
      <c r="AC937" s="84"/>
      <c r="AD937" s="84"/>
      <c r="AE937" s="84"/>
      <c r="AF937" s="84"/>
      <c r="AG937" s="84"/>
      <c r="AH937" s="84"/>
      <c r="AI937" s="84"/>
    </row>
    <row r="938" ht="15.75" customHeight="1">
      <c r="A938" s="84"/>
      <c r="B938" s="84"/>
      <c r="C938" s="84"/>
      <c r="D938" s="84"/>
      <c r="E938" s="84"/>
      <c r="F938" s="276"/>
      <c r="H938" s="275"/>
      <c r="I938" s="275"/>
      <c r="J938" s="275"/>
      <c r="K938" s="275"/>
      <c r="L938" s="275"/>
      <c r="M938" s="275"/>
      <c r="N938" s="260"/>
      <c r="O938" s="99"/>
      <c r="P938" s="99"/>
      <c r="Q938" s="99"/>
      <c r="R938" s="99"/>
      <c r="S938" s="99"/>
      <c r="T938" s="99"/>
      <c r="U938" s="99"/>
      <c r="V938" s="99"/>
      <c r="W938" s="99"/>
      <c r="X938" s="99"/>
      <c r="Y938" s="99"/>
      <c r="Z938" s="99"/>
      <c r="AB938" s="84"/>
      <c r="AC938" s="84"/>
      <c r="AD938" s="84"/>
      <c r="AE938" s="84"/>
      <c r="AF938" s="84"/>
      <c r="AG938" s="84"/>
      <c r="AH938" s="84"/>
      <c r="AI938" s="84"/>
    </row>
    <row r="939" ht="15.75" customHeight="1">
      <c r="A939" s="84"/>
      <c r="B939" s="84"/>
      <c r="C939" s="84"/>
      <c r="D939" s="84"/>
      <c r="E939" s="84"/>
      <c r="F939" s="276"/>
      <c r="H939" s="275"/>
      <c r="I939" s="275"/>
      <c r="J939" s="275"/>
      <c r="K939" s="275"/>
      <c r="L939" s="275"/>
      <c r="M939" s="275"/>
      <c r="N939" s="260"/>
      <c r="O939" s="99"/>
      <c r="P939" s="99"/>
      <c r="Q939" s="99"/>
      <c r="R939" s="99"/>
      <c r="S939" s="99"/>
      <c r="T939" s="99"/>
      <c r="U939" s="99"/>
      <c r="V939" s="99"/>
      <c r="W939" s="99"/>
      <c r="X939" s="99"/>
      <c r="Y939" s="99"/>
      <c r="Z939" s="99"/>
      <c r="AB939" s="84"/>
      <c r="AC939" s="84"/>
      <c r="AD939" s="84"/>
      <c r="AE939" s="84"/>
      <c r="AF939" s="84"/>
      <c r="AG939" s="84"/>
      <c r="AH939" s="84"/>
      <c r="AI939" s="84"/>
    </row>
    <row r="940" ht="15.75" customHeight="1">
      <c r="A940" s="84"/>
      <c r="B940" s="84"/>
      <c r="C940" s="84"/>
      <c r="D940" s="84"/>
      <c r="E940" s="84"/>
      <c r="F940" s="276"/>
      <c r="H940" s="275"/>
      <c r="I940" s="275"/>
      <c r="J940" s="275"/>
      <c r="K940" s="275"/>
      <c r="L940" s="275"/>
      <c r="M940" s="275"/>
      <c r="N940" s="260"/>
      <c r="O940" s="99"/>
      <c r="P940" s="99"/>
      <c r="Q940" s="99"/>
      <c r="R940" s="99"/>
      <c r="S940" s="99"/>
      <c r="T940" s="99"/>
      <c r="U940" s="99"/>
      <c r="V940" s="99"/>
      <c r="W940" s="99"/>
      <c r="X940" s="99"/>
      <c r="Y940" s="99"/>
      <c r="Z940" s="99"/>
      <c r="AB940" s="84"/>
      <c r="AC940" s="84"/>
      <c r="AD940" s="84"/>
      <c r="AE940" s="84"/>
      <c r="AF940" s="84"/>
      <c r="AG940" s="84"/>
      <c r="AH940" s="84"/>
      <c r="AI940" s="84"/>
    </row>
    <row r="941" ht="15.75" customHeight="1">
      <c r="A941" s="84"/>
      <c r="B941" s="84"/>
      <c r="C941" s="84"/>
      <c r="D941" s="84"/>
      <c r="E941" s="84"/>
      <c r="F941" s="276"/>
      <c r="H941" s="275"/>
      <c r="I941" s="275"/>
      <c r="J941" s="275"/>
      <c r="K941" s="275"/>
      <c r="L941" s="275"/>
      <c r="M941" s="275"/>
      <c r="N941" s="260"/>
      <c r="O941" s="99"/>
      <c r="P941" s="99"/>
      <c r="Q941" s="99"/>
      <c r="R941" s="99"/>
      <c r="S941" s="99"/>
      <c r="T941" s="99"/>
      <c r="U941" s="99"/>
      <c r="V941" s="99"/>
      <c r="W941" s="99"/>
      <c r="X941" s="99"/>
      <c r="Y941" s="99"/>
      <c r="Z941" s="99"/>
      <c r="AB941" s="84"/>
      <c r="AC941" s="84"/>
      <c r="AD941" s="84"/>
      <c r="AE941" s="84"/>
      <c r="AF941" s="84"/>
      <c r="AG941" s="84"/>
      <c r="AH941" s="84"/>
      <c r="AI941" s="84"/>
    </row>
    <row r="942" ht="15.75" customHeight="1">
      <c r="A942" s="84"/>
      <c r="B942" s="84"/>
      <c r="C942" s="84"/>
      <c r="D942" s="84"/>
      <c r="E942" s="84"/>
      <c r="F942" s="276"/>
      <c r="H942" s="275"/>
      <c r="I942" s="275"/>
      <c r="J942" s="275"/>
      <c r="K942" s="275"/>
      <c r="L942" s="275"/>
      <c r="M942" s="275"/>
      <c r="N942" s="260"/>
      <c r="O942" s="99"/>
      <c r="P942" s="99"/>
      <c r="Q942" s="99"/>
      <c r="R942" s="99"/>
      <c r="S942" s="99"/>
      <c r="T942" s="99"/>
      <c r="U942" s="99"/>
      <c r="V942" s="99"/>
      <c r="W942" s="99"/>
      <c r="X942" s="99"/>
      <c r="Y942" s="99"/>
      <c r="Z942" s="99"/>
      <c r="AB942" s="84"/>
      <c r="AC942" s="84"/>
      <c r="AD942" s="84"/>
      <c r="AE942" s="84"/>
      <c r="AF942" s="84"/>
      <c r="AG942" s="84"/>
      <c r="AH942" s="84"/>
      <c r="AI942" s="84"/>
    </row>
    <row r="943" ht="15.75" customHeight="1">
      <c r="A943" s="84"/>
      <c r="B943" s="84"/>
      <c r="C943" s="84"/>
      <c r="D943" s="84"/>
      <c r="E943" s="84"/>
      <c r="F943" s="276"/>
      <c r="H943" s="275"/>
      <c r="I943" s="275"/>
      <c r="J943" s="275"/>
      <c r="K943" s="275"/>
      <c r="L943" s="275"/>
      <c r="M943" s="275"/>
      <c r="N943" s="260"/>
      <c r="O943" s="99"/>
      <c r="P943" s="99"/>
      <c r="Q943" s="99"/>
      <c r="R943" s="99"/>
      <c r="S943" s="99"/>
      <c r="T943" s="99"/>
      <c r="U943" s="99"/>
      <c r="V943" s="99"/>
      <c r="W943" s="99"/>
      <c r="X943" s="99"/>
      <c r="Y943" s="99"/>
      <c r="Z943" s="99"/>
      <c r="AB943" s="84"/>
      <c r="AC943" s="84"/>
      <c r="AD943" s="84"/>
      <c r="AE943" s="84"/>
      <c r="AF943" s="84"/>
      <c r="AG943" s="84"/>
      <c r="AH943" s="84"/>
      <c r="AI943" s="84"/>
    </row>
    <row r="944" ht="15.75" customHeight="1">
      <c r="A944" s="84"/>
      <c r="B944" s="84"/>
      <c r="C944" s="84"/>
      <c r="D944" s="84"/>
      <c r="E944" s="84"/>
      <c r="F944" s="276"/>
      <c r="H944" s="275"/>
      <c r="I944" s="275"/>
      <c r="J944" s="275"/>
      <c r="K944" s="275"/>
      <c r="L944" s="275"/>
      <c r="M944" s="275"/>
      <c r="N944" s="260"/>
      <c r="O944" s="99"/>
      <c r="P944" s="99"/>
      <c r="Q944" s="99"/>
      <c r="R944" s="99"/>
      <c r="S944" s="99"/>
      <c r="T944" s="99"/>
      <c r="U944" s="99"/>
      <c r="V944" s="99"/>
      <c r="W944" s="99"/>
      <c r="X944" s="99"/>
      <c r="Y944" s="99"/>
      <c r="Z944" s="99"/>
      <c r="AB944" s="84"/>
      <c r="AC944" s="84"/>
      <c r="AD944" s="84"/>
      <c r="AE944" s="84"/>
      <c r="AF944" s="84"/>
      <c r="AG944" s="84"/>
      <c r="AH944" s="84"/>
      <c r="AI944" s="84"/>
    </row>
    <row r="945" ht="15.75" customHeight="1">
      <c r="A945" s="84"/>
      <c r="B945" s="84"/>
      <c r="C945" s="84"/>
      <c r="D945" s="84"/>
      <c r="E945" s="84"/>
      <c r="F945" s="276"/>
      <c r="H945" s="275"/>
      <c r="I945" s="275"/>
      <c r="J945" s="275"/>
      <c r="K945" s="275"/>
      <c r="L945" s="275"/>
      <c r="M945" s="275"/>
      <c r="N945" s="260"/>
      <c r="O945" s="99"/>
      <c r="P945" s="99"/>
      <c r="Q945" s="99"/>
      <c r="R945" s="99"/>
      <c r="S945" s="99"/>
      <c r="T945" s="99"/>
      <c r="U945" s="99"/>
      <c r="V945" s="99"/>
      <c r="W945" s="99"/>
      <c r="X945" s="99"/>
      <c r="Y945" s="99"/>
      <c r="Z945" s="99"/>
      <c r="AB945" s="84"/>
      <c r="AC945" s="84"/>
      <c r="AD945" s="84"/>
      <c r="AE945" s="84"/>
      <c r="AF945" s="84"/>
      <c r="AG945" s="84"/>
      <c r="AH945" s="84"/>
      <c r="AI945" s="84"/>
    </row>
    <row r="946" ht="15.75" customHeight="1">
      <c r="A946" s="84"/>
      <c r="B946" s="84"/>
      <c r="C946" s="84"/>
      <c r="D946" s="84"/>
      <c r="E946" s="84"/>
      <c r="F946" s="276"/>
      <c r="H946" s="275"/>
      <c r="I946" s="275"/>
      <c r="J946" s="275"/>
      <c r="K946" s="275"/>
      <c r="L946" s="275"/>
      <c r="M946" s="275"/>
      <c r="N946" s="260"/>
      <c r="O946" s="99"/>
      <c r="P946" s="99"/>
      <c r="Q946" s="99"/>
      <c r="R946" s="99"/>
      <c r="S946" s="99"/>
      <c r="T946" s="99"/>
      <c r="U946" s="99"/>
      <c r="V946" s="99"/>
      <c r="W946" s="99"/>
      <c r="X946" s="99"/>
      <c r="Y946" s="99"/>
      <c r="Z946" s="99"/>
      <c r="AB946" s="84"/>
      <c r="AC946" s="84"/>
      <c r="AD946" s="84"/>
      <c r="AE946" s="84"/>
      <c r="AF946" s="84"/>
      <c r="AG946" s="84"/>
      <c r="AH946" s="84"/>
      <c r="AI946" s="84"/>
    </row>
    <row r="947" ht="15.75" customHeight="1">
      <c r="A947" s="84"/>
      <c r="B947" s="84"/>
      <c r="C947" s="84"/>
      <c r="D947" s="84"/>
      <c r="E947" s="84"/>
      <c r="F947" s="276"/>
      <c r="H947" s="275"/>
      <c r="I947" s="275"/>
      <c r="J947" s="275"/>
      <c r="K947" s="275"/>
      <c r="L947" s="275"/>
      <c r="M947" s="275"/>
      <c r="N947" s="260"/>
      <c r="O947" s="99"/>
      <c r="P947" s="99"/>
      <c r="Q947" s="99"/>
      <c r="R947" s="99"/>
      <c r="S947" s="99"/>
      <c r="T947" s="99"/>
      <c r="U947" s="99"/>
      <c r="V947" s="99"/>
      <c r="W947" s="99"/>
      <c r="X947" s="99"/>
      <c r="Y947" s="99"/>
      <c r="Z947" s="99"/>
      <c r="AB947" s="84"/>
      <c r="AC947" s="84"/>
      <c r="AD947" s="84"/>
      <c r="AE947" s="84"/>
      <c r="AF947" s="84"/>
      <c r="AG947" s="84"/>
      <c r="AH947" s="84"/>
      <c r="AI947" s="84"/>
    </row>
    <row r="948" ht="15.75" customHeight="1">
      <c r="A948" s="84"/>
      <c r="B948" s="84"/>
      <c r="C948" s="84"/>
      <c r="D948" s="84"/>
      <c r="E948" s="84"/>
      <c r="F948" s="276"/>
      <c r="H948" s="275"/>
      <c r="I948" s="275"/>
      <c r="J948" s="275"/>
      <c r="K948" s="275"/>
      <c r="L948" s="275"/>
      <c r="M948" s="275"/>
      <c r="N948" s="260"/>
      <c r="O948" s="99"/>
      <c r="P948" s="99"/>
      <c r="Q948" s="99"/>
      <c r="R948" s="99"/>
      <c r="S948" s="99"/>
      <c r="T948" s="99"/>
      <c r="U948" s="99"/>
      <c r="V948" s="99"/>
      <c r="W948" s="99"/>
      <c r="X948" s="99"/>
      <c r="Y948" s="99"/>
      <c r="Z948" s="99"/>
      <c r="AB948" s="84"/>
      <c r="AC948" s="84"/>
      <c r="AD948" s="84"/>
      <c r="AE948" s="84"/>
      <c r="AF948" s="84"/>
      <c r="AG948" s="84"/>
      <c r="AH948" s="84"/>
      <c r="AI948" s="84"/>
    </row>
    <row r="949" ht="15.75" customHeight="1">
      <c r="A949" s="84"/>
      <c r="B949" s="84"/>
      <c r="C949" s="84"/>
      <c r="D949" s="84"/>
      <c r="E949" s="84"/>
      <c r="F949" s="276"/>
      <c r="H949" s="275"/>
      <c r="I949" s="275"/>
      <c r="J949" s="275"/>
      <c r="K949" s="275"/>
      <c r="L949" s="275"/>
      <c r="M949" s="275"/>
      <c r="N949" s="260"/>
      <c r="O949" s="99"/>
      <c r="P949" s="99"/>
      <c r="Q949" s="99"/>
      <c r="R949" s="99"/>
      <c r="S949" s="99"/>
      <c r="T949" s="99"/>
      <c r="U949" s="99"/>
      <c r="V949" s="99"/>
      <c r="W949" s="99"/>
      <c r="X949" s="99"/>
      <c r="Y949" s="99"/>
      <c r="Z949" s="99"/>
      <c r="AB949" s="84"/>
      <c r="AC949" s="84"/>
      <c r="AD949" s="84"/>
      <c r="AE949" s="84"/>
      <c r="AF949" s="84"/>
      <c r="AG949" s="84"/>
      <c r="AH949" s="84"/>
      <c r="AI949" s="84"/>
    </row>
    <row r="950" ht="15.75" customHeight="1">
      <c r="A950" s="84"/>
      <c r="B950" s="84"/>
      <c r="C950" s="84"/>
      <c r="D950" s="84"/>
      <c r="E950" s="84"/>
      <c r="F950" s="276"/>
      <c r="H950" s="275"/>
      <c r="I950" s="275"/>
      <c r="J950" s="275"/>
      <c r="K950" s="275"/>
      <c r="L950" s="275"/>
      <c r="M950" s="275"/>
      <c r="N950" s="260"/>
      <c r="O950" s="99"/>
      <c r="P950" s="99"/>
      <c r="Q950" s="99"/>
      <c r="R950" s="99"/>
      <c r="S950" s="99"/>
      <c r="T950" s="99"/>
      <c r="U950" s="99"/>
      <c r="V950" s="99"/>
      <c r="W950" s="99"/>
      <c r="X950" s="99"/>
      <c r="Y950" s="99"/>
      <c r="Z950" s="99"/>
      <c r="AB950" s="84"/>
      <c r="AC950" s="84"/>
      <c r="AD950" s="84"/>
      <c r="AE950" s="84"/>
      <c r="AF950" s="84"/>
      <c r="AG950" s="84"/>
      <c r="AH950" s="84"/>
      <c r="AI950" s="84"/>
    </row>
    <row r="951" ht="15.75" customHeight="1">
      <c r="A951" s="84"/>
      <c r="B951" s="84"/>
      <c r="C951" s="84"/>
      <c r="D951" s="84"/>
      <c r="E951" s="84"/>
      <c r="F951" s="276"/>
      <c r="H951" s="275"/>
      <c r="I951" s="275"/>
      <c r="J951" s="275"/>
      <c r="K951" s="275"/>
      <c r="L951" s="275"/>
      <c r="M951" s="275"/>
      <c r="N951" s="260"/>
      <c r="O951" s="99"/>
      <c r="P951" s="99"/>
      <c r="Q951" s="99"/>
      <c r="R951" s="99"/>
      <c r="S951" s="99"/>
      <c r="T951" s="99"/>
      <c r="U951" s="99"/>
      <c r="V951" s="99"/>
      <c r="W951" s="99"/>
      <c r="X951" s="99"/>
      <c r="Y951" s="99"/>
      <c r="Z951" s="99"/>
      <c r="AB951" s="84"/>
      <c r="AC951" s="84"/>
      <c r="AD951" s="84"/>
      <c r="AE951" s="84"/>
      <c r="AF951" s="84"/>
      <c r="AG951" s="84"/>
      <c r="AH951" s="84"/>
      <c r="AI951" s="84"/>
    </row>
    <row r="952" ht="15.75" customHeight="1">
      <c r="A952" s="84"/>
      <c r="B952" s="84"/>
      <c r="C952" s="84"/>
      <c r="D952" s="84"/>
      <c r="E952" s="84"/>
      <c r="F952" s="276"/>
      <c r="H952" s="275"/>
      <c r="I952" s="275"/>
      <c r="J952" s="275"/>
      <c r="K952" s="275"/>
      <c r="L952" s="275"/>
      <c r="M952" s="275"/>
      <c r="N952" s="260"/>
      <c r="O952" s="99"/>
      <c r="P952" s="99"/>
      <c r="Q952" s="99"/>
      <c r="R952" s="99"/>
      <c r="S952" s="99"/>
      <c r="T952" s="99"/>
      <c r="U952" s="99"/>
      <c r="V952" s="99"/>
      <c r="W952" s="99"/>
      <c r="X952" s="99"/>
      <c r="Y952" s="99"/>
      <c r="Z952" s="99"/>
      <c r="AB952" s="84"/>
      <c r="AC952" s="84"/>
      <c r="AD952" s="84"/>
      <c r="AE952" s="84"/>
      <c r="AF952" s="84"/>
      <c r="AG952" s="84"/>
      <c r="AH952" s="84"/>
      <c r="AI952" s="84"/>
    </row>
    <row r="953" ht="15.75" customHeight="1">
      <c r="A953" s="84"/>
      <c r="B953" s="84"/>
      <c r="C953" s="84"/>
      <c r="D953" s="84"/>
      <c r="E953" s="84"/>
      <c r="F953" s="276"/>
      <c r="H953" s="275"/>
      <c r="I953" s="275"/>
      <c r="J953" s="275"/>
      <c r="K953" s="275"/>
      <c r="L953" s="275"/>
      <c r="M953" s="275"/>
      <c r="N953" s="260"/>
      <c r="O953" s="99"/>
      <c r="P953" s="99"/>
      <c r="Q953" s="99"/>
      <c r="R953" s="99"/>
      <c r="S953" s="99"/>
      <c r="T953" s="99"/>
      <c r="U953" s="99"/>
      <c r="V953" s="99"/>
      <c r="W953" s="99"/>
      <c r="X953" s="99"/>
      <c r="Y953" s="99"/>
      <c r="Z953" s="99"/>
      <c r="AB953" s="84"/>
      <c r="AC953" s="84"/>
      <c r="AD953" s="84"/>
      <c r="AE953" s="84"/>
      <c r="AF953" s="84"/>
      <c r="AG953" s="84"/>
      <c r="AH953" s="84"/>
      <c r="AI953" s="84"/>
    </row>
    <row r="954" ht="15.75" customHeight="1">
      <c r="A954" s="84"/>
      <c r="B954" s="84"/>
      <c r="C954" s="84"/>
      <c r="D954" s="84"/>
      <c r="E954" s="84"/>
      <c r="F954" s="276"/>
      <c r="H954" s="275"/>
      <c r="I954" s="275"/>
      <c r="J954" s="275"/>
      <c r="K954" s="275"/>
      <c r="L954" s="275"/>
      <c r="M954" s="275"/>
      <c r="N954" s="260"/>
      <c r="O954" s="99"/>
      <c r="P954" s="99"/>
      <c r="Q954" s="99"/>
      <c r="R954" s="99"/>
      <c r="S954" s="99"/>
      <c r="T954" s="99"/>
      <c r="U954" s="99"/>
      <c r="V954" s="99"/>
      <c r="W954" s="99"/>
      <c r="X954" s="99"/>
      <c r="Y954" s="99"/>
      <c r="Z954" s="99"/>
      <c r="AB954" s="84"/>
      <c r="AC954" s="84"/>
      <c r="AD954" s="84"/>
      <c r="AE954" s="84"/>
      <c r="AF954" s="84"/>
      <c r="AG954" s="84"/>
      <c r="AH954" s="84"/>
      <c r="AI954" s="84"/>
    </row>
    <row r="955" ht="15.75" customHeight="1">
      <c r="A955" s="84"/>
      <c r="B955" s="84"/>
      <c r="C955" s="84"/>
      <c r="D955" s="84"/>
      <c r="E955" s="84"/>
      <c r="F955" s="276"/>
      <c r="H955" s="275"/>
      <c r="I955" s="275"/>
      <c r="J955" s="275"/>
      <c r="K955" s="275"/>
      <c r="L955" s="275"/>
      <c r="M955" s="275"/>
      <c r="N955" s="260"/>
      <c r="O955" s="99"/>
      <c r="P955" s="99"/>
      <c r="Q955" s="99"/>
      <c r="R955" s="99"/>
      <c r="S955" s="99"/>
      <c r="T955" s="99"/>
      <c r="U955" s="99"/>
      <c r="V955" s="99"/>
      <c r="W955" s="99"/>
      <c r="X955" s="99"/>
      <c r="Y955" s="99"/>
      <c r="Z955" s="99"/>
      <c r="AB955" s="84"/>
      <c r="AC955" s="84"/>
      <c r="AD955" s="84"/>
      <c r="AE955" s="84"/>
      <c r="AF955" s="84"/>
      <c r="AG955" s="84"/>
      <c r="AH955" s="84"/>
      <c r="AI955" s="84"/>
    </row>
    <row r="956" ht="15.75" customHeight="1">
      <c r="A956" s="84"/>
      <c r="B956" s="84"/>
      <c r="C956" s="84"/>
      <c r="D956" s="84"/>
      <c r="E956" s="84"/>
      <c r="F956" s="276"/>
      <c r="H956" s="275"/>
      <c r="I956" s="275"/>
      <c r="J956" s="275"/>
      <c r="K956" s="275"/>
      <c r="L956" s="275"/>
      <c r="M956" s="275"/>
      <c r="N956" s="260"/>
      <c r="O956" s="99"/>
      <c r="P956" s="99"/>
      <c r="Q956" s="99"/>
      <c r="R956" s="99"/>
      <c r="S956" s="99"/>
      <c r="T956" s="99"/>
      <c r="U956" s="99"/>
      <c r="V956" s="99"/>
      <c r="W956" s="99"/>
      <c r="X956" s="99"/>
      <c r="Y956" s="99"/>
      <c r="Z956" s="99"/>
      <c r="AB956" s="84"/>
      <c r="AC956" s="84"/>
      <c r="AD956" s="84"/>
      <c r="AE956" s="84"/>
      <c r="AF956" s="84"/>
      <c r="AG956" s="84"/>
      <c r="AH956" s="84"/>
      <c r="AI956" s="84"/>
    </row>
    <row r="957" ht="15.75" customHeight="1">
      <c r="A957" s="84"/>
      <c r="B957" s="84"/>
      <c r="C957" s="84"/>
      <c r="D957" s="84"/>
      <c r="E957" s="84"/>
      <c r="F957" s="276"/>
      <c r="H957" s="275"/>
      <c r="I957" s="275"/>
      <c r="J957" s="275"/>
      <c r="K957" s="275"/>
      <c r="L957" s="275"/>
      <c r="M957" s="275"/>
      <c r="N957" s="260"/>
      <c r="O957" s="99"/>
      <c r="P957" s="99"/>
      <c r="Q957" s="99"/>
      <c r="R957" s="99"/>
      <c r="S957" s="99"/>
      <c r="T957" s="99"/>
      <c r="U957" s="99"/>
      <c r="V957" s="99"/>
      <c r="W957" s="99"/>
      <c r="X957" s="99"/>
      <c r="Y957" s="99"/>
      <c r="Z957" s="99"/>
      <c r="AB957" s="84"/>
      <c r="AC957" s="84"/>
      <c r="AD957" s="84"/>
      <c r="AE957" s="84"/>
      <c r="AF957" s="84"/>
      <c r="AG957" s="84"/>
      <c r="AH957" s="84"/>
      <c r="AI957" s="84"/>
    </row>
    <row r="958" ht="15.75" customHeight="1">
      <c r="A958" s="84"/>
      <c r="B958" s="84"/>
      <c r="C958" s="84"/>
      <c r="D958" s="84"/>
      <c r="E958" s="84"/>
      <c r="F958" s="276"/>
      <c r="H958" s="275"/>
      <c r="I958" s="275"/>
      <c r="J958" s="275"/>
      <c r="K958" s="275"/>
      <c r="L958" s="275"/>
      <c r="M958" s="275"/>
      <c r="N958" s="260"/>
      <c r="O958" s="99"/>
      <c r="P958" s="99"/>
      <c r="Q958" s="99"/>
      <c r="R958" s="99"/>
      <c r="S958" s="99"/>
      <c r="T958" s="99"/>
      <c r="U958" s="99"/>
      <c r="V958" s="99"/>
      <c r="W958" s="99"/>
      <c r="X958" s="99"/>
      <c r="Y958" s="99"/>
      <c r="Z958" s="99"/>
      <c r="AB958" s="84"/>
      <c r="AC958" s="84"/>
      <c r="AD958" s="84"/>
      <c r="AE958" s="84"/>
      <c r="AF958" s="84"/>
      <c r="AG958" s="84"/>
      <c r="AH958" s="84"/>
      <c r="AI958" s="84"/>
    </row>
    <row r="959" ht="15.75" customHeight="1">
      <c r="A959" s="84"/>
      <c r="B959" s="84"/>
      <c r="C959" s="84"/>
      <c r="D959" s="84"/>
      <c r="E959" s="84"/>
      <c r="F959" s="276"/>
      <c r="H959" s="275"/>
      <c r="I959" s="275"/>
      <c r="J959" s="275"/>
      <c r="K959" s="275"/>
      <c r="L959" s="275"/>
      <c r="M959" s="275"/>
      <c r="N959" s="260"/>
      <c r="O959" s="99"/>
      <c r="P959" s="99"/>
      <c r="Q959" s="99"/>
      <c r="R959" s="99"/>
      <c r="S959" s="99"/>
      <c r="T959" s="99"/>
      <c r="U959" s="99"/>
      <c r="V959" s="99"/>
      <c r="W959" s="99"/>
      <c r="X959" s="99"/>
      <c r="Y959" s="99"/>
      <c r="Z959" s="99"/>
      <c r="AB959" s="84"/>
      <c r="AC959" s="84"/>
      <c r="AD959" s="84"/>
      <c r="AE959" s="84"/>
      <c r="AF959" s="84"/>
      <c r="AG959" s="84"/>
      <c r="AH959" s="84"/>
      <c r="AI959" s="84"/>
    </row>
    <row r="960" ht="15.75" customHeight="1">
      <c r="A960" s="84"/>
      <c r="B960" s="84"/>
      <c r="C960" s="84"/>
      <c r="D960" s="84"/>
      <c r="E960" s="84"/>
      <c r="F960" s="276"/>
      <c r="H960" s="275"/>
      <c r="I960" s="275"/>
      <c r="J960" s="275"/>
      <c r="K960" s="275"/>
      <c r="L960" s="275"/>
      <c r="M960" s="275"/>
      <c r="N960" s="260"/>
      <c r="O960" s="99"/>
      <c r="P960" s="99"/>
      <c r="Q960" s="99"/>
      <c r="R960" s="99"/>
      <c r="S960" s="99"/>
      <c r="T960" s="99"/>
      <c r="U960" s="99"/>
      <c r="V960" s="99"/>
      <c r="W960" s="99"/>
      <c r="X960" s="99"/>
      <c r="Y960" s="99"/>
      <c r="Z960" s="99"/>
      <c r="AB960" s="84"/>
      <c r="AC960" s="84"/>
      <c r="AD960" s="84"/>
      <c r="AE960" s="84"/>
      <c r="AF960" s="84"/>
      <c r="AG960" s="84"/>
      <c r="AH960" s="84"/>
      <c r="AI960" s="84"/>
    </row>
    <row r="961" ht="15.75" customHeight="1">
      <c r="A961" s="84"/>
      <c r="B961" s="84"/>
      <c r="C961" s="84"/>
      <c r="D961" s="84"/>
      <c r="E961" s="84"/>
      <c r="F961" s="276"/>
      <c r="H961" s="275"/>
      <c r="I961" s="275"/>
      <c r="J961" s="275"/>
      <c r="K961" s="275"/>
      <c r="L961" s="275"/>
      <c r="M961" s="275"/>
      <c r="N961" s="260"/>
      <c r="O961" s="99"/>
      <c r="P961" s="99"/>
      <c r="Q961" s="99"/>
      <c r="R961" s="99"/>
      <c r="S961" s="99"/>
      <c r="T961" s="99"/>
      <c r="U961" s="99"/>
      <c r="V961" s="99"/>
      <c r="W961" s="99"/>
      <c r="X961" s="99"/>
      <c r="Y961" s="99"/>
      <c r="Z961" s="99"/>
      <c r="AB961" s="84"/>
      <c r="AC961" s="84"/>
      <c r="AD961" s="84"/>
      <c r="AE961" s="84"/>
      <c r="AF961" s="84"/>
      <c r="AG961" s="84"/>
      <c r="AH961" s="84"/>
      <c r="AI961" s="84"/>
    </row>
    <row r="962" ht="15.75" customHeight="1">
      <c r="A962" s="84"/>
      <c r="B962" s="84"/>
      <c r="C962" s="84"/>
      <c r="D962" s="84"/>
      <c r="E962" s="84"/>
      <c r="F962" s="276"/>
      <c r="H962" s="275"/>
      <c r="I962" s="275"/>
      <c r="J962" s="275"/>
      <c r="K962" s="275"/>
      <c r="L962" s="275"/>
      <c r="M962" s="275"/>
      <c r="N962" s="260"/>
      <c r="O962" s="99"/>
      <c r="P962" s="99"/>
      <c r="Q962" s="99"/>
      <c r="R962" s="99"/>
      <c r="S962" s="99"/>
      <c r="T962" s="99"/>
      <c r="U962" s="99"/>
      <c r="V962" s="99"/>
      <c r="W962" s="99"/>
      <c r="X962" s="99"/>
      <c r="Y962" s="99"/>
      <c r="Z962" s="99"/>
      <c r="AB962" s="84"/>
      <c r="AC962" s="84"/>
      <c r="AD962" s="84"/>
      <c r="AE962" s="84"/>
      <c r="AF962" s="84"/>
      <c r="AG962" s="84"/>
      <c r="AH962" s="84"/>
      <c r="AI962" s="84"/>
    </row>
    <row r="963" ht="15.75" customHeight="1">
      <c r="A963" s="84"/>
      <c r="B963" s="84"/>
      <c r="C963" s="84"/>
      <c r="D963" s="84"/>
      <c r="E963" s="84"/>
      <c r="F963" s="276"/>
      <c r="H963" s="275"/>
      <c r="I963" s="275"/>
      <c r="J963" s="275"/>
      <c r="K963" s="275"/>
      <c r="L963" s="275"/>
      <c r="M963" s="275"/>
      <c r="N963" s="260"/>
      <c r="O963" s="99"/>
      <c r="P963" s="99"/>
      <c r="Q963" s="99"/>
      <c r="R963" s="99"/>
      <c r="S963" s="99"/>
      <c r="T963" s="99"/>
      <c r="U963" s="99"/>
      <c r="V963" s="99"/>
      <c r="W963" s="99"/>
      <c r="X963" s="99"/>
      <c r="Y963" s="99"/>
      <c r="Z963" s="99"/>
      <c r="AB963" s="84"/>
      <c r="AC963" s="84"/>
      <c r="AD963" s="84"/>
      <c r="AE963" s="84"/>
      <c r="AF963" s="84"/>
      <c r="AG963" s="84"/>
      <c r="AH963" s="84"/>
      <c r="AI963" s="84"/>
    </row>
    <row r="964" ht="15.75" customHeight="1">
      <c r="A964" s="84"/>
      <c r="B964" s="84"/>
      <c r="C964" s="84"/>
      <c r="D964" s="84"/>
      <c r="E964" s="84"/>
      <c r="F964" s="276"/>
      <c r="H964" s="275"/>
      <c r="I964" s="275"/>
      <c r="J964" s="275"/>
      <c r="K964" s="275"/>
      <c r="L964" s="275"/>
      <c r="M964" s="275"/>
      <c r="N964" s="260"/>
      <c r="O964" s="99"/>
      <c r="P964" s="99"/>
      <c r="Q964" s="99"/>
      <c r="R964" s="99"/>
      <c r="S964" s="99"/>
      <c r="T964" s="99"/>
      <c r="U964" s="99"/>
      <c r="V964" s="99"/>
      <c r="W964" s="99"/>
      <c r="X964" s="99"/>
      <c r="Y964" s="99"/>
      <c r="Z964" s="99"/>
      <c r="AB964" s="84"/>
      <c r="AC964" s="84"/>
      <c r="AD964" s="84"/>
      <c r="AE964" s="84"/>
      <c r="AF964" s="84"/>
      <c r="AG964" s="84"/>
      <c r="AH964" s="84"/>
      <c r="AI964" s="84"/>
    </row>
    <row r="965" ht="15.75" customHeight="1">
      <c r="A965" s="84"/>
      <c r="B965" s="84"/>
      <c r="C965" s="84"/>
      <c r="D965" s="84"/>
      <c r="E965" s="84"/>
      <c r="F965" s="276"/>
      <c r="H965" s="275"/>
      <c r="I965" s="275"/>
      <c r="J965" s="275"/>
      <c r="K965" s="275"/>
      <c r="L965" s="275"/>
      <c r="M965" s="275"/>
      <c r="N965" s="260"/>
      <c r="O965" s="99"/>
      <c r="P965" s="99"/>
      <c r="Q965" s="99"/>
      <c r="R965" s="99"/>
      <c r="S965" s="99"/>
      <c r="T965" s="99"/>
      <c r="U965" s="99"/>
      <c r="V965" s="99"/>
      <c r="W965" s="99"/>
      <c r="X965" s="99"/>
      <c r="Y965" s="99"/>
      <c r="Z965" s="99"/>
      <c r="AB965" s="84"/>
      <c r="AC965" s="84"/>
      <c r="AD965" s="84"/>
      <c r="AE965" s="84"/>
      <c r="AF965" s="84"/>
      <c r="AG965" s="84"/>
      <c r="AH965" s="84"/>
      <c r="AI965" s="84"/>
    </row>
    <row r="966" ht="15.75" customHeight="1">
      <c r="A966" s="84"/>
      <c r="B966" s="84"/>
      <c r="C966" s="84"/>
      <c r="D966" s="84"/>
      <c r="E966" s="84"/>
      <c r="F966" s="276"/>
      <c r="H966" s="275"/>
      <c r="I966" s="275"/>
      <c r="J966" s="275"/>
      <c r="K966" s="275"/>
      <c r="L966" s="275"/>
      <c r="M966" s="275"/>
      <c r="N966" s="260"/>
      <c r="O966" s="99"/>
      <c r="P966" s="99"/>
      <c r="Q966" s="99"/>
      <c r="R966" s="99"/>
      <c r="S966" s="99"/>
      <c r="T966" s="99"/>
      <c r="U966" s="99"/>
      <c r="V966" s="99"/>
      <c r="W966" s="99"/>
      <c r="X966" s="99"/>
      <c r="Y966" s="99"/>
      <c r="Z966" s="99"/>
      <c r="AB966" s="84"/>
      <c r="AC966" s="84"/>
      <c r="AD966" s="84"/>
      <c r="AE966" s="84"/>
      <c r="AF966" s="84"/>
      <c r="AG966" s="84"/>
      <c r="AH966" s="84"/>
      <c r="AI966" s="84"/>
    </row>
    <row r="967" ht="15.75" customHeight="1">
      <c r="A967" s="84"/>
      <c r="B967" s="84"/>
      <c r="C967" s="84"/>
      <c r="D967" s="84"/>
      <c r="E967" s="84"/>
      <c r="F967" s="276"/>
      <c r="H967" s="275"/>
      <c r="I967" s="275"/>
      <c r="J967" s="275"/>
      <c r="K967" s="275"/>
      <c r="L967" s="275"/>
      <c r="M967" s="275"/>
      <c r="N967" s="260"/>
      <c r="O967" s="99"/>
      <c r="P967" s="99"/>
      <c r="Q967" s="99"/>
      <c r="R967" s="99"/>
      <c r="S967" s="99"/>
      <c r="T967" s="99"/>
      <c r="U967" s="99"/>
      <c r="V967" s="99"/>
      <c r="W967" s="99"/>
      <c r="X967" s="99"/>
      <c r="Y967" s="99"/>
      <c r="Z967" s="99"/>
      <c r="AB967" s="84"/>
      <c r="AC967" s="84"/>
      <c r="AD967" s="84"/>
      <c r="AE967" s="84"/>
      <c r="AF967" s="84"/>
      <c r="AG967" s="84"/>
      <c r="AH967" s="84"/>
      <c r="AI967" s="84"/>
    </row>
    <row r="968" ht="15.75" customHeight="1">
      <c r="A968" s="84"/>
      <c r="B968" s="84"/>
      <c r="C968" s="84"/>
      <c r="D968" s="84"/>
      <c r="E968" s="84"/>
      <c r="F968" s="276"/>
      <c r="H968" s="275"/>
      <c r="I968" s="275"/>
      <c r="J968" s="275"/>
      <c r="K968" s="275"/>
      <c r="L968" s="275"/>
      <c r="M968" s="275"/>
      <c r="N968" s="260"/>
      <c r="O968" s="99"/>
      <c r="P968" s="99"/>
      <c r="Q968" s="99"/>
      <c r="R968" s="99"/>
      <c r="S968" s="99"/>
      <c r="T968" s="99"/>
      <c r="U968" s="99"/>
      <c r="V968" s="99"/>
      <c r="W968" s="99"/>
      <c r="X968" s="99"/>
      <c r="Y968" s="99"/>
      <c r="Z968" s="99"/>
      <c r="AB968" s="84"/>
      <c r="AC968" s="84"/>
      <c r="AD968" s="84"/>
      <c r="AE968" s="84"/>
      <c r="AF968" s="84"/>
      <c r="AG968" s="84"/>
      <c r="AH968" s="84"/>
      <c r="AI968" s="84"/>
    </row>
    <row r="969" ht="15.75" customHeight="1">
      <c r="A969" s="84"/>
      <c r="B969" s="84"/>
      <c r="C969" s="84"/>
      <c r="D969" s="84"/>
      <c r="E969" s="84"/>
      <c r="F969" s="276"/>
      <c r="H969" s="275"/>
      <c r="I969" s="275"/>
      <c r="J969" s="275"/>
      <c r="K969" s="275"/>
      <c r="L969" s="275"/>
      <c r="M969" s="275"/>
      <c r="N969" s="260"/>
      <c r="O969" s="99"/>
      <c r="P969" s="99"/>
      <c r="Q969" s="99"/>
      <c r="R969" s="99"/>
      <c r="S969" s="99"/>
      <c r="T969" s="99"/>
      <c r="U969" s="99"/>
      <c r="V969" s="99"/>
      <c r="W969" s="99"/>
      <c r="X969" s="99"/>
      <c r="Y969" s="99"/>
      <c r="Z969" s="99"/>
      <c r="AB969" s="84"/>
      <c r="AC969" s="84"/>
      <c r="AD969" s="84"/>
      <c r="AE969" s="84"/>
      <c r="AF969" s="84"/>
      <c r="AG969" s="84"/>
      <c r="AH969" s="84"/>
      <c r="AI969" s="84"/>
    </row>
    <row r="970" ht="15.75" customHeight="1">
      <c r="A970" s="84"/>
      <c r="B970" s="84"/>
      <c r="C970" s="84"/>
      <c r="D970" s="84"/>
      <c r="E970" s="84"/>
      <c r="F970" s="276"/>
      <c r="H970" s="275"/>
      <c r="I970" s="275"/>
      <c r="J970" s="275"/>
      <c r="K970" s="275"/>
      <c r="L970" s="275"/>
      <c r="M970" s="275"/>
      <c r="N970" s="260"/>
      <c r="O970" s="99"/>
      <c r="P970" s="99"/>
      <c r="Q970" s="99"/>
      <c r="R970" s="99"/>
      <c r="S970" s="99"/>
      <c r="T970" s="99"/>
      <c r="U970" s="99"/>
      <c r="V970" s="99"/>
      <c r="W970" s="99"/>
      <c r="X970" s="99"/>
      <c r="Y970" s="99"/>
      <c r="Z970" s="99"/>
      <c r="AB970" s="84"/>
      <c r="AC970" s="84"/>
      <c r="AD970" s="84"/>
      <c r="AE970" s="84"/>
      <c r="AF970" s="84"/>
      <c r="AG970" s="84"/>
      <c r="AH970" s="84"/>
      <c r="AI970" s="84"/>
    </row>
    <row r="971" ht="15.75" customHeight="1">
      <c r="A971" s="84"/>
      <c r="B971" s="84"/>
      <c r="C971" s="84"/>
      <c r="D971" s="84"/>
      <c r="E971" s="84"/>
      <c r="F971" s="276"/>
      <c r="H971" s="275"/>
      <c r="I971" s="275"/>
      <c r="J971" s="275"/>
      <c r="K971" s="275"/>
      <c r="L971" s="275"/>
      <c r="M971" s="275"/>
      <c r="N971" s="260"/>
      <c r="O971" s="99"/>
      <c r="P971" s="99"/>
      <c r="Q971" s="99"/>
      <c r="R971" s="99"/>
      <c r="S971" s="99"/>
      <c r="T971" s="99"/>
      <c r="U971" s="99"/>
      <c r="V971" s="99"/>
      <c r="W971" s="99"/>
      <c r="X971" s="99"/>
      <c r="Y971" s="99"/>
      <c r="Z971" s="99"/>
      <c r="AB971" s="84"/>
      <c r="AC971" s="84"/>
      <c r="AD971" s="84"/>
      <c r="AE971" s="84"/>
      <c r="AF971" s="84"/>
      <c r="AG971" s="84"/>
      <c r="AH971" s="84"/>
      <c r="AI971" s="84"/>
    </row>
    <row r="972" ht="15.75" customHeight="1">
      <c r="A972" s="84"/>
      <c r="B972" s="84"/>
      <c r="C972" s="84"/>
      <c r="D972" s="84"/>
      <c r="E972" s="84"/>
      <c r="F972" s="276"/>
      <c r="H972" s="275"/>
      <c r="I972" s="275"/>
      <c r="J972" s="275"/>
      <c r="K972" s="275"/>
      <c r="L972" s="275"/>
      <c r="M972" s="275"/>
      <c r="N972" s="260"/>
      <c r="O972" s="99"/>
      <c r="P972" s="99"/>
      <c r="Q972" s="99"/>
      <c r="R972" s="99"/>
      <c r="S972" s="99"/>
      <c r="T972" s="99"/>
      <c r="U972" s="99"/>
      <c r="V972" s="99"/>
      <c r="W972" s="99"/>
      <c r="X972" s="99"/>
      <c r="Y972" s="99"/>
      <c r="Z972" s="99"/>
      <c r="AB972" s="84"/>
      <c r="AC972" s="84"/>
      <c r="AD972" s="84"/>
      <c r="AE972" s="84"/>
      <c r="AF972" s="84"/>
      <c r="AG972" s="84"/>
      <c r="AH972" s="84"/>
      <c r="AI972" s="84"/>
    </row>
    <row r="973" ht="15.75" customHeight="1">
      <c r="A973" s="84"/>
      <c r="B973" s="84"/>
      <c r="C973" s="84"/>
      <c r="D973" s="84"/>
      <c r="E973" s="84"/>
      <c r="F973" s="276"/>
      <c r="H973" s="275"/>
      <c r="I973" s="275"/>
      <c r="J973" s="275"/>
      <c r="K973" s="275"/>
      <c r="L973" s="275"/>
      <c r="M973" s="275"/>
      <c r="N973" s="260"/>
      <c r="O973" s="99"/>
      <c r="P973" s="99"/>
      <c r="Q973" s="99"/>
      <c r="R973" s="99"/>
      <c r="S973" s="99"/>
      <c r="T973" s="99"/>
      <c r="U973" s="99"/>
      <c r="V973" s="99"/>
      <c r="W973" s="99"/>
      <c r="X973" s="99"/>
      <c r="Y973" s="99"/>
      <c r="Z973" s="99"/>
      <c r="AB973" s="84"/>
      <c r="AC973" s="84"/>
      <c r="AD973" s="84"/>
      <c r="AE973" s="84"/>
      <c r="AF973" s="84"/>
      <c r="AG973" s="84"/>
      <c r="AH973" s="84"/>
      <c r="AI973" s="84"/>
    </row>
    <row r="974" ht="15.75" customHeight="1">
      <c r="A974" s="84"/>
      <c r="B974" s="84"/>
      <c r="C974" s="84"/>
      <c r="D974" s="84"/>
      <c r="E974" s="84"/>
      <c r="F974" s="276"/>
      <c r="H974" s="275"/>
      <c r="I974" s="275"/>
      <c r="J974" s="275"/>
      <c r="K974" s="275"/>
      <c r="L974" s="275"/>
      <c r="M974" s="275"/>
      <c r="N974" s="260"/>
      <c r="O974" s="99"/>
      <c r="P974" s="99"/>
      <c r="Q974" s="99"/>
      <c r="R974" s="99"/>
      <c r="S974" s="99"/>
      <c r="T974" s="99"/>
      <c r="U974" s="99"/>
      <c r="V974" s="99"/>
      <c r="W974" s="99"/>
      <c r="X974" s="99"/>
      <c r="Y974" s="99"/>
      <c r="Z974" s="99"/>
      <c r="AB974" s="84"/>
      <c r="AC974" s="84"/>
      <c r="AD974" s="84"/>
      <c r="AE974" s="84"/>
      <c r="AF974" s="84"/>
      <c r="AG974" s="84"/>
      <c r="AH974" s="84"/>
      <c r="AI974" s="84"/>
    </row>
    <row r="975" ht="15.75" customHeight="1">
      <c r="A975" s="84"/>
      <c r="B975" s="84"/>
      <c r="C975" s="84"/>
      <c r="D975" s="84"/>
      <c r="E975" s="84"/>
      <c r="F975" s="276"/>
      <c r="H975" s="275"/>
      <c r="I975" s="275"/>
      <c r="J975" s="275"/>
      <c r="K975" s="275"/>
      <c r="L975" s="275"/>
      <c r="M975" s="275"/>
      <c r="N975" s="260"/>
      <c r="O975" s="99"/>
      <c r="P975" s="99"/>
      <c r="Q975" s="99"/>
      <c r="R975" s="99"/>
      <c r="S975" s="99"/>
      <c r="T975" s="99"/>
      <c r="U975" s="99"/>
      <c r="V975" s="99"/>
      <c r="W975" s="99"/>
      <c r="X975" s="99"/>
      <c r="Y975" s="99"/>
      <c r="Z975" s="99"/>
      <c r="AB975" s="84"/>
      <c r="AC975" s="84"/>
      <c r="AD975" s="84"/>
      <c r="AE975" s="84"/>
      <c r="AF975" s="84"/>
      <c r="AG975" s="84"/>
      <c r="AH975" s="84"/>
      <c r="AI975" s="84"/>
    </row>
    <row r="976" ht="15.75" customHeight="1">
      <c r="A976" s="84"/>
      <c r="B976" s="84"/>
      <c r="C976" s="84"/>
      <c r="D976" s="84"/>
      <c r="E976" s="84"/>
      <c r="F976" s="276"/>
      <c r="H976" s="275"/>
      <c r="I976" s="275"/>
      <c r="J976" s="275"/>
      <c r="K976" s="275"/>
      <c r="L976" s="275"/>
      <c r="M976" s="275"/>
      <c r="N976" s="260"/>
      <c r="O976" s="99"/>
      <c r="P976" s="99"/>
      <c r="Q976" s="99"/>
      <c r="R976" s="99"/>
      <c r="S976" s="99"/>
      <c r="T976" s="99"/>
      <c r="U976" s="99"/>
      <c r="V976" s="99"/>
      <c r="W976" s="99"/>
      <c r="X976" s="99"/>
      <c r="Y976" s="99"/>
      <c r="Z976" s="99"/>
      <c r="AB976" s="84"/>
      <c r="AC976" s="84"/>
      <c r="AD976" s="84"/>
      <c r="AE976" s="84"/>
      <c r="AF976" s="84"/>
      <c r="AG976" s="84"/>
      <c r="AH976" s="84"/>
      <c r="AI976" s="84"/>
    </row>
    <row r="977" ht="15.75" customHeight="1">
      <c r="A977" s="84"/>
      <c r="B977" s="84"/>
      <c r="C977" s="84"/>
      <c r="D977" s="84"/>
      <c r="E977" s="84"/>
      <c r="F977" s="276"/>
      <c r="H977" s="275"/>
      <c r="I977" s="275"/>
      <c r="J977" s="275"/>
      <c r="K977" s="275"/>
      <c r="L977" s="275"/>
      <c r="M977" s="275"/>
      <c r="N977" s="260"/>
      <c r="O977" s="99"/>
      <c r="P977" s="99"/>
      <c r="Q977" s="99"/>
      <c r="R977" s="99"/>
      <c r="S977" s="99"/>
      <c r="T977" s="99"/>
      <c r="U977" s="99"/>
      <c r="V977" s="99"/>
      <c r="W977" s="99"/>
      <c r="X977" s="99"/>
      <c r="Y977" s="99"/>
      <c r="Z977" s="99"/>
      <c r="AB977" s="84"/>
      <c r="AC977" s="84"/>
      <c r="AD977" s="84"/>
      <c r="AE977" s="84"/>
      <c r="AF977" s="84"/>
      <c r="AG977" s="84"/>
      <c r="AH977" s="84"/>
      <c r="AI977" s="84"/>
    </row>
    <row r="978" ht="15.75" customHeight="1">
      <c r="A978" s="84"/>
      <c r="B978" s="84"/>
      <c r="C978" s="84"/>
      <c r="D978" s="84"/>
      <c r="E978" s="84"/>
      <c r="F978" s="276"/>
      <c r="H978" s="275"/>
      <c r="I978" s="275"/>
      <c r="J978" s="275"/>
      <c r="K978" s="275"/>
      <c r="L978" s="275"/>
      <c r="M978" s="275"/>
      <c r="N978" s="260"/>
      <c r="O978" s="99"/>
      <c r="P978" s="99"/>
      <c r="Q978" s="99"/>
      <c r="R978" s="99"/>
      <c r="S978" s="99"/>
      <c r="T978" s="99"/>
      <c r="U978" s="99"/>
      <c r="V978" s="99"/>
      <c r="W978" s="99"/>
      <c r="X978" s="99"/>
      <c r="Y978" s="99"/>
      <c r="Z978" s="99"/>
      <c r="AB978" s="84"/>
      <c r="AC978" s="84"/>
      <c r="AD978" s="84"/>
      <c r="AE978" s="84"/>
      <c r="AF978" s="84"/>
      <c r="AG978" s="84"/>
      <c r="AH978" s="84"/>
      <c r="AI978" s="84"/>
    </row>
    <row r="979" ht="15.75" customHeight="1">
      <c r="A979" s="84"/>
      <c r="B979" s="84"/>
      <c r="C979" s="84"/>
      <c r="D979" s="84"/>
      <c r="E979" s="84"/>
      <c r="F979" s="276"/>
      <c r="H979" s="275"/>
      <c r="I979" s="275"/>
      <c r="J979" s="275"/>
      <c r="K979" s="275"/>
      <c r="L979" s="275"/>
      <c r="M979" s="275"/>
      <c r="N979" s="260"/>
      <c r="O979" s="99"/>
      <c r="P979" s="99"/>
      <c r="Q979" s="99"/>
      <c r="R979" s="99"/>
      <c r="S979" s="99"/>
      <c r="T979" s="99"/>
      <c r="U979" s="99"/>
      <c r="V979" s="99"/>
      <c r="W979" s="99"/>
      <c r="X979" s="99"/>
      <c r="Y979" s="99"/>
      <c r="Z979" s="99"/>
      <c r="AB979" s="84"/>
      <c r="AC979" s="84"/>
      <c r="AD979" s="84"/>
      <c r="AE979" s="84"/>
      <c r="AF979" s="84"/>
      <c r="AG979" s="84"/>
      <c r="AH979" s="84"/>
      <c r="AI979" s="84"/>
    </row>
    <row r="980" ht="15.75" customHeight="1">
      <c r="A980" s="84"/>
      <c r="B980" s="84"/>
      <c r="C980" s="84"/>
      <c r="D980" s="84"/>
      <c r="E980" s="84"/>
      <c r="F980" s="276"/>
      <c r="H980" s="275"/>
      <c r="I980" s="275"/>
      <c r="J980" s="275"/>
      <c r="K980" s="275"/>
      <c r="L980" s="275"/>
      <c r="M980" s="275"/>
      <c r="N980" s="260"/>
      <c r="O980" s="99"/>
      <c r="P980" s="99"/>
      <c r="Q980" s="99"/>
      <c r="R980" s="99"/>
      <c r="S980" s="99"/>
      <c r="T980" s="99"/>
      <c r="U980" s="99"/>
      <c r="V980" s="99"/>
      <c r="W980" s="99"/>
      <c r="X980" s="99"/>
      <c r="Y980" s="99"/>
      <c r="Z980" s="99"/>
      <c r="AB980" s="84"/>
      <c r="AC980" s="84"/>
      <c r="AD980" s="84"/>
      <c r="AE980" s="84"/>
      <c r="AF980" s="84"/>
      <c r="AG980" s="84"/>
      <c r="AH980" s="84"/>
      <c r="AI980" s="84"/>
    </row>
    <row r="981" ht="15.75" customHeight="1">
      <c r="A981" s="84"/>
      <c r="B981" s="84"/>
      <c r="C981" s="84"/>
      <c r="D981" s="84"/>
      <c r="E981" s="84"/>
      <c r="F981" s="276"/>
      <c r="H981" s="275"/>
      <c r="I981" s="275"/>
      <c r="J981" s="275"/>
      <c r="K981" s="275"/>
      <c r="L981" s="275"/>
      <c r="M981" s="275"/>
      <c r="N981" s="260"/>
      <c r="O981" s="99"/>
      <c r="P981" s="99"/>
      <c r="Q981" s="99"/>
      <c r="R981" s="99"/>
      <c r="S981" s="99"/>
      <c r="T981" s="99"/>
      <c r="U981" s="99"/>
      <c r="V981" s="99"/>
      <c r="W981" s="99"/>
      <c r="X981" s="99"/>
      <c r="Y981" s="99"/>
      <c r="Z981" s="99"/>
      <c r="AB981" s="84"/>
      <c r="AC981" s="84"/>
      <c r="AD981" s="84"/>
      <c r="AE981" s="84"/>
      <c r="AF981" s="84"/>
      <c r="AG981" s="84"/>
      <c r="AH981" s="84"/>
      <c r="AI981" s="84"/>
    </row>
    <row r="982" ht="15.75" customHeight="1">
      <c r="A982" s="84"/>
      <c r="B982" s="84"/>
      <c r="C982" s="84"/>
      <c r="D982" s="84"/>
      <c r="E982" s="84"/>
      <c r="F982" s="276"/>
      <c r="H982" s="275"/>
      <c r="I982" s="275"/>
      <c r="J982" s="275"/>
      <c r="K982" s="275"/>
      <c r="L982" s="275"/>
      <c r="M982" s="275"/>
      <c r="N982" s="260"/>
      <c r="O982" s="99"/>
      <c r="P982" s="99"/>
      <c r="Q982" s="99"/>
      <c r="R982" s="99"/>
      <c r="S982" s="99"/>
      <c r="T982" s="99"/>
      <c r="U982" s="99"/>
      <c r="V982" s="99"/>
      <c r="W982" s="99"/>
      <c r="X982" s="99"/>
      <c r="Y982" s="99"/>
      <c r="Z982" s="99"/>
      <c r="AB982" s="84"/>
      <c r="AC982" s="84"/>
      <c r="AD982" s="84"/>
      <c r="AE982" s="84"/>
      <c r="AF982" s="84"/>
      <c r="AG982" s="84"/>
      <c r="AH982" s="84"/>
      <c r="AI982" s="84"/>
    </row>
    <row r="983" ht="15.75" customHeight="1">
      <c r="A983" s="84"/>
      <c r="B983" s="84"/>
      <c r="C983" s="84"/>
      <c r="D983" s="84"/>
      <c r="E983" s="84"/>
      <c r="F983" s="276"/>
      <c r="H983" s="275"/>
      <c r="I983" s="275"/>
      <c r="J983" s="275"/>
      <c r="K983" s="275"/>
      <c r="L983" s="275"/>
      <c r="M983" s="275"/>
      <c r="N983" s="260"/>
      <c r="O983" s="99"/>
      <c r="P983" s="99"/>
      <c r="Q983" s="99"/>
      <c r="R983" s="99"/>
      <c r="S983" s="99"/>
      <c r="T983" s="99"/>
      <c r="U983" s="99"/>
      <c r="V983" s="99"/>
      <c r="W983" s="99"/>
      <c r="X983" s="99"/>
      <c r="Y983" s="99"/>
      <c r="Z983" s="99"/>
      <c r="AB983" s="84"/>
      <c r="AC983" s="84"/>
      <c r="AD983" s="84"/>
      <c r="AE983" s="84"/>
      <c r="AF983" s="84"/>
      <c r="AG983" s="84"/>
      <c r="AH983" s="84"/>
      <c r="AI983" s="84"/>
    </row>
    <row r="984" ht="15.75" customHeight="1">
      <c r="A984" s="84"/>
      <c r="B984" s="84"/>
      <c r="C984" s="84"/>
      <c r="D984" s="84"/>
      <c r="E984" s="84"/>
      <c r="F984" s="276"/>
      <c r="H984" s="275"/>
      <c r="I984" s="275"/>
      <c r="J984" s="275"/>
      <c r="K984" s="275"/>
      <c r="L984" s="275"/>
      <c r="M984" s="275"/>
      <c r="N984" s="260"/>
      <c r="O984" s="99"/>
      <c r="P984" s="99"/>
      <c r="Q984" s="99"/>
      <c r="R984" s="99"/>
      <c r="S984" s="99"/>
      <c r="T984" s="99"/>
      <c r="U984" s="99"/>
      <c r="V984" s="99"/>
      <c r="W984" s="99"/>
      <c r="X984" s="99"/>
      <c r="Y984" s="99"/>
      <c r="Z984" s="99"/>
      <c r="AB984" s="84"/>
      <c r="AC984" s="84"/>
      <c r="AD984" s="84"/>
      <c r="AE984" s="84"/>
      <c r="AF984" s="84"/>
      <c r="AG984" s="84"/>
      <c r="AH984" s="84"/>
      <c r="AI984" s="84"/>
    </row>
    <row r="985" ht="15.75" customHeight="1">
      <c r="A985" s="84"/>
      <c r="B985" s="84"/>
      <c r="C985" s="84"/>
      <c r="D985" s="84"/>
      <c r="E985" s="84"/>
      <c r="F985" s="276"/>
      <c r="H985" s="275"/>
      <c r="I985" s="275"/>
      <c r="J985" s="275"/>
      <c r="K985" s="275"/>
      <c r="L985" s="275"/>
      <c r="M985" s="275"/>
      <c r="N985" s="260"/>
      <c r="O985" s="99"/>
      <c r="P985" s="99"/>
      <c r="Q985" s="99"/>
      <c r="R985" s="99"/>
      <c r="S985" s="99"/>
      <c r="T985" s="99"/>
      <c r="U985" s="99"/>
      <c r="V985" s="99"/>
      <c r="W985" s="99"/>
      <c r="X985" s="99"/>
      <c r="Y985" s="99"/>
      <c r="Z985" s="99"/>
      <c r="AB985" s="84"/>
      <c r="AC985" s="84"/>
      <c r="AD985" s="84"/>
      <c r="AE985" s="84"/>
      <c r="AF985" s="84"/>
      <c r="AG985" s="84"/>
      <c r="AH985" s="84"/>
      <c r="AI985" s="84"/>
    </row>
    <row r="986" ht="15.75" customHeight="1">
      <c r="A986" s="84"/>
      <c r="B986" s="84"/>
      <c r="C986" s="84"/>
      <c r="D986" s="84"/>
      <c r="E986" s="84"/>
      <c r="F986" s="276"/>
      <c r="H986" s="275"/>
      <c r="I986" s="275"/>
      <c r="J986" s="275"/>
      <c r="K986" s="275"/>
      <c r="L986" s="275"/>
      <c r="M986" s="275"/>
      <c r="N986" s="260"/>
      <c r="O986" s="99"/>
      <c r="P986" s="99"/>
      <c r="Q986" s="99"/>
      <c r="R986" s="99"/>
      <c r="S986" s="99"/>
      <c r="T986" s="99"/>
      <c r="U986" s="99"/>
      <c r="V986" s="99"/>
      <c r="W986" s="99"/>
      <c r="X986" s="99"/>
      <c r="Y986" s="99"/>
      <c r="Z986" s="99"/>
      <c r="AB986" s="84"/>
      <c r="AC986" s="84"/>
      <c r="AD986" s="84"/>
      <c r="AE986" s="84"/>
      <c r="AF986" s="84"/>
      <c r="AG986" s="84"/>
      <c r="AH986" s="84"/>
      <c r="AI986" s="84"/>
    </row>
    <row r="987" ht="15.75" customHeight="1">
      <c r="A987" s="84"/>
      <c r="B987" s="84"/>
      <c r="C987" s="84"/>
      <c r="D987" s="84"/>
      <c r="E987" s="84"/>
      <c r="F987" s="276"/>
      <c r="H987" s="275"/>
      <c r="I987" s="275"/>
      <c r="J987" s="275"/>
      <c r="K987" s="275"/>
      <c r="L987" s="275"/>
      <c r="M987" s="275"/>
      <c r="N987" s="260"/>
      <c r="O987" s="99"/>
      <c r="P987" s="99"/>
      <c r="Q987" s="99"/>
      <c r="R987" s="99"/>
      <c r="S987" s="99"/>
      <c r="T987" s="99"/>
      <c r="U987" s="99"/>
      <c r="V987" s="99"/>
      <c r="W987" s="99"/>
      <c r="X987" s="99"/>
      <c r="Y987" s="99"/>
      <c r="Z987" s="99"/>
      <c r="AB987" s="84"/>
      <c r="AC987" s="84"/>
      <c r="AD987" s="84"/>
      <c r="AE987" s="84"/>
      <c r="AF987" s="84"/>
      <c r="AG987" s="84"/>
      <c r="AH987" s="84"/>
      <c r="AI987" s="84"/>
    </row>
    <row r="988" ht="15.75" customHeight="1">
      <c r="A988" s="84"/>
      <c r="B988" s="84"/>
      <c r="C988" s="84"/>
      <c r="D988" s="84"/>
      <c r="E988" s="84"/>
      <c r="F988" s="276"/>
      <c r="H988" s="275"/>
      <c r="I988" s="275"/>
      <c r="J988" s="275"/>
      <c r="K988" s="275"/>
      <c r="L988" s="275"/>
      <c r="M988" s="275"/>
      <c r="N988" s="260"/>
      <c r="O988" s="99"/>
      <c r="P988" s="99"/>
      <c r="Q988" s="99"/>
      <c r="R988" s="99"/>
      <c r="S988" s="99"/>
      <c r="T988" s="99"/>
      <c r="U988" s="99"/>
      <c r="V988" s="99"/>
      <c r="W988" s="99"/>
      <c r="X988" s="99"/>
      <c r="Y988" s="99"/>
      <c r="Z988" s="99"/>
      <c r="AB988" s="84"/>
      <c r="AC988" s="84"/>
      <c r="AD988" s="84"/>
      <c r="AE988" s="84"/>
      <c r="AF988" s="84"/>
      <c r="AG988" s="84"/>
      <c r="AH988" s="84"/>
      <c r="AI988" s="84"/>
    </row>
    <row r="989" ht="15.75" customHeight="1">
      <c r="A989" s="84"/>
      <c r="B989" s="84"/>
      <c r="C989" s="84"/>
      <c r="D989" s="84"/>
      <c r="E989" s="84"/>
      <c r="F989" s="276"/>
      <c r="H989" s="275"/>
      <c r="I989" s="275"/>
      <c r="J989" s="275"/>
      <c r="K989" s="275"/>
      <c r="L989" s="275"/>
      <c r="M989" s="275"/>
      <c r="N989" s="260"/>
      <c r="O989" s="99"/>
      <c r="P989" s="99"/>
      <c r="Q989" s="99"/>
      <c r="R989" s="99"/>
      <c r="S989" s="99"/>
      <c r="T989" s="99"/>
      <c r="U989" s="99"/>
      <c r="V989" s="99"/>
      <c r="W989" s="99"/>
      <c r="X989" s="99"/>
      <c r="Y989" s="99"/>
      <c r="Z989" s="99"/>
      <c r="AB989" s="84"/>
      <c r="AC989" s="84"/>
      <c r="AD989" s="84"/>
      <c r="AE989" s="84"/>
      <c r="AF989" s="84"/>
      <c r="AG989" s="84"/>
      <c r="AH989" s="84"/>
      <c r="AI989" s="84"/>
    </row>
    <row r="990" ht="15.75" customHeight="1">
      <c r="A990" s="84"/>
      <c r="B990" s="84"/>
      <c r="C990" s="84"/>
      <c r="D990" s="84"/>
      <c r="E990" s="84"/>
      <c r="F990" s="276"/>
      <c r="H990" s="275"/>
      <c r="I990" s="275"/>
      <c r="J990" s="275"/>
      <c r="K990" s="275"/>
      <c r="L990" s="275"/>
      <c r="M990" s="275"/>
      <c r="N990" s="260"/>
      <c r="O990" s="99"/>
      <c r="P990" s="99"/>
      <c r="Q990" s="99"/>
      <c r="R990" s="99"/>
      <c r="S990" s="99"/>
      <c r="T990" s="99"/>
      <c r="U990" s="99"/>
      <c r="V990" s="99"/>
      <c r="W990" s="99"/>
      <c r="X990" s="99"/>
      <c r="Y990" s="99"/>
      <c r="Z990" s="99"/>
      <c r="AB990" s="84"/>
      <c r="AC990" s="84"/>
      <c r="AD990" s="84"/>
      <c r="AE990" s="84"/>
      <c r="AF990" s="84"/>
      <c r="AG990" s="84"/>
      <c r="AH990" s="84"/>
      <c r="AI990" s="84"/>
    </row>
    <row r="991" ht="15.75" customHeight="1">
      <c r="A991" s="84"/>
      <c r="B991" s="84"/>
      <c r="C991" s="84"/>
      <c r="D991" s="84"/>
      <c r="E991" s="84"/>
      <c r="F991" s="276"/>
      <c r="H991" s="275"/>
      <c r="I991" s="275"/>
      <c r="J991" s="275"/>
      <c r="K991" s="275"/>
      <c r="L991" s="275"/>
      <c r="M991" s="275"/>
      <c r="N991" s="260"/>
      <c r="O991" s="99"/>
      <c r="P991" s="99"/>
      <c r="Q991" s="99"/>
      <c r="R991" s="99"/>
      <c r="S991" s="99"/>
      <c r="T991" s="99"/>
      <c r="U991" s="99"/>
      <c r="V991" s="99"/>
      <c r="W991" s="99"/>
      <c r="X991" s="99"/>
      <c r="Y991" s="99"/>
      <c r="Z991" s="99"/>
      <c r="AB991" s="84"/>
      <c r="AC991" s="84"/>
      <c r="AD991" s="84"/>
      <c r="AE991" s="84"/>
      <c r="AF991" s="84"/>
      <c r="AG991" s="84"/>
      <c r="AH991" s="84"/>
      <c r="AI991" s="84"/>
    </row>
    <row r="992" ht="15.75" customHeight="1">
      <c r="A992" s="84"/>
      <c r="B992" s="84"/>
      <c r="C992" s="84"/>
      <c r="D992" s="84"/>
      <c r="E992" s="84"/>
      <c r="F992" s="276"/>
      <c r="H992" s="275"/>
      <c r="I992" s="275"/>
      <c r="J992" s="275"/>
      <c r="K992" s="275"/>
      <c r="L992" s="275"/>
      <c r="M992" s="275"/>
      <c r="N992" s="260"/>
      <c r="O992" s="99"/>
      <c r="P992" s="99"/>
      <c r="Q992" s="99"/>
      <c r="R992" s="99"/>
      <c r="S992" s="99"/>
      <c r="T992" s="99"/>
      <c r="U992" s="99"/>
      <c r="V992" s="99"/>
      <c r="W992" s="99"/>
      <c r="X992" s="99"/>
      <c r="Y992" s="99"/>
      <c r="Z992" s="99"/>
      <c r="AB992" s="84"/>
      <c r="AC992" s="84"/>
      <c r="AD992" s="84"/>
      <c r="AE992" s="84"/>
      <c r="AF992" s="84"/>
      <c r="AG992" s="84"/>
      <c r="AH992" s="84"/>
      <c r="AI992" s="84"/>
    </row>
    <row r="993" ht="15.75" customHeight="1">
      <c r="A993" s="84"/>
      <c r="B993" s="84"/>
      <c r="C993" s="84"/>
      <c r="D993" s="84"/>
      <c r="E993" s="84"/>
      <c r="F993" s="276"/>
      <c r="H993" s="275"/>
      <c r="I993" s="275"/>
      <c r="J993" s="275"/>
      <c r="K993" s="275"/>
      <c r="L993" s="275"/>
      <c r="M993" s="275"/>
      <c r="N993" s="260"/>
      <c r="O993" s="99"/>
      <c r="P993" s="99"/>
      <c r="Q993" s="99"/>
      <c r="R993" s="99"/>
      <c r="S993" s="99"/>
      <c r="T993" s="99"/>
      <c r="U993" s="99"/>
      <c r="V993" s="99"/>
      <c r="W993" s="99"/>
      <c r="X993" s="99"/>
      <c r="Y993" s="99"/>
      <c r="Z993" s="99"/>
      <c r="AB993" s="84"/>
      <c r="AC993" s="84"/>
      <c r="AD993" s="84"/>
      <c r="AE993" s="84"/>
      <c r="AF993" s="84"/>
      <c r="AG993" s="84"/>
      <c r="AH993" s="84"/>
      <c r="AI993" s="84"/>
    </row>
    <row r="994" ht="15.75" customHeight="1">
      <c r="A994" s="84"/>
      <c r="B994" s="84"/>
      <c r="C994" s="84"/>
      <c r="D994" s="84"/>
      <c r="E994" s="84"/>
      <c r="F994" s="276"/>
      <c r="H994" s="275"/>
      <c r="I994" s="275"/>
      <c r="J994" s="275"/>
      <c r="K994" s="275"/>
      <c r="L994" s="275"/>
      <c r="M994" s="275"/>
      <c r="N994" s="260"/>
      <c r="O994" s="99"/>
      <c r="P994" s="99"/>
      <c r="Q994" s="99"/>
      <c r="R994" s="99"/>
      <c r="S994" s="99"/>
      <c r="T994" s="99"/>
      <c r="U994" s="99"/>
      <c r="V994" s="99"/>
      <c r="W994" s="99"/>
      <c r="X994" s="99"/>
      <c r="Y994" s="99"/>
      <c r="Z994" s="99"/>
      <c r="AB994" s="84"/>
      <c r="AC994" s="84"/>
      <c r="AD994" s="84"/>
      <c r="AE994" s="84"/>
      <c r="AF994" s="84"/>
      <c r="AG994" s="84"/>
      <c r="AH994" s="84"/>
      <c r="AI994" s="84"/>
    </row>
    <row r="995" ht="15.75" customHeight="1">
      <c r="A995" s="84"/>
      <c r="B995" s="84"/>
      <c r="C995" s="84"/>
      <c r="D995" s="84"/>
      <c r="E995" s="84"/>
      <c r="F995" s="276"/>
      <c r="H995" s="275"/>
      <c r="I995" s="275"/>
      <c r="J995" s="275"/>
      <c r="K995" s="275"/>
      <c r="L995" s="275"/>
      <c r="M995" s="275"/>
      <c r="N995" s="260"/>
      <c r="O995" s="99"/>
      <c r="P995" s="99"/>
      <c r="Q995" s="99"/>
      <c r="R995" s="99"/>
      <c r="S995" s="99"/>
      <c r="T995" s="99"/>
      <c r="U995" s="99"/>
      <c r="V995" s="99"/>
      <c r="W995" s="99"/>
      <c r="X995" s="99"/>
      <c r="Y995" s="99"/>
      <c r="Z995" s="99"/>
      <c r="AB995" s="84"/>
      <c r="AC995" s="84"/>
      <c r="AD995" s="84"/>
      <c r="AE995" s="84"/>
      <c r="AF995" s="84"/>
      <c r="AG995" s="84"/>
      <c r="AH995" s="84"/>
      <c r="AI995" s="84"/>
    </row>
    <row r="996" ht="15.75" customHeight="1">
      <c r="A996" s="84"/>
      <c r="B996" s="84"/>
      <c r="C996" s="84"/>
      <c r="D996" s="84"/>
      <c r="E996" s="84"/>
      <c r="F996" s="276"/>
      <c r="H996" s="275"/>
      <c r="I996" s="275"/>
      <c r="J996" s="275"/>
      <c r="K996" s="275"/>
      <c r="L996" s="275"/>
      <c r="M996" s="275"/>
      <c r="N996" s="260"/>
      <c r="O996" s="99"/>
      <c r="P996" s="99"/>
      <c r="Q996" s="99"/>
      <c r="R996" s="99"/>
      <c r="S996" s="99"/>
      <c r="T996" s="99"/>
      <c r="U996" s="99"/>
      <c r="V996" s="99"/>
      <c r="W996" s="99"/>
      <c r="X996" s="99"/>
      <c r="Y996" s="99"/>
      <c r="Z996" s="99"/>
      <c r="AB996" s="84"/>
      <c r="AC996" s="84"/>
      <c r="AD996" s="84"/>
      <c r="AE996" s="84"/>
      <c r="AF996" s="84"/>
      <c r="AG996" s="84"/>
      <c r="AH996" s="84"/>
      <c r="AI996" s="84"/>
    </row>
    <row r="997" ht="15.75" customHeight="1">
      <c r="A997" s="84"/>
      <c r="B997" s="84"/>
      <c r="C997" s="84"/>
      <c r="D997" s="84"/>
      <c r="E997" s="84"/>
      <c r="F997" s="276"/>
      <c r="H997" s="275"/>
      <c r="I997" s="275"/>
      <c r="J997" s="275"/>
      <c r="K997" s="275"/>
      <c r="L997" s="275"/>
      <c r="M997" s="275"/>
      <c r="N997" s="260"/>
      <c r="O997" s="99"/>
      <c r="P997" s="99"/>
      <c r="Q997" s="99"/>
      <c r="R997" s="99"/>
      <c r="S997" s="99"/>
      <c r="T997" s="99"/>
      <c r="U997" s="99"/>
      <c r="V997" s="99"/>
      <c r="W997" s="99"/>
      <c r="X997" s="99"/>
      <c r="Y997" s="99"/>
      <c r="Z997" s="99"/>
      <c r="AB997" s="84"/>
      <c r="AC997" s="84"/>
      <c r="AD997" s="84"/>
      <c r="AE997" s="84"/>
      <c r="AF997" s="84"/>
      <c r="AG997" s="84"/>
      <c r="AH997" s="84"/>
      <c r="AI997" s="84"/>
    </row>
    <row r="998" ht="15.75" customHeight="1">
      <c r="A998" s="84"/>
      <c r="B998" s="84"/>
      <c r="C998" s="84"/>
      <c r="D998" s="84"/>
      <c r="E998" s="84"/>
      <c r="F998" s="276"/>
      <c r="H998" s="275"/>
      <c r="I998" s="275"/>
      <c r="J998" s="275"/>
      <c r="K998" s="275"/>
      <c r="L998" s="275"/>
      <c r="M998" s="275"/>
      <c r="N998" s="260"/>
      <c r="O998" s="99"/>
      <c r="P998" s="99"/>
      <c r="Q998" s="99"/>
      <c r="R998" s="99"/>
      <c r="S998" s="99"/>
      <c r="T998" s="99"/>
      <c r="U998" s="99"/>
      <c r="V998" s="99"/>
      <c r="W998" s="99"/>
      <c r="X998" s="99"/>
      <c r="Y998" s="99"/>
      <c r="Z998" s="99"/>
      <c r="AB998" s="84"/>
      <c r="AC998" s="84"/>
      <c r="AD998" s="84"/>
      <c r="AE998" s="84"/>
      <c r="AF998" s="84"/>
      <c r="AG998" s="84"/>
      <c r="AH998" s="84"/>
      <c r="AI998" s="84"/>
    </row>
    <row r="999" ht="15.75" customHeight="1">
      <c r="A999" s="84"/>
      <c r="B999" s="84"/>
      <c r="C999" s="84"/>
      <c r="D999" s="84"/>
      <c r="E999" s="84"/>
      <c r="F999" s="276"/>
      <c r="H999" s="275"/>
      <c r="I999" s="275"/>
      <c r="J999" s="275"/>
      <c r="K999" s="275"/>
      <c r="L999" s="275"/>
      <c r="M999" s="275"/>
      <c r="N999" s="260"/>
      <c r="O999" s="99"/>
      <c r="P999" s="99"/>
      <c r="Q999" s="99"/>
      <c r="R999" s="99"/>
      <c r="S999" s="99"/>
      <c r="T999" s="99"/>
      <c r="U999" s="99"/>
      <c r="V999" s="99"/>
      <c r="W999" s="99"/>
      <c r="X999" s="99"/>
      <c r="Y999" s="99"/>
      <c r="Z999" s="99"/>
      <c r="AB999" s="84"/>
      <c r="AC999" s="84"/>
      <c r="AD999" s="84"/>
      <c r="AE999" s="84"/>
      <c r="AF999" s="84"/>
      <c r="AG999" s="84"/>
      <c r="AH999" s="84"/>
      <c r="AI999" s="84"/>
    </row>
    <row r="1000" ht="15.75" customHeight="1">
      <c r="A1000" s="84"/>
      <c r="B1000" s="84"/>
      <c r="C1000" s="84"/>
      <c r="D1000" s="84"/>
      <c r="E1000" s="84"/>
      <c r="F1000" s="276"/>
      <c r="H1000" s="275"/>
      <c r="I1000" s="275"/>
      <c r="J1000" s="275"/>
      <c r="K1000" s="275"/>
      <c r="L1000" s="275"/>
      <c r="M1000" s="275"/>
      <c r="N1000" s="260"/>
      <c r="O1000" s="99"/>
      <c r="P1000" s="99"/>
      <c r="Q1000" s="99"/>
      <c r="R1000" s="99"/>
      <c r="S1000" s="99"/>
      <c r="T1000" s="99"/>
      <c r="U1000" s="99"/>
      <c r="V1000" s="99"/>
      <c r="W1000" s="99"/>
      <c r="X1000" s="99"/>
      <c r="Y1000" s="99"/>
      <c r="Z1000" s="99"/>
      <c r="AB1000" s="84"/>
      <c r="AC1000" s="84"/>
      <c r="AD1000" s="84"/>
      <c r="AE1000" s="84"/>
      <c r="AF1000" s="84"/>
      <c r="AG1000" s="84"/>
      <c r="AH1000" s="84"/>
      <c r="AI1000" s="84"/>
    </row>
    <row r="1001" ht="15.75" customHeight="1">
      <c r="A1001" s="84"/>
      <c r="B1001" s="84"/>
      <c r="C1001" s="84"/>
      <c r="D1001" s="84"/>
      <c r="E1001" s="84"/>
      <c r="F1001" s="276"/>
      <c r="H1001" s="275"/>
      <c r="I1001" s="275"/>
      <c r="J1001" s="275"/>
      <c r="K1001" s="275"/>
      <c r="L1001" s="275"/>
      <c r="M1001" s="275"/>
      <c r="N1001" s="260"/>
      <c r="O1001" s="99"/>
      <c r="P1001" s="99"/>
      <c r="Q1001" s="99"/>
      <c r="R1001" s="99"/>
      <c r="S1001" s="99"/>
      <c r="T1001" s="99"/>
      <c r="U1001" s="99"/>
      <c r="V1001" s="99"/>
      <c r="W1001" s="99"/>
      <c r="X1001" s="99"/>
      <c r="Y1001" s="99"/>
      <c r="Z1001" s="99"/>
      <c r="AB1001" s="84"/>
      <c r="AC1001" s="84"/>
      <c r="AD1001" s="84"/>
      <c r="AE1001" s="84"/>
      <c r="AF1001" s="84"/>
      <c r="AG1001" s="84"/>
      <c r="AH1001" s="84"/>
      <c r="AI1001" s="84"/>
    </row>
    <row r="1002" ht="15.75" customHeight="1">
      <c r="A1002" s="84"/>
      <c r="B1002" s="84"/>
      <c r="C1002" s="84"/>
      <c r="D1002" s="84"/>
      <c r="E1002" s="84"/>
      <c r="F1002" s="276"/>
      <c r="H1002" s="275"/>
      <c r="I1002" s="275"/>
      <c r="J1002" s="275"/>
      <c r="K1002" s="275"/>
      <c r="L1002" s="275"/>
      <c r="M1002" s="275"/>
      <c r="N1002" s="260"/>
      <c r="O1002" s="99"/>
      <c r="P1002" s="99"/>
      <c r="Q1002" s="99"/>
      <c r="R1002" s="99"/>
      <c r="S1002" s="99"/>
      <c r="T1002" s="99"/>
      <c r="U1002" s="99"/>
      <c r="V1002" s="99"/>
      <c r="W1002" s="99"/>
      <c r="X1002" s="99"/>
      <c r="Y1002" s="99"/>
      <c r="Z1002" s="99"/>
      <c r="AB1002" s="84"/>
      <c r="AC1002" s="84"/>
      <c r="AD1002" s="84"/>
      <c r="AE1002" s="84"/>
      <c r="AF1002" s="84"/>
      <c r="AG1002" s="84"/>
      <c r="AH1002" s="84"/>
      <c r="AI1002" s="84"/>
    </row>
    <row r="1003" ht="15.75" customHeight="1">
      <c r="A1003" s="84"/>
      <c r="B1003" s="84"/>
      <c r="C1003" s="84"/>
      <c r="D1003" s="84"/>
      <c r="E1003" s="84"/>
      <c r="F1003" s="276"/>
      <c r="H1003" s="275"/>
      <c r="I1003" s="275"/>
      <c r="J1003" s="275"/>
      <c r="K1003" s="275"/>
      <c r="L1003" s="275"/>
      <c r="M1003" s="275"/>
      <c r="N1003" s="260"/>
      <c r="O1003" s="99"/>
      <c r="P1003" s="99"/>
      <c r="Q1003" s="99"/>
      <c r="R1003" s="99"/>
      <c r="S1003" s="99"/>
      <c r="T1003" s="99"/>
      <c r="U1003" s="99"/>
      <c r="V1003" s="99"/>
      <c r="W1003" s="99"/>
      <c r="X1003" s="99"/>
      <c r="Y1003" s="99"/>
      <c r="Z1003" s="99"/>
      <c r="AB1003" s="84"/>
      <c r="AC1003" s="84"/>
      <c r="AD1003" s="84"/>
      <c r="AE1003" s="84"/>
      <c r="AF1003" s="84"/>
      <c r="AG1003" s="84"/>
      <c r="AH1003" s="84"/>
      <c r="AI1003" s="84"/>
    </row>
    <row r="1004" ht="15.75" customHeight="1">
      <c r="A1004" s="84"/>
      <c r="B1004" s="84"/>
      <c r="C1004" s="84"/>
      <c r="D1004" s="84"/>
      <c r="E1004" s="84"/>
      <c r="F1004" s="276"/>
      <c r="H1004" s="275"/>
      <c r="I1004" s="275"/>
      <c r="J1004" s="275"/>
      <c r="K1004" s="275"/>
      <c r="L1004" s="275"/>
      <c r="M1004" s="275"/>
      <c r="N1004" s="260"/>
      <c r="O1004" s="99"/>
      <c r="P1004" s="99"/>
      <c r="Q1004" s="99"/>
      <c r="R1004" s="99"/>
      <c r="S1004" s="99"/>
      <c r="T1004" s="99"/>
      <c r="U1004" s="99"/>
      <c r="V1004" s="99"/>
      <c r="W1004" s="99"/>
      <c r="X1004" s="99"/>
      <c r="Y1004" s="99"/>
      <c r="Z1004" s="99"/>
      <c r="AB1004" s="84"/>
      <c r="AC1004" s="84"/>
      <c r="AD1004" s="84"/>
      <c r="AE1004" s="84"/>
      <c r="AF1004" s="84"/>
      <c r="AG1004" s="84"/>
      <c r="AH1004" s="84"/>
      <c r="AI1004" s="84"/>
    </row>
    <row r="1005" ht="15.75" customHeight="1">
      <c r="A1005" s="84"/>
      <c r="B1005" s="84"/>
      <c r="C1005" s="84"/>
      <c r="D1005" s="84"/>
      <c r="E1005" s="84"/>
      <c r="F1005" s="276"/>
      <c r="H1005" s="275"/>
      <c r="I1005" s="275"/>
      <c r="J1005" s="275"/>
      <c r="K1005" s="275"/>
      <c r="L1005" s="275"/>
      <c r="M1005" s="275"/>
      <c r="N1005" s="260"/>
      <c r="O1005" s="99"/>
      <c r="P1005" s="99"/>
      <c r="Q1005" s="99"/>
      <c r="R1005" s="99"/>
      <c r="S1005" s="99"/>
      <c r="T1005" s="99"/>
      <c r="U1005" s="99"/>
      <c r="V1005" s="99"/>
      <c r="W1005" s="99"/>
      <c r="X1005" s="99"/>
      <c r="Y1005" s="99"/>
      <c r="Z1005" s="99"/>
      <c r="AB1005" s="84"/>
      <c r="AC1005" s="84"/>
      <c r="AD1005" s="84"/>
      <c r="AE1005" s="84"/>
      <c r="AF1005" s="84"/>
      <c r="AG1005" s="84"/>
      <c r="AH1005" s="84"/>
      <c r="AI1005" s="84"/>
    </row>
    <row r="1006" ht="15.75" customHeight="1">
      <c r="A1006" s="84"/>
      <c r="B1006" s="84"/>
      <c r="C1006" s="84"/>
      <c r="D1006" s="84"/>
      <c r="E1006" s="84"/>
      <c r="F1006" s="276"/>
      <c r="H1006" s="275"/>
      <c r="I1006" s="275"/>
      <c r="J1006" s="275"/>
      <c r="K1006" s="275"/>
      <c r="L1006" s="275"/>
      <c r="M1006" s="275"/>
      <c r="N1006" s="260"/>
      <c r="O1006" s="99"/>
      <c r="P1006" s="99"/>
      <c r="Q1006" s="99"/>
      <c r="R1006" s="99"/>
      <c r="S1006" s="99"/>
      <c r="T1006" s="99"/>
      <c r="U1006" s="99"/>
      <c r="V1006" s="99"/>
      <c r="W1006" s="99"/>
      <c r="X1006" s="99"/>
      <c r="Y1006" s="99"/>
      <c r="Z1006" s="99"/>
      <c r="AB1006" s="84"/>
      <c r="AC1006" s="84"/>
      <c r="AD1006" s="84"/>
      <c r="AE1006" s="84"/>
      <c r="AF1006" s="84"/>
      <c r="AG1006" s="84"/>
      <c r="AH1006" s="84"/>
      <c r="AI1006" s="84"/>
    </row>
    <row r="1007" ht="15.75" customHeight="1">
      <c r="A1007" s="84"/>
      <c r="B1007" s="84"/>
      <c r="C1007" s="84"/>
      <c r="D1007" s="84"/>
      <c r="E1007" s="84"/>
      <c r="F1007" s="276"/>
      <c r="H1007" s="275"/>
      <c r="I1007" s="275"/>
      <c r="J1007" s="275"/>
      <c r="K1007" s="275"/>
      <c r="L1007" s="275"/>
      <c r="M1007" s="275"/>
      <c r="N1007" s="260"/>
      <c r="O1007" s="99"/>
      <c r="P1007" s="99"/>
      <c r="Q1007" s="99"/>
      <c r="R1007" s="99"/>
      <c r="S1007" s="99"/>
      <c r="T1007" s="99"/>
      <c r="U1007" s="99"/>
      <c r="V1007" s="99"/>
      <c r="W1007" s="99"/>
      <c r="X1007" s="99"/>
      <c r="Y1007" s="99"/>
      <c r="Z1007" s="99"/>
      <c r="AB1007" s="84"/>
      <c r="AC1007" s="84"/>
      <c r="AD1007" s="84"/>
      <c r="AE1007" s="84"/>
      <c r="AF1007" s="84"/>
      <c r="AG1007" s="84"/>
      <c r="AH1007" s="84"/>
      <c r="AI1007" s="84"/>
    </row>
    <row r="1008" ht="15.75" customHeight="1">
      <c r="A1008" s="84"/>
      <c r="B1008" s="84"/>
      <c r="C1008" s="84"/>
      <c r="D1008" s="84"/>
      <c r="E1008" s="84"/>
      <c r="F1008" s="276"/>
      <c r="H1008" s="275"/>
      <c r="I1008" s="275"/>
      <c r="J1008" s="275"/>
      <c r="K1008" s="275"/>
      <c r="L1008" s="275"/>
      <c r="M1008" s="275"/>
      <c r="N1008" s="260"/>
      <c r="O1008" s="99"/>
      <c r="P1008" s="99"/>
      <c r="Q1008" s="99"/>
      <c r="R1008" s="99"/>
      <c r="S1008" s="99"/>
      <c r="T1008" s="99"/>
      <c r="U1008" s="99"/>
      <c r="V1008" s="99"/>
      <c r="W1008" s="99"/>
      <c r="X1008" s="99"/>
      <c r="Y1008" s="99"/>
      <c r="Z1008" s="99"/>
      <c r="AB1008" s="84"/>
      <c r="AC1008" s="84"/>
      <c r="AD1008" s="84"/>
      <c r="AE1008" s="84"/>
      <c r="AF1008" s="84"/>
      <c r="AG1008" s="84"/>
      <c r="AH1008" s="84"/>
      <c r="AI1008" s="84"/>
    </row>
    <row r="1009" ht="15.75" customHeight="1">
      <c r="A1009" s="84"/>
      <c r="B1009" s="84"/>
      <c r="C1009" s="84"/>
      <c r="D1009" s="84"/>
      <c r="E1009" s="84"/>
      <c r="F1009" s="276"/>
      <c r="H1009" s="275"/>
      <c r="I1009" s="275"/>
      <c r="J1009" s="275"/>
      <c r="K1009" s="275"/>
      <c r="L1009" s="275"/>
      <c r="M1009" s="275"/>
      <c r="N1009" s="260"/>
      <c r="O1009" s="99"/>
      <c r="P1009" s="99"/>
      <c r="Q1009" s="99"/>
      <c r="R1009" s="99"/>
      <c r="S1009" s="99"/>
      <c r="T1009" s="99"/>
      <c r="U1009" s="99"/>
      <c r="V1009" s="99"/>
      <c r="W1009" s="99"/>
      <c r="X1009" s="99"/>
      <c r="Y1009" s="99"/>
      <c r="Z1009" s="99"/>
      <c r="AB1009" s="84"/>
      <c r="AC1009" s="84"/>
      <c r="AD1009" s="84"/>
      <c r="AE1009" s="84"/>
      <c r="AF1009" s="84"/>
      <c r="AG1009" s="84"/>
      <c r="AH1009" s="84"/>
      <c r="AI1009" s="84"/>
    </row>
    <row r="1010" ht="15.75" customHeight="1">
      <c r="A1010" s="84"/>
      <c r="B1010" s="84"/>
      <c r="C1010" s="84"/>
      <c r="D1010" s="84"/>
      <c r="E1010" s="84"/>
      <c r="F1010" s="276"/>
      <c r="H1010" s="275"/>
      <c r="I1010" s="275"/>
      <c r="J1010" s="275"/>
      <c r="K1010" s="275"/>
      <c r="L1010" s="275"/>
      <c r="M1010" s="275"/>
      <c r="N1010" s="260"/>
      <c r="O1010" s="99"/>
      <c r="P1010" s="99"/>
      <c r="Q1010" s="99"/>
      <c r="R1010" s="99"/>
      <c r="S1010" s="99"/>
      <c r="T1010" s="99"/>
      <c r="U1010" s="99"/>
      <c r="V1010" s="99"/>
      <c r="W1010" s="99"/>
      <c r="X1010" s="99"/>
      <c r="Y1010" s="99"/>
      <c r="Z1010" s="99"/>
      <c r="AB1010" s="84"/>
      <c r="AC1010" s="84"/>
      <c r="AD1010" s="84"/>
      <c r="AE1010" s="84"/>
      <c r="AF1010" s="84"/>
      <c r="AG1010" s="84"/>
      <c r="AH1010" s="84"/>
      <c r="AI1010" s="84"/>
    </row>
    <row r="1011" ht="15.75" customHeight="1">
      <c r="A1011" s="84"/>
      <c r="B1011" s="84"/>
      <c r="C1011" s="84"/>
      <c r="D1011" s="84"/>
      <c r="E1011" s="84"/>
      <c r="F1011" s="276"/>
      <c r="H1011" s="275"/>
      <c r="I1011" s="275"/>
      <c r="J1011" s="275"/>
      <c r="K1011" s="275"/>
      <c r="L1011" s="275"/>
      <c r="M1011" s="275"/>
      <c r="N1011" s="260"/>
      <c r="O1011" s="99"/>
      <c r="P1011" s="99"/>
      <c r="Q1011" s="99"/>
      <c r="R1011" s="99"/>
      <c r="S1011" s="99"/>
      <c r="T1011" s="99"/>
      <c r="U1011" s="99"/>
      <c r="V1011" s="99"/>
      <c r="W1011" s="99"/>
      <c r="X1011" s="99"/>
      <c r="Y1011" s="99"/>
      <c r="Z1011" s="99"/>
      <c r="AB1011" s="84"/>
      <c r="AC1011" s="84"/>
      <c r="AD1011" s="84"/>
      <c r="AE1011" s="84"/>
      <c r="AF1011" s="84"/>
      <c r="AG1011" s="84"/>
      <c r="AH1011" s="84"/>
      <c r="AI1011" s="84"/>
    </row>
    <row r="1012" ht="15.75" customHeight="1">
      <c r="A1012" s="84"/>
      <c r="B1012" s="84"/>
      <c r="C1012" s="84"/>
      <c r="D1012" s="84"/>
      <c r="E1012" s="84"/>
      <c r="F1012" s="276"/>
      <c r="H1012" s="275"/>
      <c r="I1012" s="275"/>
      <c r="J1012" s="275"/>
      <c r="K1012" s="275"/>
      <c r="L1012" s="275"/>
      <c r="M1012" s="275"/>
      <c r="N1012" s="260"/>
      <c r="O1012" s="99"/>
      <c r="P1012" s="99"/>
      <c r="Q1012" s="99"/>
      <c r="R1012" s="99"/>
      <c r="S1012" s="99"/>
      <c r="T1012" s="99"/>
      <c r="U1012" s="99"/>
      <c r="V1012" s="99"/>
      <c r="W1012" s="99"/>
      <c r="X1012" s="99"/>
      <c r="Y1012" s="99"/>
      <c r="Z1012" s="99"/>
      <c r="AB1012" s="84"/>
      <c r="AC1012" s="84"/>
      <c r="AD1012" s="84"/>
      <c r="AE1012" s="84"/>
      <c r="AF1012" s="84"/>
      <c r="AG1012" s="84"/>
      <c r="AH1012" s="84"/>
      <c r="AI1012" s="84"/>
    </row>
    <row r="1013" ht="15.75" customHeight="1">
      <c r="A1013" s="84"/>
      <c r="B1013" s="84"/>
      <c r="C1013" s="84"/>
      <c r="D1013" s="84"/>
      <c r="E1013" s="84"/>
      <c r="F1013" s="276"/>
      <c r="H1013" s="275"/>
      <c r="I1013" s="275"/>
      <c r="J1013" s="275"/>
      <c r="K1013" s="275"/>
      <c r="L1013" s="275"/>
      <c r="M1013" s="275"/>
      <c r="N1013" s="260"/>
      <c r="O1013" s="99"/>
      <c r="P1013" s="99"/>
      <c r="Q1013" s="99"/>
      <c r="R1013" s="99"/>
      <c r="S1013" s="99"/>
      <c r="T1013" s="99"/>
      <c r="U1013" s="99"/>
      <c r="V1013" s="99"/>
      <c r="W1013" s="99"/>
      <c r="X1013" s="99"/>
      <c r="Y1013" s="99"/>
      <c r="Z1013" s="99"/>
      <c r="AB1013" s="84"/>
      <c r="AC1013" s="84"/>
      <c r="AD1013" s="84"/>
      <c r="AE1013" s="84"/>
      <c r="AF1013" s="84"/>
      <c r="AG1013" s="84"/>
      <c r="AH1013" s="84"/>
      <c r="AI1013" s="84"/>
    </row>
    <row r="1014" ht="15.75" customHeight="1">
      <c r="A1014" s="84"/>
      <c r="B1014" s="84"/>
      <c r="C1014" s="84"/>
      <c r="D1014" s="84"/>
      <c r="E1014" s="84"/>
      <c r="F1014" s="276"/>
      <c r="H1014" s="275"/>
      <c r="I1014" s="275"/>
      <c r="J1014" s="275"/>
      <c r="K1014" s="275"/>
      <c r="L1014" s="275"/>
      <c r="M1014" s="275"/>
      <c r="N1014" s="260"/>
      <c r="O1014" s="99"/>
      <c r="P1014" s="99"/>
      <c r="Q1014" s="99"/>
      <c r="R1014" s="99"/>
      <c r="S1014" s="99"/>
      <c r="T1014" s="99"/>
      <c r="U1014" s="99"/>
      <c r="V1014" s="99"/>
      <c r="W1014" s="99"/>
      <c r="X1014" s="99"/>
      <c r="Y1014" s="99"/>
      <c r="Z1014" s="99"/>
      <c r="AB1014" s="84"/>
      <c r="AC1014" s="84"/>
      <c r="AD1014" s="84"/>
      <c r="AE1014" s="84"/>
      <c r="AF1014" s="84"/>
      <c r="AG1014" s="84"/>
      <c r="AH1014" s="84"/>
      <c r="AI1014" s="84"/>
    </row>
    <row r="1015" ht="15.75" customHeight="1">
      <c r="A1015" s="84"/>
      <c r="B1015" s="84"/>
      <c r="C1015" s="84"/>
      <c r="D1015" s="84"/>
      <c r="E1015" s="84"/>
      <c r="F1015" s="276"/>
      <c r="H1015" s="275"/>
      <c r="I1015" s="275"/>
      <c r="J1015" s="275"/>
      <c r="K1015" s="275"/>
      <c r="L1015" s="275"/>
      <c r="M1015" s="275"/>
      <c r="N1015" s="260"/>
      <c r="O1015" s="99"/>
      <c r="P1015" s="99"/>
      <c r="Q1015" s="99"/>
      <c r="R1015" s="99"/>
      <c r="S1015" s="99"/>
      <c r="T1015" s="99"/>
      <c r="U1015" s="99"/>
      <c r="V1015" s="99"/>
      <c r="W1015" s="99"/>
      <c r="X1015" s="99"/>
      <c r="Y1015" s="99"/>
      <c r="Z1015" s="99"/>
      <c r="AB1015" s="84"/>
      <c r="AC1015" s="84"/>
      <c r="AD1015" s="84"/>
      <c r="AE1015" s="84"/>
      <c r="AF1015" s="84"/>
      <c r="AG1015" s="84"/>
      <c r="AH1015" s="84"/>
      <c r="AI1015" s="84"/>
    </row>
    <row r="1016" ht="15.75" customHeight="1">
      <c r="A1016" s="84"/>
      <c r="B1016" s="84"/>
      <c r="C1016" s="84"/>
      <c r="D1016" s="84"/>
      <c r="E1016" s="84"/>
      <c r="F1016" s="276"/>
      <c r="H1016" s="275"/>
      <c r="I1016" s="275"/>
      <c r="J1016" s="275"/>
      <c r="K1016" s="275"/>
      <c r="L1016" s="275"/>
      <c r="M1016" s="275"/>
      <c r="N1016" s="260"/>
      <c r="O1016" s="99"/>
      <c r="P1016" s="99"/>
      <c r="Q1016" s="99"/>
      <c r="R1016" s="99"/>
      <c r="S1016" s="99"/>
      <c r="T1016" s="99"/>
      <c r="U1016" s="99"/>
      <c r="V1016" s="99"/>
      <c r="W1016" s="99"/>
      <c r="X1016" s="99"/>
      <c r="Y1016" s="99"/>
      <c r="Z1016" s="99"/>
      <c r="AB1016" s="84"/>
      <c r="AC1016" s="84"/>
      <c r="AD1016" s="84"/>
      <c r="AE1016" s="84"/>
      <c r="AF1016" s="84"/>
      <c r="AG1016" s="84"/>
      <c r="AH1016" s="84"/>
      <c r="AI1016" s="84"/>
    </row>
    <row r="1017" ht="15.75" customHeight="1">
      <c r="A1017" s="84"/>
      <c r="B1017" s="84"/>
      <c r="C1017" s="84"/>
      <c r="D1017" s="84"/>
      <c r="E1017" s="84"/>
      <c r="F1017" s="276"/>
      <c r="H1017" s="275"/>
      <c r="I1017" s="275"/>
      <c r="J1017" s="275"/>
      <c r="K1017" s="275"/>
      <c r="L1017" s="275"/>
      <c r="M1017" s="275"/>
      <c r="N1017" s="260"/>
      <c r="O1017" s="99"/>
      <c r="P1017" s="99"/>
      <c r="Q1017" s="99"/>
      <c r="R1017" s="99"/>
      <c r="S1017" s="99"/>
      <c r="T1017" s="99"/>
      <c r="U1017" s="99"/>
      <c r="V1017" s="99"/>
      <c r="W1017" s="99"/>
      <c r="X1017" s="99"/>
      <c r="Y1017" s="99"/>
      <c r="Z1017" s="99"/>
      <c r="AB1017" s="84"/>
      <c r="AC1017" s="84"/>
      <c r="AD1017" s="84"/>
      <c r="AE1017" s="84"/>
      <c r="AF1017" s="84"/>
      <c r="AG1017" s="84"/>
      <c r="AH1017" s="84"/>
      <c r="AI1017" s="84"/>
    </row>
    <row r="1018" ht="15.75" customHeight="1">
      <c r="A1018" s="84"/>
      <c r="B1018" s="84"/>
      <c r="C1018" s="84"/>
      <c r="D1018" s="84"/>
      <c r="E1018" s="84"/>
      <c r="F1018" s="276"/>
      <c r="H1018" s="275"/>
      <c r="I1018" s="275"/>
      <c r="J1018" s="275"/>
      <c r="K1018" s="275"/>
      <c r="L1018" s="275"/>
      <c r="M1018" s="275"/>
      <c r="N1018" s="260"/>
      <c r="O1018" s="99"/>
      <c r="P1018" s="99"/>
      <c r="Q1018" s="99"/>
      <c r="R1018" s="99"/>
      <c r="S1018" s="99"/>
      <c r="T1018" s="99"/>
      <c r="U1018" s="99"/>
      <c r="V1018" s="99"/>
      <c r="W1018" s="99"/>
      <c r="X1018" s="99"/>
      <c r="Y1018" s="99"/>
      <c r="Z1018" s="99"/>
      <c r="AB1018" s="84"/>
      <c r="AC1018" s="84"/>
      <c r="AD1018" s="84"/>
      <c r="AE1018" s="84"/>
      <c r="AF1018" s="84"/>
      <c r="AG1018" s="84"/>
      <c r="AH1018" s="84"/>
      <c r="AI1018" s="84"/>
    </row>
    <row r="1019" ht="15.75" customHeight="1">
      <c r="A1019" s="84"/>
      <c r="B1019" s="84"/>
      <c r="C1019" s="84"/>
      <c r="D1019" s="84"/>
      <c r="E1019" s="84"/>
      <c r="F1019" s="276"/>
      <c r="H1019" s="275"/>
      <c r="I1019" s="275"/>
      <c r="J1019" s="275"/>
      <c r="K1019" s="275"/>
      <c r="L1019" s="275"/>
      <c r="M1019" s="275"/>
      <c r="N1019" s="260"/>
      <c r="O1019" s="99"/>
      <c r="P1019" s="99"/>
      <c r="Q1019" s="99"/>
      <c r="R1019" s="99"/>
      <c r="S1019" s="99"/>
      <c r="T1019" s="99"/>
      <c r="U1019" s="99"/>
      <c r="V1019" s="99"/>
      <c r="W1019" s="99"/>
      <c r="X1019" s="99"/>
      <c r="Y1019" s="99"/>
      <c r="Z1019" s="99"/>
      <c r="AB1019" s="84"/>
      <c r="AC1019" s="84"/>
      <c r="AD1019" s="84"/>
      <c r="AE1019" s="84"/>
      <c r="AF1019" s="84"/>
      <c r="AG1019" s="84"/>
      <c r="AH1019" s="84"/>
      <c r="AI1019" s="84"/>
    </row>
    <row r="1020" ht="15.75" customHeight="1">
      <c r="A1020" s="84"/>
      <c r="B1020" s="84"/>
      <c r="C1020" s="84"/>
      <c r="D1020" s="84"/>
      <c r="E1020" s="84"/>
      <c r="F1020" s="276"/>
      <c r="H1020" s="275"/>
      <c r="I1020" s="275"/>
      <c r="J1020" s="275"/>
      <c r="K1020" s="275"/>
      <c r="L1020" s="275"/>
      <c r="M1020" s="275"/>
      <c r="N1020" s="260"/>
      <c r="O1020" s="99"/>
      <c r="P1020" s="99"/>
      <c r="Q1020" s="99"/>
      <c r="R1020" s="99"/>
      <c r="S1020" s="99"/>
      <c r="T1020" s="99"/>
      <c r="U1020" s="99"/>
      <c r="V1020" s="99"/>
      <c r="W1020" s="99"/>
      <c r="X1020" s="99"/>
      <c r="Y1020" s="99"/>
      <c r="Z1020" s="99"/>
      <c r="AB1020" s="84"/>
      <c r="AC1020" s="84"/>
      <c r="AD1020" s="84"/>
      <c r="AE1020" s="84"/>
      <c r="AF1020" s="84"/>
      <c r="AG1020" s="84"/>
      <c r="AH1020" s="84"/>
      <c r="AI1020" s="84"/>
    </row>
    <row r="1021" ht="15.75" customHeight="1">
      <c r="A1021" s="84"/>
      <c r="B1021" s="84"/>
      <c r="C1021" s="84"/>
      <c r="D1021" s="84"/>
      <c r="E1021" s="84"/>
      <c r="F1021" s="276"/>
      <c r="H1021" s="275"/>
      <c r="I1021" s="275"/>
      <c r="J1021" s="275"/>
      <c r="K1021" s="275"/>
      <c r="L1021" s="275"/>
      <c r="M1021" s="275"/>
      <c r="N1021" s="260"/>
      <c r="O1021" s="99"/>
      <c r="P1021" s="99"/>
      <c r="Q1021" s="99"/>
      <c r="R1021" s="99"/>
      <c r="S1021" s="99"/>
      <c r="T1021" s="99"/>
      <c r="U1021" s="99"/>
      <c r="V1021" s="99"/>
      <c r="W1021" s="99"/>
      <c r="X1021" s="99"/>
      <c r="Y1021" s="99"/>
      <c r="Z1021" s="99"/>
      <c r="AB1021" s="84"/>
      <c r="AC1021" s="84"/>
      <c r="AD1021" s="84"/>
      <c r="AE1021" s="84"/>
      <c r="AF1021" s="84"/>
      <c r="AG1021" s="84"/>
      <c r="AH1021" s="84"/>
      <c r="AI1021" s="84"/>
    </row>
    <row r="1022" ht="15.75" customHeight="1">
      <c r="A1022" s="84"/>
      <c r="B1022" s="84"/>
      <c r="C1022" s="84"/>
      <c r="D1022" s="84"/>
      <c r="E1022" s="84"/>
      <c r="F1022" s="276"/>
      <c r="H1022" s="275"/>
      <c r="I1022" s="275"/>
      <c r="J1022" s="275"/>
      <c r="K1022" s="275"/>
      <c r="L1022" s="275"/>
      <c r="M1022" s="275"/>
      <c r="N1022" s="260"/>
      <c r="O1022" s="99"/>
      <c r="P1022" s="99"/>
      <c r="Q1022" s="99"/>
      <c r="R1022" s="99"/>
      <c r="S1022" s="99"/>
      <c r="T1022" s="99"/>
      <c r="U1022" s="99"/>
      <c r="V1022" s="99"/>
      <c r="W1022" s="99"/>
      <c r="X1022" s="99"/>
      <c r="Y1022" s="99"/>
      <c r="Z1022" s="99"/>
      <c r="AB1022" s="84"/>
      <c r="AC1022" s="84"/>
      <c r="AD1022" s="84"/>
      <c r="AE1022" s="84"/>
      <c r="AF1022" s="84"/>
      <c r="AG1022" s="84"/>
      <c r="AH1022" s="84"/>
      <c r="AI1022" s="84"/>
    </row>
    <row r="1023" ht="15.75" customHeight="1">
      <c r="A1023" s="84"/>
      <c r="B1023" s="84"/>
      <c r="C1023" s="84"/>
      <c r="D1023" s="84"/>
      <c r="E1023" s="84"/>
      <c r="F1023" s="276"/>
      <c r="H1023" s="275"/>
      <c r="I1023" s="275"/>
      <c r="J1023" s="275"/>
      <c r="K1023" s="275"/>
      <c r="L1023" s="275"/>
      <c r="M1023" s="275"/>
      <c r="N1023" s="260"/>
      <c r="O1023" s="99"/>
      <c r="P1023" s="99"/>
      <c r="Q1023" s="99"/>
      <c r="R1023" s="99"/>
      <c r="S1023" s="99"/>
      <c r="T1023" s="99"/>
      <c r="U1023" s="99"/>
      <c r="V1023" s="99"/>
      <c r="W1023" s="99"/>
      <c r="X1023" s="99"/>
      <c r="Y1023" s="99"/>
      <c r="Z1023" s="99"/>
      <c r="AB1023" s="84"/>
      <c r="AC1023" s="84"/>
      <c r="AD1023" s="84"/>
      <c r="AE1023" s="84"/>
      <c r="AF1023" s="84"/>
      <c r="AG1023" s="84"/>
      <c r="AH1023" s="84"/>
      <c r="AI1023" s="84"/>
    </row>
    <row r="1024" ht="15.75" customHeight="1">
      <c r="A1024" s="84"/>
      <c r="B1024" s="84"/>
      <c r="C1024" s="84"/>
      <c r="D1024" s="84"/>
      <c r="E1024" s="84"/>
      <c r="F1024" s="276"/>
      <c r="H1024" s="275"/>
      <c r="I1024" s="275"/>
      <c r="J1024" s="275"/>
      <c r="K1024" s="275"/>
      <c r="L1024" s="275"/>
      <c r="M1024" s="275"/>
      <c r="N1024" s="260"/>
      <c r="O1024" s="99"/>
      <c r="P1024" s="99"/>
      <c r="Q1024" s="99"/>
      <c r="R1024" s="99"/>
      <c r="S1024" s="99"/>
      <c r="T1024" s="99"/>
      <c r="U1024" s="99"/>
      <c r="V1024" s="99"/>
      <c r="W1024" s="99"/>
      <c r="X1024" s="99"/>
      <c r="Y1024" s="99"/>
      <c r="Z1024" s="99"/>
      <c r="AB1024" s="84"/>
      <c r="AC1024" s="84"/>
      <c r="AD1024" s="84"/>
      <c r="AE1024" s="84"/>
      <c r="AF1024" s="84"/>
      <c r="AG1024" s="84"/>
      <c r="AH1024" s="84"/>
      <c r="AI1024" s="84"/>
    </row>
    <row r="1025" ht="15.75" customHeight="1">
      <c r="A1025" s="84"/>
      <c r="B1025" s="84"/>
      <c r="C1025" s="84"/>
      <c r="D1025" s="84"/>
      <c r="E1025" s="84"/>
      <c r="F1025" s="276"/>
      <c r="H1025" s="275"/>
      <c r="I1025" s="275"/>
      <c r="J1025" s="275"/>
      <c r="K1025" s="275"/>
      <c r="L1025" s="275"/>
      <c r="M1025" s="275"/>
      <c r="N1025" s="260"/>
      <c r="O1025" s="99"/>
      <c r="P1025" s="99"/>
      <c r="Q1025" s="99"/>
      <c r="R1025" s="99"/>
      <c r="S1025" s="99"/>
      <c r="T1025" s="99"/>
      <c r="U1025" s="99"/>
      <c r="V1025" s="99"/>
      <c r="W1025" s="99"/>
      <c r="X1025" s="99"/>
      <c r="Y1025" s="99"/>
      <c r="Z1025" s="99"/>
      <c r="AB1025" s="84"/>
      <c r="AC1025" s="84"/>
      <c r="AD1025" s="84"/>
      <c r="AE1025" s="84"/>
      <c r="AF1025" s="84"/>
      <c r="AG1025" s="84"/>
      <c r="AH1025" s="84"/>
      <c r="AI1025" s="84"/>
    </row>
    <row r="1026" ht="15.75" customHeight="1">
      <c r="A1026" s="84"/>
      <c r="B1026" s="84"/>
      <c r="C1026" s="84"/>
      <c r="D1026" s="84"/>
      <c r="E1026" s="84"/>
      <c r="F1026" s="276"/>
      <c r="H1026" s="275"/>
      <c r="I1026" s="275"/>
      <c r="J1026" s="275"/>
      <c r="K1026" s="275"/>
      <c r="L1026" s="275"/>
      <c r="M1026" s="275"/>
      <c r="N1026" s="260"/>
      <c r="O1026" s="99"/>
      <c r="P1026" s="99"/>
      <c r="Q1026" s="99"/>
      <c r="R1026" s="99"/>
      <c r="S1026" s="99"/>
      <c r="T1026" s="99"/>
      <c r="U1026" s="99"/>
      <c r="V1026" s="99"/>
      <c r="W1026" s="99"/>
      <c r="X1026" s="99"/>
      <c r="Y1026" s="99"/>
      <c r="Z1026" s="99"/>
      <c r="AB1026" s="84"/>
      <c r="AC1026" s="84"/>
      <c r="AD1026" s="84"/>
      <c r="AE1026" s="84"/>
      <c r="AF1026" s="84"/>
      <c r="AG1026" s="84"/>
      <c r="AH1026" s="84"/>
      <c r="AI1026" s="84"/>
    </row>
    <row r="1027" ht="15.75" customHeight="1">
      <c r="A1027" s="84"/>
      <c r="B1027" s="84"/>
      <c r="C1027" s="84"/>
      <c r="D1027" s="84"/>
      <c r="E1027" s="84"/>
      <c r="F1027" s="276"/>
      <c r="H1027" s="275"/>
      <c r="I1027" s="275"/>
      <c r="J1027" s="275"/>
      <c r="K1027" s="275"/>
      <c r="L1027" s="275"/>
      <c r="M1027" s="275"/>
      <c r="N1027" s="260"/>
      <c r="O1027" s="99"/>
      <c r="P1027" s="99"/>
      <c r="Q1027" s="99"/>
      <c r="R1027" s="99"/>
      <c r="S1027" s="99"/>
      <c r="T1027" s="99"/>
      <c r="U1027" s="99"/>
      <c r="V1027" s="99"/>
      <c r="W1027" s="99"/>
      <c r="X1027" s="99"/>
      <c r="Y1027" s="99"/>
      <c r="Z1027" s="99"/>
      <c r="AB1027" s="84"/>
      <c r="AC1027" s="84"/>
      <c r="AD1027" s="84"/>
      <c r="AE1027" s="84"/>
      <c r="AF1027" s="84"/>
      <c r="AG1027" s="84"/>
      <c r="AH1027" s="84"/>
      <c r="AI1027" s="84"/>
    </row>
    <row r="1028" ht="15.75" customHeight="1">
      <c r="A1028" s="84"/>
      <c r="B1028" s="84"/>
      <c r="C1028" s="84"/>
      <c r="D1028" s="84"/>
      <c r="E1028" s="84"/>
      <c r="F1028" s="276"/>
      <c r="H1028" s="275"/>
      <c r="I1028" s="275"/>
      <c r="J1028" s="275"/>
      <c r="K1028" s="275"/>
      <c r="L1028" s="275"/>
      <c r="M1028" s="275"/>
      <c r="N1028" s="260"/>
      <c r="O1028" s="99"/>
      <c r="P1028" s="99"/>
      <c r="Q1028" s="99"/>
      <c r="R1028" s="99"/>
      <c r="S1028" s="99"/>
      <c r="T1028" s="99"/>
      <c r="U1028" s="99"/>
      <c r="V1028" s="99"/>
      <c r="W1028" s="99"/>
      <c r="X1028" s="99"/>
      <c r="Y1028" s="99"/>
      <c r="Z1028" s="99"/>
      <c r="AB1028" s="84"/>
      <c r="AC1028" s="84"/>
      <c r="AD1028" s="84"/>
      <c r="AE1028" s="84"/>
      <c r="AF1028" s="84"/>
      <c r="AG1028" s="84"/>
      <c r="AH1028" s="84"/>
      <c r="AI1028" s="84"/>
    </row>
    <row r="1029" ht="15.75" customHeight="1">
      <c r="A1029" s="84"/>
      <c r="B1029" s="84"/>
      <c r="C1029" s="84"/>
      <c r="D1029" s="84"/>
      <c r="E1029" s="84"/>
      <c r="F1029" s="276"/>
      <c r="H1029" s="275"/>
      <c r="I1029" s="275"/>
      <c r="J1029" s="275"/>
      <c r="K1029" s="275"/>
      <c r="L1029" s="275"/>
      <c r="M1029" s="275"/>
      <c r="N1029" s="260"/>
      <c r="O1029" s="99"/>
      <c r="P1029" s="99"/>
      <c r="Q1029" s="99"/>
      <c r="R1029" s="99"/>
      <c r="S1029" s="99"/>
      <c r="T1029" s="99"/>
      <c r="U1029" s="99"/>
      <c r="V1029" s="99"/>
      <c r="W1029" s="99"/>
      <c r="X1029" s="99"/>
      <c r="Y1029" s="99"/>
      <c r="Z1029" s="99"/>
      <c r="AB1029" s="84"/>
      <c r="AC1029" s="84"/>
      <c r="AD1029" s="84"/>
      <c r="AE1029" s="84"/>
      <c r="AF1029" s="84"/>
      <c r="AG1029" s="84"/>
      <c r="AH1029" s="84"/>
      <c r="AI1029" s="84"/>
    </row>
    <row r="1030" ht="15.75" customHeight="1">
      <c r="A1030" s="84"/>
      <c r="B1030" s="84"/>
      <c r="C1030" s="84"/>
      <c r="D1030" s="84"/>
      <c r="E1030" s="84"/>
      <c r="F1030" s="276"/>
      <c r="H1030" s="275"/>
      <c r="I1030" s="275"/>
      <c r="J1030" s="275"/>
      <c r="K1030" s="275"/>
      <c r="L1030" s="275"/>
      <c r="M1030" s="275"/>
      <c r="N1030" s="260"/>
      <c r="O1030" s="99"/>
      <c r="P1030" s="99"/>
      <c r="Q1030" s="99"/>
      <c r="R1030" s="99"/>
      <c r="S1030" s="99"/>
      <c r="T1030" s="99"/>
      <c r="U1030" s="99"/>
      <c r="V1030" s="99"/>
      <c r="W1030" s="99"/>
      <c r="X1030" s="99"/>
      <c r="Y1030" s="99"/>
      <c r="Z1030" s="99"/>
      <c r="AB1030" s="84"/>
      <c r="AC1030" s="84"/>
      <c r="AD1030" s="84"/>
      <c r="AE1030" s="84"/>
      <c r="AF1030" s="84"/>
      <c r="AG1030" s="84"/>
      <c r="AH1030" s="84"/>
      <c r="AI1030" s="84"/>
    </row>
    <row r="1031" ht="15.75" customHeight="1">
      <c r="A1031" s="84"/>
      <c r="B1031" s="84"/>
      <c r="C1031" s="84"/>
      <c r="D1031" s="84"/>
      <c r="E1031" s="84"/>
      <c r="F1031" s="276"/>
      <c r="H1031" s="275"/>
      <c r="I1031" s="275"/>
      <c r="J1031" s="275"/>
      <c r="K1031" s="275"/>
      <c r="L1031" s="275"/>
      <c r="M1031" s="275"/>
      <c r="N1031" s="260"/>
      <c r="O1031" s="99"/>
      <c r="P1031" s="99"/>
      <c r="Q1031" s="99"/>
      <c r="R1031" s="99"/>
      <c r="S1031" s="99"/>
      <c r="T1031" s="99"/>
      <c r="U1031" s="99"/>
      <c r="V1031" s="99"/>
      <c r="W1031" s="99"/>
      <c r="X1031" s="99"/>
      <c r="Y1031" s="99"/>
      <c r="Z1031" s="99"/>
      <c r="AB1031" s="84"/>
      <c r="AC1031" s="84"/>
      <c r="AD1031" s="84"/>
      <c r="AE1031" s="84"/>
      <c r="AF1031" s="84"/>
      <c r="AG1031" s="84"/>
      <c r="AH1031" s="84"/>
      <c r="AI1031" s="84"/>
    </row>
    <row r="1032" ht="15.75" customHeight="1">
      <c r="A1032" s="84"/>
      <c r="B1032" s="84"/>
      <c r="C1032" s="84"/>
      <c r="D1032" s="84"/>
      <c r="E1032" s="84"/>
      <c r="F1032" s="276"/>
      <c r="H1032" s="275"/>
      <c r="I1032" s="275"/>
      <c r="J1032" s="275"/>
      <c r="K1032" s="275"/>
      <c r="L1032" s="275"/>
      <c r="M1032" s="275"/>
      <c r="N1032" s="260"/>
      <c r="O1032" s="99"/>
      <c r="P1032" s="99"/>
      <c r="Q1032" s="99"/>
      <c r="R1032" s="99"/>
      <c r="S1032" s="99"/>
      <c r="T1032" s="99"/>
      <c r="U1032" s="99"/>
      <c r="V1032" s="99"/>
      <c r="W1032" s="99"/>
      <c r="X1032" s="99"/>
      <c r="Y1032" s="99"/>
      <c r="Z1032" s="99"/>
      <c r="AB1032" s="84"/>
      <c r="AC1032" s="84"/>
      <c r="AD1032" s="84"/>
      <c r="AE1032" s="84"/>
      <c r="AF1032" s="84"/>
      <c r="AG1032" s="84"/>
      <c r="AH1032" s="84"/>
      <c r="AI1032" s="84"/>
    </row>
    <row r="1033" ht="15.75" customHeight="1">
      <c r="A1033" s="84"/>
      <c r="B1033" s="84"/>
      <c r="C1033" s="84"/>
      <c r="D1033" s="84"/>
      <c r="E1033" s="84"/>
      <c r="F1033" s="276"/>
      <c r="H1033" s="275"/>
      <c r="I1033" s="275"/>
      <c r="J1033" s="275"/>
      <c r="K1033" s="275"/>
      <c r="L1033" s="275"/>
      <c r="M1033" s="275"/>
      <c r="N1033" s="260"/>
      <c r="O1033" s="99"/>
      <c r="P1033" s="99"/>
      <c r="Q1033" s="99"/>
      <c r="R1033" s="99"/>
      <c r="S1033" s="99"/>
      <c r="T1033" s="99"/>
      <c r="U1033" s="99"/>
      <c r="V1033" s="99"/>
      <c r="W1033" s="99"/>
      <c r="X1033" s="99"/>
      <c r="Y1033" s="99"/>
      <c r="Z1033" s="99"/>
      <c r="AB1033" s="84"/>
      <c r="AC1033" s="84"/>
      <c r="AD1033" s="84"/>
      <c r="AE1033" s="84"/>
      <c r="AF1033" s="84"/>
      <c r="AG1033" s="84"/>
      <c r="AH1033" s="84"/>
      <c r="AI1033" s="84"/>
    </row>
    <row r="1034" ht="15.75" customHeight="1">
      <c r="A1034" s="84"/>
      <c r="B1034" s="84"/>
      <c r="C1034" s="84"/>
      <c r="D1034" s="84"/>
      <c r="E1034" s="84"/>
      <c r="F1034" s="276"/>
      <c r="H1034" s="275"/>
      <c r="I1034" s="275"/>
      <c r="J1034" s="275"/>
      <c r="K1034" s="275"/>
      <c r="L1034" s="275"/>
      <c r="M1034" s="275"/>
      <c r="N1034" s="260"/>
      <c r="O1034" s="99"/>
      <c r="P1034" s="99"/>
      <c r="Q1034" s="99"/>
      <c r="R1034" s="99"/>
      <c r="S1034" s="99"/>
      <c r="T1034" s="99"/>
      <c r="U1034" s="99"/>
      <c r="V1034" s="99"/>
      <c r="W1034" s="99"/>
      <c r="X1034" s="99"/>
      <c r="Y1034" s="99"/>
      <c r="Z1034" s="99"/>
      <c r="AB1034" s="84"/>
      <c r="AC1034" s="84"/>
      <c r="AD1034" s="84"/>
      <c r="AE1034" s="84"/>
      <c r="AF1034" s="84"/>
      <c r="AG1034" s="84"/>
      <c r="AH1034" s="84"/>
      <c r="AI1034" s="84"/>
    </row>
    <row r="1035" ht="15.75" customHeight="1">
      <c r="A1035" s="84"/>
      <c r="B1035" s="84"/>
      <c r="C1035" s="84"/>
      <c r="D1035" s="84"/>
      <c r="E1035" s="84"/>
      <c r="F1035" s="276"/>
      <c r="H1035" s="275"/>
      <c r="I1035" s="275"/>
      <c r="J1035" s="275"/>
      <c r="K1035" s="275"/>
      <c r="L1035" s="275"/>
      <c r="M1035" s="275"/>
      <c r="N1035" s="260"/>
      <c r="O1035" s="99"/>
      <c r="P1035" s="99"/>
      <c r="Q1035" s="99"/>
      <c r="R1035" s="99"/>
      <c r="S1035" s="99"/>
      <c r="T1035" s="99"/>
      <c r="U1035" s="99"/>
      <c r="V1035" s="99"/>
      <c r="W1035" s="99"/>
      <c r="X1035" s="99"/>
      <c r="Y1035" s="99"/>
      <c r="Z1035" s="99"/>
      <c r="AB1035" s="84"/>
      <c r="AC1035" s="84"/>
      <c r="AD1035" s="84"/>
      <c r="AE1035" s="84"/>
      <c r="AF1035" s="84"/>
      <c r="AG1035" s="84"/>
      <c r="AH1035" s="84"/>
      <c r="AI1035" s="84"/>
    </row>
    <row r="1036" ht="15.75" customHeight="1">
      <c r="A1036" s="84"/>
      <c r="B1036" s="84"/>
      <c r="C1036" s="84"/>
      <c r="D1036" s="84"/>
      <c r="E1036" s="84"/>
      <c r="F1036" s="276"/>
      <c r="H1036" s="275"/>
      <c r="I1036" s="275"/>
      <c r="J1036" s="275"/>
      <c r="K1036" s="275"/>
      <c r="L1036" s="275"/>
      <c r="M1036" s="275"/>
      <c r="N1036" s="260"/>
      <c r="O1036" s="99"/>
      <c r="P1036" s="99"/>
      <c r="Q1036" s="99"/>
      <c r="R1036" s="99"/>
      <c r="S1036" s="99"/>
      <c r="T1036" s="99"/>
      <c r="U1036" s="99"/>
      <c r="V1036" s="99"/>
      <c r="W1036" s="99"/>
      <c r="X1036" s="99"/>
      <c r="Y1036" s="99"/>
      <c r="Z1036" s="99"/>
      <c r="AB1036" s="84"/>
      <c r="AC1036" s="84"/>
      <c r="AD1036" s="84"/>
      <c r="AE1036" s="84"/>
      <c r="AF1036" s="84"/>
      <c r="AG1036" s="84"/>
      <c r="AH1036" s="84"/>
      <c r="AI1036" s="84"/>
    </row>
    <row r="1037" ht="15.75" customHeight="1">
      <c r="A1037" s="84"/>
      <c r="B1037" s="84"/>
      <c r="C1037" s="84"/>
      <c r="D1037" s="84"/>
      <c r="E1037" s="84"/>
      <c r="F1037" s="276"/>
      <c r="H1037" s="275"/>
      <c r="I1037" s="275"/>
      <c r="J1037" s="275"/>
      <c r="K1037" s="275"/>
      <c r="L1037" s="275"/>
      <c r="M1037" s="275"/>
      <c r="N1037" s="260"/>
      <c r="O1037" s="99"/>
      <c r="P1037" s="99"/>
      <c r="Q1037" s="99"/>
      <c r="R1037" s="99"/>
      <c r="S1037" s="99"/>
      <c r="T1037" s="99"/>
      <c r="U1037" s="99"/>
      <c r="V1037" s="99"/>
      <c r="W1037" s="99"/>
      <c r="X1037" s="99"/>
      <c r="Y1037" s="99"/>
      <c r="Z1037" s="99"/>
      <c r="AB1037" s="84"/>
      <c r="AC1037" s="84"/>
      <c r="AD1037" s="84"/>
      <c r="AE1037" s="84"/>
      <c r="AF1037" s="84"/>
      <c r="AG1037" s="84"/>
      <c r="AH1037" s="84"/>
      <c r="AI1037" s="84"/>
    </row>
    <row r="1038" ht="15.75" customHeight="1">
      <c r="A1038" s="84"/>
      <c r="B1038" s="84"/>
      <c r="C1038" s="84"/>
      <c r="D1038" s="84"/>
      <c r="E1038" s="84"/>
      <c r="F1038" s="276"/>
      <c r="H1038" s="275"/>
      <c r="I1038" s="275"/>
      <c r="J1038" s="275"/>
      <c r="K1038" s="275"/>
      <c r="L1038" s="275"/>
      <c r="M1038" s="275"/>
      <c r="N1038" s="260"/>
      <c r="O1038" s="99"/>
      <c r="P1038" s="99"/>
      <c r="Q1038" s="99"/>
      <c r="R1038" s="99"/>
      <c r="S1038" s="99"/>
      <c r="T1038" s="99"/>
      <c r="U1038" s="99"/>
      <c r="V1038" s="99"/>
      <c r="W1038" s="99"/>
      <c r="X1038" s="99"/>
      <c r="Y1038" s="99"/>
      <c r="Z1038" s="99"/>
      <c r="AB1038" s="84"/>
      <c r="AC1038" s="84"/>
      <c r="AD1038" s="84"/>
      <c r="AE1038" s="84"/>
      <c r="AF1038" s="84"/>
      <c r="AG1038" s="84"/>
      <c r="AH1038" s="84"/>
      <c r="AI1038" s="84"/>
    </row>
    <row r="1039" ht="15.75" customHeight="1">
      <c r="A1039" s="84"/>
      <c r="B1039" s="84"/>
      <c r="C1039" s="84"/>
      <c r="D1039" s="84"/>
      <c r="E1039" s="84"/>
      <c r="F1039" s="276"/>
      <c r="H1039" s="275"/>
      <c r="I1039" s="275"/>
      <c r="J1039" s="275"/>
      <c r="K1039" s="275"/>
      <c r="L1039" s="275"/>
      <c r="M1039" s="275"/>
      <c r="N1039" s="260"/>
      <c r="O1039" s="99"/>
      <c r="P1039" s="99"/>
      <c r="Q1039" s="99"/>
      <c r="R1039" s="99"/>
      <c r="S1039" s="99"/>
      <c r="T1039" s="99"/>
      <c r="U1039" s="99"/>
      <c r="V1039" s="99"/>
      <c r="W1039" s="99"/>
      <c r="X1039" s="99"/>
      <c r="Y1039" s="99"/>
      <c r="Z1039" s="99"/>
      <c r="AB1039" s="84"/>
      <c r="AC1039" s="84"/>
      <c r="AD1039" s="84"/>
      <c r="AE1039" s="84"/>
      <c r="AF1039" s="84"/>
      <c r="AG1039" s="84"/>
      <c r="AH1039" s="84"/>
      <c r="AI1039" s="84"/>
    </row>
    <row r="1040" ht="15.75" customHeight="1">
      <c r="A1040" s="84"/>
      <c r="B1040" s="84"/>
      <c r="C1040" s="84"/>
      <c r="D1040" s="84"/>
      <c r="E1040" s="84"/>
      <c r="F1040" s="276"/>
      <c r="H1040" s="275"/>
      <c r="I1040" s="275"/>
      <c r="J1040" s="275"/>
      <c r="K1040" s="275"/>
      <c r="L1040" s="275"/>
      <c r="M1040" s="275"/>
      <c r="N1040" s="260"/>
      <c r="O1040" s="99"/>
      <c r="P1040" s="99"/>
      <c r="Q1040" s="99"/>
      <c r="R1040" s="99"/>
      <c r="S1040" s="99"/>
      <c r="T1040" s="99"/>
      <c r="U1040" s="99"/>
      <c r="V1040" s="99"/>
      <c r="W1040" s="99"/>
      <c r="X1040" s="99"/>
      <c r="Y1040" s="99"/>
      <c r="Z1040" s="99"/>
      <c r="AB1040" s="84"/>
      <c r="AC1040" s="84"/>
      <c r="AD1040" s="84"/>
      <c r="AE1040" s="84"/>
      <c r="AF1040" s="84"/>
      <c r="AG1040" s="84"/>
      <c r="AH1040" s="84"/>
      <c r="AI1040" s="84"/>
    </row>
    <row r="1041" ht="15.75" customHeight="1">
      <c r="A1041" s="84"/>
      <c r="B1041" s="84"/>
      <c r="C1041" s="84"/>
      <c r="D1041" s="84"/>
      <c r="E1041" s="84"/>
      <c r="F1041" s="276"/>
      <c r="H1041" s="275"/>
      <c r="I1041" s="275"/>
      <c r="J1041" s="275"/>
      <c r="K1041" s="275"/>
      <c r="L1041" s="275"/>
      <c r="M1041" s="275"/>
      <c r="N1041" s="260"/>
      <c r="O1041" s="99"/>
      <c r="P1041" s="99"/>
      <c r="Q1041" s="99"/>
      <c r="R1041" s="99"/>
      <c r="S1041" s="99"/>
      <c r="T1041" s="99"/>
      <c r="U1041" s="99"/>
      <c r="V1041" s="99"/>
      <c r="W1041" s="99"/>
      <c r="X1041" s="99"/>
      <c r="Y1041" s="99"/>
      <c r="Z1041" s="99"/>
      <c r="AB1041" s="84"/>
      <c r="AC1041" s="84"/>
      <c r="AD1041" s="84"/>
      <c r="AE1041" s="84"/>
      <c r="AF1041" s="84"/>
      <c r="AG1041" s="84"/>
      <c r="AH1041" s="84"/>
      <c r="AI1041" s="84"/>
    </row>
    <row r="1042" ht="15.75" customHeight="1">
      <c r="A1042" s="84"/>
      <c r="B1042" s="84"/>
      <c r="C1042" s="84"/>
      <c r="D1042" s="84"/>
      <c r="E1042" s="84"/>
      <c r="F1042" s="276"/>
      <c r="H1042" s="275"/>
      <c r="I1042" s="275"/>
      <c r="J1042" s="275"/>
      <c r="K1042" s="275"/>
      <c r="L1042" s="275"/>
      <c r="M1042" s="275"/>
      <c r="N1042" s="260"/>
      <c r="O1042" s="99"/>
      <c r="P1042" s="99"/>
      <c r="Q1042" s="99"/>
      <c r="R1042" s="99"/>
      <c r="S1042" s="99"/>
      <c r="T1042" s="99"/>
      <c r="U1042" s="99"/>
      <c r="V1042" s="99"/>
      <c r="W1042" s="99"/>
      <c r="X1042" s="99"/>
      <c r="Y1042" s="99"/>
      <c r="Z1042" s="99"/>
      <c r="AB1042" s="84"/>
      <c r="AC1042" s="84"/>
      <c r="AD1042" s="84"/>
      <c r="AE1042" s="84"/>
      <c r="AF1042" s="84"/>
      <c r="AG1042" s="84"/>
      <c r="AH1042" s="84"/>
      <c r="AI1042" s="84"/>
    </row>
    <row r="1043" ht="15.75" customHeight="1">
      <c r="A1043" s="84"/>
      <c r="B1043" s="84"/>
      <c r="C1043" s="84"/>
      <c r="D1043" s="84"/>
      <c r="E1043" s="84"/>
      <c r="F1043" s="276"/>
      <c r="H1043" s="275"/>
      <c r="I1043" s="275"/>
      <c r="J1043" s="275"/>
      <c r="K1043" s="275"/>
      <c r="L1043" s="275"/>
      <c r="M1043" s="275"/>
      <c r="N1043" s="260"/>
      <c r="O1043" s="99"/>
      <c r="P1043" s="99"/>
      <c r="Q1043" s="99"/>
      <c r="R1043" s="99"/>
      <c r="S1043" s="99"/>
      <c r="T1043" s="99"/>
      <c r="U1043" s="99"/>
      <c r="V1043" s="99"/>
      <c r="W1043" s="99"/>
      <c r="X1043" s="99"/>
      <c r="Y1043" s="99"/>
      <c r="Z1043" s="99"/>
      <c r="AB1043" s="84"/>
      <c r="AC1043" s="84"/>
      <c r="AD1043" s="84"/>
      <c r="AE1043" s="84"/>
      <c r="AF1043" s="84"/>
      <c r="AG1043" s="84"/>
      <c r="AH1043" s="84"/>
      <c r="AI1043" s="84"/>
    </row>
    <row r="1044" ht="15.75" customHeight="1">
      <c r="A1044" s="84"/>
      <c r="B1044" s="84"/>
      <c r="C1044" s="84"/>
      <c r="D1044" s="84"/>
      <c r="E1044" s="84"/>
      <c r="F1044" s="276"/>
      <c r="H1044" s="275"/>
      <c r="I1044" s="275"/>
      <c r="J1044" s="275"/>
      <c r="K1044" s="275"/>
      <c r="L1044" s="275"/>
      <c r="M1044" s="275"/>
      <c r="N1044" s="260"/>
      <c r="O1044" s="99"/>
      <c r="P1044" s="99"/>
      <c r="Q1044" s="99"/>
      <c r="R1044" s="99"/>
      <c r="S1044" s="99"/>
      <c r="T1044" s="99"/>
      <c r="U1044" s="99"/>
      <c r="V1044" s="99"/>
      <c r="W1044" s="99"/>
      <c r="X1044" s="99"/>
      <c r="Y1044" s="99"/>
      <c r="Z1044" s="99"/>
      <c r="AB1044" s="84"/>
      <c r="AC1044" s="84"/>
      <c r="AD1044" s="84"/>
      <c r="AE1044" s="84"/>
      <c r="AF1044" s="84"/>
      <c r="AG1044" s="84"/>
      <c r="AH1044" s="84"/>
      <c r="AI1044" s="84"/>
    </row>
    <row r="1045" ht="15.75" customHeight="1">
      <c r="A1045" s="84"/>
      <c r="B1045" s="84"/>
      <c r="C1045" s="84"/>
      <c r="D1045" s="84"/>
      <c r="E1045" s="84"/>
      <c r="F1045" s="276"/>
      <c r="H1045" s="275"/>
      <c r="I1045" s="275"/>
      <c r="J1045" s="275"/>
      <c r="K1045" s="275"/>
      <c r="L1045" s="275"/>
      <c r="M1045" s="275"/>
      <c r="N1045" s="260"/>
      <c r="O1045" s="99"/>
      <c r="P1045" s="99"/>
      <c r="Q1045" s="99"/>
      <c r="R1045" s="99"/>
      <c r="S1045" s="99"/>
      <c r="T1045" s="99"/>
      <c r="U1045" s="99"/>
      <c r="V1045" s="99"/>
      <c r="W1045" s="99"/>
      <c r="X1045" s="99"/>
      <c r="Y1045" s="99"/>
      <c r="Z1045" s="99"/>
      <c r="AB1045" s="84"/>
      <c r="AC1045" s="84"/>
      <c r="AD1045" s="84"/>
      <c r="AE1045" s="84"/>
      <c r="AF1045" s="84"/>
      <c r="AG1045" s="84"/>
      <c r="AH1045" s="84"/>
      <c r="AI1045" s="84"/>
    </row>
    <row r="1046" ht="15.75" customHeight="1">
      <c r="A1046" s="84"/>
      <c r="B1046" s="84"/>
      <c r="C1046" s="84"/>
      <c r="D1046" s="84"/>
      <c r="E1046" s="84"/>
      <c r="F1046" s="276"/>
      <c r="H1046" s="275"/>
      <c r="I1046" s="275"/>
      <c r="J1046" s="275"/>
      <c r="K1046" s="275"/>
      <c r="L1046" s="275"/>
      <c r="M1046" s="275"/>
      <c r="N1046" s="260"/>
      <c r="O1046" s="99"/>
      <c r="P1046" s="99"/>
      <c r="Q1046" s="99"/>
      <c r="R1046" s="99"/>
      <c r="S1046" s="99"/>
      <c r="T1046" s="99"/>
      <c r="U1046" s="99"/>
      <c r="V1046" s="99"/>
      <c r="W1046" s="99"/>
      <c r="X1046" s="99"/>
      <c r="Y1046" s="99"/>
      <c r="Z1046" s="99"/>
      <c r="AB1046" s="84"/>
      <c r="AC1046" s="84"/>
      <c r="AD1046" s="84"/>
      <c r="AE1046" s="84"/>
      <c r="AF1046" s="84"/>
      <c r="AG1046" s="84"/>
      <c r="AH1046" s="84"/>
      <c r="AI1046" s="84"/>
    </row>
    <row r="1047" ht="15.75" customHeight="1">
      <c r="A1047" s="84"/>
      <c r="B1047" s="84"/>
      <c r="C1047" s="84"/>
      <c r="D1047" s="84"/>
      <c r="E1047" s="84"/>
      <c r="F1047" s="276"/>
      <c r="H1047" s="275"/>
      <c r="I1047" s="275"/>
      <c r="J1047" s="275"/>
      <c r="K1047" s="275"/>
      <c r="L1047" s="275"/>
      <c r="M1047" s="275"/>
      <c r="N1047" s="260"/>
      <c r="O1047" s="99"/>
      <c r="P1047" s="99"/>
      <c r="Q1047" s="99"/>
      <c r="R1047" s="99"/>
      <c r="S1047" s="99"/>
      <c r="T1047" s="99"/>
      <c r="U1047" s="99"/>
      <c r="V1047" s="99"/>
      <c r="W1047" s="99"/>
      <c r="X1047" s="99"/>
      <c r="Y1047" s="99"/>
      <c r="Z1047" s="99"/>
      <c r="AB1047" s="84"/>
      <c r="AC1047" s="84"/>
      <c r="AD1047" s="84"/>
      <c r="AE1047" s="84"/>
      <c r="AF1047" s="84"/>
      <c r="AG1047" s="84"/>
      <c r="AH1047" s="84"/>
      <c r="AI1047" s="84"/>
    </row>
    <row r="1048" ht="15.75" customHeight="1">
      <c r="A1048" s="84"/>
      <c r="B1048" s="84"/>
      <c r="C1048" s="84"/>
      <c r="D1048" s="84"/>
      <c r="E1048" s="84"/>
      <c r="F1048" s="276"/>
      <c r="H1048" s="275"/>
      <c r="I1048" s="275"/>
      <c r="J1048" s="275"/>
      <c r="K1048" s="275"/>
      <c r="L1048" s="275"/>
      <c r="M1048" s="275"/>
      <c r="N1048" s="260"/>
      <c r="O1048" s="99"/>
      <c r="P1048" s="99"/>
      <c r="Q1048" s="99"/>
      <c r="R1048" s="99"/>
      <c r="S1048" s="99"/>
      <c r="T1048" s="99"/>
      <c r="U1048" s="99"/>
      <c r="V1048" s="99"/>
      <c r="W1048" s="99"/>
      <c r="X1048" s="99"/>
      <c r="Y1048" s="99"/>
      <c r="Z1048" s="99"/>
      <c r="AB1048" s="84"/>
      <c r="AC1048" s="84"/>
      <c r="AD1048" s="84"/>
      <c r="AE1048" s="84"/>
      <c r="AF1048" s="84"/>
      <c r="AG1048" s="84"/>
      <c r="AH1048" s="84"/>
      <c r="AI1048" s="84"/>
    </row>
    <row r="1049" ht="15.75" customHeight="1">
      <c r="A1049" s="84"/>
      <c r="B1049" s="84"/>
      <c r="C1049" s="84"/>
      <c r="D1049" s="84"/>
      <c r="E1049" s="84"/>
      <c r="F1049" s="276"/>
      <c r="H1049" s="275"/>
      <c r="I1049" s="275"/>
      <c r="J1049" s="275"/>
      <c r="K1049" s="275"/>
      <c r="L1049" s="275"/>
      <c r="M1049" s="275"/>
      <c r="N1049" s="260"/>
      <c r="O1049" s="99"/>
      <c r="P1049" s="99"/>
      <c r="Q1049" s="99"/>
      <c r="R1049" s="99"/>
      <c r="S1049" s="99"/>
      <c r="T1049" s="99"/>
      <c r="U1049" s="99"/>
      <c r="V1049" s="99"/>
      <c r="W1049" s="99"/>
      <c r="X1049" s="99"/>
      <c r="Y1049" s="99"/>
      <c r="Z1049" s="99"/>
      <c r="AB1049" s="84"/>
      <c r="AC1049" s="84"/>
      <c r="AD1049" s="84"/>
      <c r="AE1049" s="84"/>
      <c r="AF1049" s="84"/>
      <c r="AG1049" s="84"/>
      <c r="AH1049" s="84"/>
      <c r="AI1049" s="84"/>
    </row>
    <row r="1050" ht="15.75" customHeight="1">
      <c r="A1050" s="84"/>
      <c r="B1050" s="84"/>
      <c r="C1050" s="84"/>
      <c r="D1050" s="84"/>
      <c r="E1050" s="84"/>
      <c r="F1050" s="276"/>
      <c r="H1050" s="275"/>
      <c r="I1050" s="275"/>
      <c r="J1050" s="275"/>
      <c r="K1050" s="275"/>
      <c r="L1050" s="275"/>
      <c r="M1050" s="275"/>
      <c r="N1050" s="260"/>
      <c r="O1050" s="99"/>
      <c r="P1050" s="99"/>
      <c r="Q1050" s="99"/>
      <c r="R1050" s="99"/>
      <c r="S1050" s="99"/>
      <c r="T1050" s="99"/>
      <c r="U1050" s="99"/>
      <c r="V1050" s="99"/>
      <c r="W1050" s="99"/>
      <c r="X1050" s="99"/>
      <c r="Y1050" s="99"/>
      <c r="Z1050" s="99"/>
      <c r="AB1050" s="84"/>
      <c r="AC1050" s="84"/>
      <c r="AD1050" s="84"/>
      <c r="AE1050" s="84"/>
      <c r="AF1050" s="84"/>
      <c r="AG1050" s="84"/>
      <c r="AH1050" s="84"/>
      <c r="AI1050" s="84"/>
    </row>
    <row r="1051" ht="15.75" customHeight="1">
      <c r="A1051" s="84"/>
      <c r="B1051" s="84"/>
      <c r="C1051" s="84"/>
      <c r="D1051" s="84"/>
      <c r="E1051" s="84"/>
      <c r="F1051" s="276"/>
      <c r="H1051" s="275"/>
      <c r="I1051" s="275"/>
      <c r="J1051" s="275"/>
      <c r="K1051" s="275"/>
      <c r="L1051" s="275"/>
      <c r="M1051" s="275"/>
      <c r="N1051" s="260"/>
      <c r="O1051" s="99"/>
      <c r="P1051" s="99"/>
      <c r="Q1051" s="99"/>
      <c r="R1051" s="99"/>
      <c r="S1051" s="99"/>
      <c r="T1051" s="99"/>
      <c r="U1051" s="99"/>
      <c r="V1051" s="99"/>
      <c r="W1051" s="99"/>
      <c r="X1051" s="99"/>
      <c r="Y1051" s="99"/>
      <c r="Z1051" s="99"/>
      <c r="AB1051" s="84"/>
      <c r="AC1051" s="84"/>
      <c r="AD1051" s="84"/>
      <c r="AE1051" s="84"/>
      <c r="AF1051" s="84"/>
      <c r="AG1051" s="84"/>
      <c r="AH1051" s="84"/>
      <c r="AI1051" s="84"/>
    </row>
    <row r="1052" ht="15.75" customHeight="1">
      <c r="A1052" s="84"/>
      <c r="B1052" s="84"/>
      <c r="C1052" s="84"/>
      <c r="D1052" s="84"/>
      <c r="E1052" s="84"/>
      <c r="F1052" s="276"/>
      <c r="H1052" s="275"/>
      <c r="I1052" s="275"/>
      <c r="J1052" s="275"/>
      <c r="K1052" s="275"/>
      <c r="L1052" s="275"/>
      <c r="M1052" s="275"/>
      <c r="N1052" s="260"/>
      <c r="O1052" s="99"/>
      <c r="P1052" s="99"/>
      <c r="Q1052" s="99"/>
      <c r="R1052" s="99"/>
      <c r="S1052" s="99"/>
      <c r="T1052" s="99"/>
      <c r="U1052" s="99"/>
      <c r="V1052" s="99"/>
      <c r="W1052" s="99"/>
      <c r="X1052" s="99"/>
      <c r="Y1052" s="99"/>
      <c r="Z1052" s="99"/>
      <c r="AB1052" s="84"/>
      <c r="AC1052" s="84"/>
      <c r="AD1052" s="84"/>
      <c r="AE1052" s="84"/>
      <c r="AF1052" s="84"/>
      <c r="AG1052" s="84"/>
      <c r="AH1052" s="84"/>
      <c r="AI1052" s="84"/>
    </row>
    <row r="1053" ht="15.75" customHeight="1">
      <c r="A1053" s="84"/>
      <c r="B1053" s="84"/>
      <c r="C1053" s="84"/>
      <c r="D1053" s="84"/>
      <c r="E1053" s="84"/>
      <c r="F1053" s="276"/>
      <c r="H1053" s="275"/>
      <c r="I1053" s="275"/>
      <c r="J1053" s="275"/>
      <c r="K1053" s="275"/>
      <c r="L1053" s="275"/>
      <c r="M1053" s="275"/>
      <c r="N1053" s="260"/>
      <c r="O1053" s="99"/>
      <c r="P1053" s="99"/>
      <c r="Q1053" s="99"/>
      <c r="R1053" s="99"/>
      <c r="S1053" s="99"/>
      <c r="T1053" s="99"/>
      <c r="U1053" s="99"/>
      <c r="V1053" s="99"/>
      <c r="W1053" s="99"/>
      <c r="X1053" s="99"/>
      <c r="Y1053" s="99"/>
      <c r="Z1053" s="99"/>
      <c r="AB1053" s="84"/>
      <c r="AC1053" s="84"/>
      <c r="AD1053" s="84"/>
      <c r="AE1053" s="84"/>
      <c r="AF1053" s="84"/>
      <c r="AG1053" s="84"/>
      <c r="AH1053" s="84"/>
      <c r="AI1053" s="84"/>
    </row>
    <row r="1054" ht="15.75" customHeight="1">
      <c r="A1054" s="84"/>
      <c r="B1054" s="84"/>
      <c r="C1054" s="84"/>
      <c r="D1054" s="84"/>
      <c r="E1054" s="84"/>
      <c r="F1054" s="276"/>
      <c r="H1054" s="275"/>
      <c r="I1054" s="275"/>
      <c r="J1054" s="275"/>
      <c r="K1054" s="275"/>
      <c r="L1054" s="275"/>
      <c r="M1054" s="275"/>
      <c r="N1054" s="260"/>
      <c r="O1054" s="99"/>
      <c r="P1054" s="99"/>
      <c r="Q1054" s="99"/>
      <c r="R1054" s="99"/>
      <c r="S1054" s="99"/>
      <c r="T1054" s="99"/>
      <c r="U1054" s="99"/>
      <c r="V1054" s="99"/>
      <c r="W1054" s="99"/>
      <c r="X1054" s="99"/>
      <c r="Y1054" s="99"/>
      <c r="Z1054" s="99"/>
      <c r="AB1054" s="84"/>
      <c r="AC1054" s="84"/>
      <c r="AD1054" s="84"/>
      <c r="AE1054" s="84"/>
      <c r="AF1054" s="84"/>
      <c r="AG1054" s="84"/>
      <c r="AH1054" s="84"/>
      <c r="AI1054" s="84"/>
    </row>
    <row r="1055" ht="15.75" customHeight="1">
      <c r="A1055" s="84"/>
      <c r="B1055" s="84"/>
      <c r="C1055" s="84"/>
      <c r="D1055" s="84"/>
      <c r="E1055" s="84"/>
      <c r="F1055" s="276"/>
      <c r="H1055" s="275"/>
      <c r="I1055" s="275"/>
      <c r="J1055" s="275"/>
      <c r="K1055" s="275"/>
      <c r="L1055" s="275"/>
      <c r="M1055" s="275"/>
      <c r="N1055" s="260"/>
      <c r="O1055" s="99"/>
      <c r="P1055" s="99"/>
      <c r="Q1055" s="99"/>
      <c r="R1055" s="99"/>
      <c r="S1055" s="99"/>
      <c r="T1055" s="99"/>
      <c r="U1055" s="99"/>
      <c r="V1055" s="99"/>
      <c r="W1055" s="99"/>
      <c r="X1055" s="99"/>
      <c r="Y1055" s="99"/>
      <c r="Z1055" s="99"/>
      <c r="AB1055" s="84"/>
      <c r="AC1055" s="84"/>
      <c r="AD1055" s="84"/>
      <c r="AE1055" s="84"/>
      <c r="AF1055" s="84"/>
      <c r="AG1055" s="84"/>
      <c r="AH1055" s="84"/>
      <c r="AI1055" s="84"/>
    </row>
    <row r="1056" ht="15.75" customHeight="1">
      <c r="A1056" s="84"/>
      <c r="B1056" s="84"/>
      <c r="C1056" s="84"/>
      <c r="D1056" s="84"/>
      <c r="E1056" s="84"/>
      <c r="F1056" s="276"/>
      <c r="H1056" s="275"/>
      <c r="I1056" s="275"/>
      <c r="J1056" s="275"/>
      <c r="K1056" s="275"/>
      <c r="L1056" s="275"/>
      <c r="M1056" s="275"/>
      <c r="N1056" s="260"/>
      <c r="O1056" s="99"/>
      <c r="P1056" s="99"/>
      <c r="Q1056" s="99"/>
      <c r="R1056" s="99"/>
      <c r="S1056" s="99"/>
      <c r="T1056" s="99"/>
      <c r="U1056" s="99"/>
      <c r="V1056" s="99"/>
      <c r="W1056" s="99"/>
      <c r="X1056" s="99"/>
      <c r="Y1056" s="99"/>
      <c r="Z1056" s="99"/>
      <c r="AB1056" s="84"/>
      <c r="AC1056" s="84"/>
      <c r="AD1056" s="84"/>
      <c r="AE1056" s="84"/>
      <c r="AF1056" s="84"/>
      <c r="AG1056" s="84"/>
      <c r="AH1056" s="84"/>
      <c r="AI1056" s="84"/>
    </row>
    <row r="1057" ht="15.75" customHeight="1">
      <c r="A1057" s="84"/>
      <c r="B1057" s="84"/>
      <c r="C1057" s="84"/>
      <c r="D1057" s="84"/>
      <c r="E1057" s="84"/>
      <c r="F1057" s="276"/>
      <c r="H1057" s="275"/>
      <c r="I1057" s="275"/>
      <c r="J1057" s="275"/>
      <c r="K1057" s="275"/>
      <c r="L1057" s="275"/>
      <c r="M1057" s="275"/>
      <c r="N1057" s="260"/>
      <c r="O1057" s="99"/>
      <c r="P1057" s="99"/>
      <c r="Q1057" s="99"/>
      <c r="R1057" s="99"/>
      <c r="S1057" s="99"/>
      <c r="T1057" s="99"/>
      <c r="U1057" s="99"/>
      <c r="V1057" s="99"/>
      <c r="W1057" s="99"/>
      <c r="X1057" s="99"/>
      <c r="Y1057" s="99"/>
      <c r="Z1057" s="99"/>
      <c r="AB1057" s="84"/>
      <c r="AC1057" s="84"/>
      <c r="AD1057" s="84"/>
      <c r="AE1057" s="84"/>
      <c r="AF1057" s="84"/>
      <c r="AG1057" s="84"/>
      <c r="AH1057" s="84"/>
      <c r="AI1057" s="84"/>
    </row>
    <row r="1058" ht="15.75" customHeight="1">
      <c r="A1058" s="84"/>
      <c r="B1058" s="84"/>
      <c r="C1058" s="84"/>
      <c r="D1058" s="84"/>
      <c r="E1058" s="84"/>
      <c r="F1058" s="276"/>
      <c r="H1058" s="275"/>
      <c r="I1058" s="275"/>
      <c r="J1058" s="275"/>
      <c r="K1058" s="275"/>
      <c r="L1058" s="275"/>
      <c r="M1058" s="275"/>
      <c r="N1058" s="260"/>
      <c r="O1058" s="99"/>
      <c r="P1058" s="99"/>
      <c r="Q1058" s="99"/>
      <c r="R1058" s="99"/>
      <c r="S1058" s="99"/>
      <c r="T1058" s="99"/>
      <c r="U1058" s="99"/>
      <c r="V1058" s="99"/>
      <c r="W1058" s="99"/>
      <c r="X1058" s="99"/>
      <c r="Y1058" s="99"/>
      <c r="Z1058" s="99"/>
      <c r="AB1058" s="84"/>
      <c r="AC1058" s="84"/>
      <c r="AD1058" s="84"/>
      <c r="AE1058" s="84"/>
      <c r="AF1058" s="84"/>
      <c r="AG1058" s="84"/>
      <c r="AH1058" s="84"/>
      <c r="AI1058" s="84"/>
    </row>
    <row r="1059" ht="15.75" customHeight="1">
      <c r="A1059" s="84"/>
      <c r="B1059" s="84"/>
      <c r="C1059" s="84"/>
      <c r="D1059" s="84"/>
      <c r="E1059" s="84"/>
      <c r="F1059" s="276"/>
      <c r="H1059" s="275"/>
      <c r="I1059" s="275"/>
      <c r="J1059" s="275"/>
      <c r="K1059" s="275"/>
      <c r="L1059" s="275"/>
      <c r="M1059" s="275"/>
      <c r="N1059" s="260"/>
      <c r="O1059" s="99"/>
      <c r="P1059" s="99"/>
      <c r="Q1059" s="99"/>
      <c r="R1059" s="99"/>
      <c r="S1059" s="99"/>
      <c r="T1059" s="99"/>
      <c r="U1059" s="99"/>
      <c r="V1059" s="99"/>
      <c r="W1059" s="99"/>
      <c r="X1059" s="99"/>
      <c r="Y1059" s="99"/>
      <c r="Z1059" s="99"/>
      <c r="AB1059" s="84"/>
      <c r="AC1059" s="84"/>
      <c r="AD1059" s="84"/>
      <c r="AE1059" s="84"/>
      <c r="AF1059" s="84"/>
      <c r="AG1059" s="84"/>
      <c r="AH1059" s="84"/>
      <c r="AI1059" s="84"/>
    </row>
    <row r="1060" ht="15.75" customHeight="1">
      <c r="A1060" s="84"/>
      <c r="B1060" s="84"/>
      <c r="C1060" s="84"/>
      <c r="D1060" s="84"/>
      <c r="E1060" s="84"/>
      <c r="F1060" s="276"/>
      <c r="H1060" s="275"/>
      <c r="I1060" s="275"/>
      <c r="J1060" s="275"/>
      <c r="K1060" s="275"/>
      <c r="L1060" s="275"/>
      <c r="M1060" s="275"/>
      <c r="N1060" s="260"/>
      <c r="O1060" s="99"/>
      <c r="P1060" s="99"/>
      <c r="Q1060" s="99"/>
      <c r="R1060" s="99"/>
      <c r="S1060" s="99"/>
      <c r="T1060" s="99"/>
      <c r="U1060" s="99"/>
      <c r="V1060" s="99"/>
      <c r="W1060" s="99"/>
      <c r="X1060" s="99"/>
      <c r="Y1060" s="99"/>
      <c r="Z1060" s="99"/>
      <c r="AB1060" s="84"/>
      <c r="AC1060" s="84"/>
      <c r="AD1060" s="84"/>
      <c r="AE1060" s="84"/>
      <c r="AF1060" s="84"/>
      <c r="AG1060" s="84"/>
      <c r="AH1060" s="84"/>
      <c r="AI1060" s="84"/>
    </row>
    <row r="1061" ht="15.75" customHeight="1">
      <c r="A1061" s="84"/>
      <c r="B1061" s="84"/>
      <c r="C1061" s="84"/>
      <c r="D1061" s="84"/>
      <c r="E1061" s="84"/>
      <c r="F1061" s="276"/>
      <c r="H1061" s="275"/>
      <c r="I1061" s="275"/>
      <c r="J1061" s="275"/>
      <c r="K1061" s="275"/>
      <c r="L1061" s="275"/>
      <c r="M1061" s="275"/>
      <c r="N1061" s="260"/>
      <c r="O1061" s="99"/>
      <c r="P1061" s="99"/>
      <c r="Q1061" s="99"/>
      <c r="R1061" s="99"/>
      <c r="S1061" s="99"/>
      <c r="T1061" s="99"/>
      <c r="U1061" s="99"/>
      <c r="V1061" s="99"/>
      <c r="W1061" s="99"/>
      <c r="X1061" s="99"/>
      <c r="Y1061" s="99"/>
      <c r="Z1061" s="99"/>
      <c r="AB1061" s="84"/>
      <c r="AC1061" s="84"/>
      <c r="AD1061" s="84"/>
      <c r="AE1061" s="84"/>
      <c r="AF1061" s="84"/>
      <c r="AG1061" s="84"/>
      <c r="AH1061" s="84"/>
      <c r="AI1061" s="84"/>
    </row>
    <row r="1062" ht="15.75" customHeight="1">
      <c r="A1062" s="84"/>
      <c r="B1062" s="84"/>
      <c r="C1062" s="84"/>
      <c r="D1062" s="84"/>
      <c r="E1062" s="84"/>
      <c r="F1062" s="276"/>
      <c r="H1062" s="275"/>
      <c r="I1062" s="275"/>
      <c r="J1062" s="275"/>
      <c r="K1062" s="275"/>
      <c r="L1062" s="275"/>
      <c r="M1062" s="275"/>
      <c r="N1062" s="260"/>
      <c r="O1062" s="99"/>
      <c r="P1062" s="99"/>
      <c r="Q1062" s="99"/>
      <c r="R1062" s="99"/>
      <c r="S1062" s="99"/>
      <c r="T1062" s="99"/>
      <c r="U1062" s="99"/>
      <c r="V1062" s="99"/>
      <c r="W1062" s="99"/>
      <c r="X1062" s="99"/>
      <c r="Y1062" s="99"/>
      <c r="Z1062" s="99"/>
      <c r="AB1062" s="84"/>
      <c r="AC1062" s="84"/>
      <c r="AD1062" s="84"/>
      <c r="AE1062" s="84"/>
      <c r="AF1062" s="84"/>
      <c r="AG1062" s="84"/>
      <c r="AH1062" s="84"/>
      <c r="AI1062" s="84"/>
    </row>
    <row r="1063" ht="15.75" customHeight="1">
      <c r="A1063" s="84"/>
      <c r="B1063" s="84"/>
      <c r="C1063" s="84"/>
      <c r="D1063" s="84"/>
      <c r="E1063" s="84"/>
      <c r="F1063" s="276"/>
      <c r="H1063" s="275"/>
      <c r="I1063" s="275"/>
      <c r="J1063" s="275"/>
      <c r="K1063" s="275"/>
      <c r="L1063" s="275"/>
      <c r="M1063" s="275"/>
      <c r="N1063" s="260"/>
      <c r="O1063" s="99"/>
      <c r="P1063" s="99"/>
      <c r="Q1063" s="99"/>
      <c r="R1063" s="99"/>
      <c r="S1063" s="99"/>
      <c r="T1063" s="99"/>
      <c r="U1063" s="99"/>
      <c r="V1063" s="99"/>
      <c r="W1063" s="99"/>
      <c r="X1063" s="99"/>
      <c r="Y1063" s="99"/>
      <c r="Z1063" s="99"/>
      <c r="AB1063" s="84"/>
      <c r="AC1063" s="84"/>
      <c r="AD1063" s="84"/>
      <c r="AE1063" s="84"/>
      <c r="AF1063" s="84"/>
      <c r="AG1063" s="84"/>
      <c r="AH1063" s="84"/>
      <c r="AI1063" s="84"/>
    </row>
    <row r="1064" ht="15.75" customHeight="1">
      <c r="A1064" s="84"/>
      <c r="B1064" s="84"/>
      <c r="C1064" s="84"/>
      <c r="D1064" s="84"/>
      <c r="E1064" s="84"/>
      <c r="F1064" s="276"/>
      <c r="H1064" s="275"/>
      <c r="I1064" s="275"/>
      <c r="J1064" s="275"/>
      <c r="K1064" s="275"/>
      <c r="L1064" s="275"/>
      <c r="M1064" s="275"/>
      <c r="N1064" s="260"/>
      <c r="O1064" s="99"/>
      <c r="P1064" s="99"/>
      <c r="Q1064" s="99"/>
      <c r="R1064" s="99"/>
      <c r="S1064" s="99"/>
      <c r="T1064" s="99"/>
      <c r="U1064" s="99"/>
      <c r="V1064" s="99"/>
      <c r="W1064" s="99"/>
      <c r="X1064" s="99"/>
      <c r="Y1064" s="99"/>
      <c r="Z1064" s="99"/>
      <c r="AB1064" s="84"/>
      <c r="AC1064" s="84"/>
      <c r="AD1064" s="84"/>
      <c r="AE1064" s="84"/>
      <c r="AF1064" s="84"/>
      <c r="AG1064" s="84"/>
      <c r="AH1064" s="84"/>
      <c r="AI1064" s="84"/>
    </row>
    <row r="1065" ht="15.75" customHeight="1">
      <c r="A1065" s="84"/>
      <c r="B1065" s="84"/>
      <c r="C1065" s="84"/>
      <c r="D1065" s="84"/>
      <c r="E1065" s="84"/>
      <c r="F1065" s="276"/>
      <c r="H1065" s="275"/>
      <c r="I1065" s="275"/>
      <c r="J1065" s="275"/>
      <c r="K1065" s="275"/>
      <c r="L1065" s="275"/>
      <c r="M1065" s="275"/>
      <c r="N1065" s="260"/>
      <c r="O1065" s="99"/>
      <c r="P1065" s="99"/>
      <c r="Q1065" s="99"/>
      <c r="R1065" s="99"/>
      <c r="S1065" s="99"/>
      <c r="T1065" s="99"/>
      <c r="U1065" s="99"/>
      <c r="V1065" s="99"/>
      <c r="W1065" s="99"/>
      <c r="X1065" s="99"/>
      <c r="Y1065" s="99"/>
      <c r="Z1065" s="99"/>
      <c r="AB1065" s="84"/>
      <c r="AC1065" s="84"/>
      <c r="AD1065" s="84"/>
      <c r="AE1065" s="84"/>
      <c r="AF1065" s="84"/>
      <c r="AG1065" s="84"/>
      <c r="AH1065" s="84"/>
      <c r="AI1065" s="84"/>
    </row>
    <row r="1066" ht="15.75" customHeight="1">
      <c r="A1066" s="84"/>
      <c r="B1066" s="84"/>
      <c r="C1066" s="84"/>
      <c r="D1066" s="84"/>
      <c r="E1066" s="84"/>
      <c r="F1066" s="276"/>
      <c r="H1066" s="275"/>
      <c r="I1066" s="275"/>
      <c r="J1066" s="275"/>
      <c r="K1066" s="275"/>
      <c r="L1066" s="275"/>
      <c r="M1066" s="275"/>
      <c r="N1066" s="260"/>
      <c r="O1066" s="99"/>
      <c r="P1066" s="99"/>
      <c r="Q1066" s="99"/>
      <c r="R1066" s="99"/>
      <c r="S1066" s="99"/>
      <c r="T1066" s="99"/>
      <c r="U1066" s="99"/>
      <c r="V1066" s="99"/>
      <c r="W1066" s="99"/>
      <c r="X1066" s="99"/>
      <c r="Y1066" s="99"/>
      <c r="Z1066" s="99"/>
      <c r="AB1066" s="84"/>
      <c r="AC1066" s="84"/>
      <c r="AD1066" s="84"/>
      <c r="AE1066" s="84"/>
      <c r="AF1066" s="84"/>
      <c r="AG1066" s="84"/>
      <c r="AH1066" s="84"/>
      <c r="AI1066" s="84"/>
    </row>
    <row r="1067" ht="15.75" customHeight="1">
      <c r="A1067" s="84"/>
      <c r="B1067" s="84"/>
      <c r="C1067" s="84"/>
      <c r="D1067" s="84"/>
      <c r="E1067" s="84"/>
      <c r="F1067" s="276"/>
      <c r="H1067" s="275"/>
      <c r="I1067" s="275"/>
      <c r="J1067" s="275"/>
      <c r="K1067" s="275"/>
      <c r="L1067" s="275"/>
      <c r="M1067" s="275"/>
      <c r="N1067" s="260"/>
      <c r="O1067" s="99"/>
      <c r="P1067" s="99"/>
      <c r="Q1067" s="99"/>
      <c r="R1067" s="99"/>
      <c r="S1067" s="99"/>
      <c r="T1067" s="99"/>
      <c r="U1067" s="99"/>
      <c r="V1067" s="99"/>
      <c r="W1067" s="99"/>
      <c r="X1067" s="99"/>
      <c r="Y1067" s="99"/>
      <c r="Z1067" s="99"/>
      <c r="AB1067" s="84"/>
      <c r="AC1067" s="84"/>
      <c r="AD1067" s="84"/>
      <c r="AE1067" s="84"/>
      <c r="AF1067" s="84"/>
      <c r="AG1067" s="84"/>
      <c r="AH1067" s="84"/>
      <c r="AI1067" s="84"/>
    </row>
    <row r="1068" ht="15.75" customHeight="1">
      <c r="A1068" s="84"/>
      <c r="B1068" s="84"/>
      <c r="C1068" s="84"/>
      <c r="D1068" s="84"/>
      <c r="E1068" s="84"/>
      <c r="F1068" s="276"/>
      <c r="H1068" s="275"/>
      <c r="I1068" s="275"/>
      <c r="J1068" s="275"/>
      <c r="K1068" s="275"/>
      <c r="L1068" s="275"/>
      <c r="M1068" s="275"/>
      <c r="N1068" s="260"/>
      <c r="O1068" s="99"/>
      <c r="P1068" s="99"/>
      <c r="Q1068" s="99"/>
      <c r="R1068" s="99"/>
      <c r="S1068" s="99"/>
      <c r="T1068" s="99"/>
      <c r="U1068" s="99"/>
      <c r="V1068" s="99"/>
      <c r="W1068" s="99"/>
      <c r="X1068" s="99"/>
      <c r="Y1068" s="99"/>
      <c r="Z1068" s="99"/>
      <c r="AB1068" s="84"/>
      <c r="AC1068" s="84"/>
      <c r="AD1068" s="84"/>
      <c r="AE1068" s="84"/>
      <c r="AF1068" s="84"/>
      <c r="AG1068" s="84"/>
      <c r="AH1068" s="84"/>
      <c r="AI1068" s="84"/>
    </row>
    <row r="1069" ht="15.75" customHeight="1">
      <c r="A1069" s="84"/>
      <c r="B1069" s="84"/>
      <c r="C1069" s="84"/>
      <c r="D1069" s="84"/>
      <c r="E1069" s="84"/>
      <c r="F1069" s="276"/>
      <c r="H1069" s="275"/>
      <c r="I1069" s="275"/>
      <c r="J1069" s="275"/>
      <c r="K1069" s="275"/>
      <c r="L1069" s="275"/>
      <c r="M1069" s="275"/>
      <c r="N1069" s="260"/>
      <c r="O1069" s="99"/>
      <c r="P1069" s="99"/>
      <c r="Q1069" s="99"/>
      <c r="R1069" s="99"/>
      <c r="S1069" s="99"/>
      <c r="T1069" s="99"/>
      <c r="U1069" s="99"/>
      <c r="V1069" s="99"/>
      <c r="W1069" s="99"/>
      <c r="X1069" s="99"/>
      <c r="Y1069" s="99"/>
      <c r="Z1069" s="99"/>
      <c r="AB1069" s="84"/>
      <c r="AC1069" s="84"/>
      <c r="AD1069" s="84"/>
      <c r="AE1069" s="84"/>
      <c r="AF1069" s="84"/>
      <c r="AG1069" s="84"/>
      <c r="AH1069" s="84"/>
      <c r="AI1069" s="84"/>
    </row>
    <row r="1070" ht="15.75" customHeight="1">
      <c r="A1070" s="84"/>
      <c r="B1070" s="84"/>
      <c r="C1070" s="84"/>
      <c r="D1070" s="84"/>
      <c r="E1070" s="84"/>
      <c r="F1070" s="276"/>
      <c r="H1070" s="275"/>
      <c r="I1070" s="275"/>
      <c r="J1070" s="275"/>
      <c r="K1070" s="275"/>
      <c r="L1070" s="275"/>
      <c r="M1070" s="275"/>
      <c r="N1070" s="260"/>
      <c r="O1070" s="99"/>
      <c r="P1070" s="99"/>
      <c r="Q1070" s="99"/>
      <c r="R1070" s="99"/>
      <c r="S1070" s="99"/>
      <c r="T1070" s="99"/>
      <c r="U1070" s="99"/>
      <c r="V1070" s="99"/>
      <c r="W1070" s="99"/>
      <c r="X1070" s="99"/>
      <c r="Y1070" s="99"/>
      <c r="Z1070" s="99"/>
      <c r="AB1070" s="84"/>
      <c r="AC1070" s="84"/>
      <c r="AD1070" s="84"/>
      <c r="AE1070" s="84"/>
      <c r="AF1070" s="84"/>
      <c r="AG1070" s="84"/>
      <c r="AH1070" s="84"/>
      <c r="AI1070" s="84"/>
    </row>
    <row r="1071" ht="15.75" customHeight="1">
      <c r="A1071" s="84"/>
      <c r="B1071" s="84"/>
      <c r="C1071" s="84"/>
      <c r="D1071" s="84"/>
      <c r="E1071" s="84"/>
      <c r="F1071" s="276"/>
      <c r="H1071" s="275"/>
      <c r="I1071" s="275"/>
      <c r="J1071" s="275"/>
      <c r="K1071" s="275"/>
      <c r="L1071" s="275"/>
      <c r="M1071" s="275"/>
      <c r="N1071" s="260"/>
      <c r="O1071" s="99"/>
      <c r="P1071" s="99"/>
      <c r="Q1071" s="99"/>
      <c r="R1071" s="99"/>
      <c r="S1071" s="99"/>
      <c r="T1071" s="99"/>
      <c r="U1071" s="99"/>
      <c r="V1071" s="99"/>
      <c r="W1071" s="99"/>
      <c r="X1071" s="99"/>
      <c r="Y1071" s="99"/>
      <c r="Z1071" s="99"/>
      <c r="AB1071" s="84"/>
      <c r="AC1071" s="84"/>
      <c r="AD1071" s="84"/>
      <c r="AE1071" s="84"/>
      <c r="AF1071" s="84"/>
      <c r="AG1071" s="84"/>
      <c r="AH1071" s="84"/>
      <c r="AI1071" s="84"/>
    </row>
    <row r="1072" ht="15.75" customHeight="1">
      <c r="A1072" s="84"/>
      <c r="B1072" s="84"/>
      <c r="C1072" s="84"/>
      <c r="D1072" s="84"/>
      <c r="E1072" s="84"/>
      <c r="F1072" s="276"/>
      <c r="H1072" s="275"/>
      <c r="I1072" s="275"/>
      <c r="J1072" s="275"/>
      <c r="K1072" s="275"/>
      <c r="L1072" s="275"/>
      <c r="M1072" s="275"/>
      <c r="N1072" s="260"/>
      <c r="O1072" s="99"/>
      <c r="P1072" s="99"/>
      <c r="Q1072" s="99"/>
      <c r="R1072" s="99"/>
      <c r="S1072" s="99"/>
      <c r="T1072" s="99"/>
      <c r="U1072" s="99"/>
      <c r="V1072" s="99"/>
      <c r="W1072" s="99"/>
      <c r="X1072" s="99"/>
      <c r="Y1072" s="99"/>
      <c r="Z1072" s="99"/>
      <c r="AB1072" s="84"/>
      <c r="AC1072" s="84"/>
      <c r="AD1072" s="84"/>
      <c r="AE1072" s="84"/>
      <c r="AF1072" s="84"/>
      <c r="AG1072" s="84"/>
      <c r="AH1072" s="84"/>
      <c r="AI1072" s="84"/>
    </row>
    <row r="1073" ht="15.75" customHeight="1">
      <c r="A1073" s="84"/>
      <c r="B1073" s="84"/>
      <c r="C1073" s="84"/>
      <c r="D1073" s="84"/>
      <c r="E1073" s="84"/>
      <c r="F1073" s="276"/>
      <c r="H1073" s="275"/>
      <c r="I1073" s="275"/>
      <c r="J1073" s="275"/>
      <c r="K1073" s="275"/>
      <c r="L1073" s="275"/>
      <c r="M1073" s="275"/>
      <c r="N1073" s="260"/>
      <c r="O1073" s="99"/>
      <c r="P1073" s="99"/>
      <c r="Q1073" s="99"/>
      <c r="R1073" s="99"/>
      <c r="S1073" s="99"/>
      <c r="T1073" s="99"/>
      <c r="U1073" s="99"/>
      <c r="V1073" s="99"/>
      <c r="W1073" s="99"/>
      <c r="X1073" s="99"/>
      <c r="Y1073" s="99"/>
      <c r="Z1073" s="99"/>
      <c r="AB1073" s="84"/>
      <c r="AC1073" s="84"/>
      <c r="AD1073" s="84"/>
      <c r="AE1073" s="84"/>
      <c r="AF1073" s="84"/>
      <c r="AG1073" s="84"/>
      <c r="AH1073" s="84"/>
      <c r="AI1073" s="84"/>
    </row>
    <row r="1074" ht="15.75" customHeight="1">
      <c r="A1074" s="84"/>
      <c r="B1074" s="84"/>
      <c r="C1074" s="84"/>
      <c r="D1074" s="84"/>
      <c r="E1074" s="84"/>
      <c r="F1074" s="276"/>
      <c r="H1074" s="275"/>
      <c r="I1074" s="275"/>
      <c r="J1074" s="275"/>
      <c r="K1074" s="275"/>
      <c r="L1074" s="275"/>
      <c r="M1074" s="275"/>
      <c r="N1074" s="260"/>
      <c r="O1074" s="99"/>
      <c r="P1074" s="99"/>
      <c r="Q1074" s="99"/>
      <c r="R1074" s="99"/>
      <c r="S1074" s="99"/>
      <c r="T1074" s="99"/>
      <c r="U1074" s="99"/>
      <c r="V1074" s="99"/>
      <c r="W1074" s="99"/>
      <c r="X1074" s="99"/>
      <c r="Y1074" s="99"/>
      <c r="Z1074" s="99"/>
      <c r="AB1074" s="84"/>
      <c r="AC1074" s="84"/>
      <c r="AD1074" s="84"/>
      <c r="AE1074" s="84"/>
      <c r="AF1074" s="84"/>
      <c r="AG1074" s="84"/>
      <c r="AH1074" s="84"/>
      <c r="AI1074" s="84"/>
    </row>
    <row r="1075" ht="15.75" customHeight="1">
      <c r="A1075" s="84"/>
      <c r="B1075" s="84"/>
      <c r="C1075" s="84"/>
      <c r="D1075" s="84"/>
      <c r="E1075" s="84"/>
      <c r="F1075" s="276"/>
      <c r="H1075" s="275"/>
      <c r="I1075" s="275"/>
      <c r="J1075" s="275"/>
      <c r="K1075" s="275"/>
      <c r="L1075" s="275"/>
      <c r="M1075" s="275"/>
      <c r="N1075" s="260"/>
      <c r="O1075" s="99"/>
      <c r="P1075" s="99"/>
      <c r="Q1075" s="99"/>
      <c r="R1075" s="99"/>
      <c r="S1075" s="99"/>
      <c r="T1075" s="99"/>
      <c r="U1075" s="99"/>
      <c r="V1075" s="99"/>
      <c r="W1075" s="99"/>
      <c r="X1075" s="99"/>
      <c r="Y1075" s="99"/>
      <c r="Z1075" s="99"/>
      <c r="AB1075" s="84"/>
      <c r="AC1075" s="84"/>
      <c r="AD1075" s="84"/>
      <c r="AE1075" s="84"/>
      <c r="AF1075" s="84"/>
      <c r="AG1075" s="84"/>
      <c r="AH1075" s="84"/>
      <c r="AI1075" s="84"/>
    </row>
    <row r="1076" ht="15.75" customHeight="1">
      <c r="A1076" s="84"/>
      <c r="B1076" s="84"/>
      <c r="C1076" s="84"/>
      <c r="D1076" s="84"/>
      <c r="E1076" s="84"/>
      <c r="F1076" s="276"/>
      <c r="H1076" s="275"/>
      <c r="I1076" s="275"/>
      <c r="J1076" s="275"/>
      <c r="K1076" s="275"/>
      <c r="L1076" s="275"/>
      <c r="M1076" s="275"/>
      <c r="N1076" s="260"/>
      <c r="O1076" s="99"/>
      <c r="P1076" s="99"/>
      <c r="Q1076" s="99"/>
      <c r="R1076" s="99"/>
      <c r="S1076" s="99"/>
      <c r="T1076" s="99"/>
      <c r="U1076" s="99"/>
      <c r="V1076" s="99"/>
      <c r="W1076" s="99"/>
      <c r="X1076" s="99"/>
      <c r="Y1076" s="99"/>
      <c r="Z1076" s="99"/>
      <c r="AB1076" s="84"/>
      <c r="AC1076" s="84"/>
      <c r="AD1076" s="84"/>
      <c r="AE1076" s="84"/>
      <c r="AF1076" s="84"/>
      <c r="AG1076" s="84"/>
      <c r="AH1076" s="84"/>
      <c r="AI1076" s="84"/>
    </row>
    <row r="1077" ht="15.75" customHeight="1">
      <c r="A1077" s="84"/>
      <c r="B1077" s="84"/>
      <c r="C1077" s="84"/>
      <c r="D1077" s="84"/>
      <c r="E1077" s="84"/>
      <c r="F1077" s="276"/>
      <c r="H1077" s="275"/>
      <c r="I1077" s="275"/>
      <c r="J1077" s="275"/>
      <c r="K1077" s="275"/>
      <c r="L1077" s="275"/>
      <c r="M1077" s="275"/>
      <c r="N1077" s="260"/>
      <c r="O1077" s="99"/>
      <c r="P1077" s="99"/>
      <c r="Q1077" s="99"/>
      <c r="R1077" s="99"/>
      <c r="S1077" s="99"/>
      <c r="T1077" s="99"/>
      <c r="U1077" s="99"/>
      <c r="V1077" s="99"/>
      <c r="W1077" s="99"/>
      <c r="X1077" s="99"/>
      <c r="Y1077" s="99"/>
      <c r="Z1077" s="99"/>
      <c r="AB1077" s="84"/>
      <c r="AC1077" s="84"/>
      <c r="AD1077" s="84"/>
      <c r="AE1077" s="84"/>
      <c r="AF1077" s="84"/>
      <c r="AG1077" s="84"/>
      <c r="AH1077" s="84"/>
      <c r="AI1077" s="84"/>
    </row>
    <row r="1078" ht="15.75" customHeight="1">
      <c r="A1078" s="84"/>
      <c r="B1078" s="84"/>
      <c r="C1078" s="84"/>
      <c r="D1078" s="84"/>
      <c r="E1078" s="84"/>
      <c r="F1078" s="276"/>
      <c r="H1078" s="275"/>
      <c r="I1078" s="275"/>
      <c r="J1078" s="275"/>
      <c r="K1078" s="275"/>
      <c r="L1078" s="275"/>
      <c r="M1078" s="275"/>
      <c r="N1078" s="260"/>
      <c r="O1078" s="99"/>
      <c r="P1078" s="99"/>
      <c r="Q1078" s="99"/>
      <c r="R1078" s="99"/>
      <c r="S1078" s="99"/>
      <c r="T1078" s="99"/>
      <c r="U1078" s="99"/>
      <c r="V1078" s="99"/>
      <c r="W1078" s="99"/>
      <c r="X1078" s="99"/>
      <c r="Y1078" s="99"/>
      <c r="Z1078" s="99"/>
      <c r="AB1078" s="84"/>
      <c r="AC1078" s="84"/>
      <c r="AD1078" s="84"/>
      <c r="AE1078" s="84"/>
      <c r="AF1078" s="84"/>
      <c r="AG1078" s="84"/>
      <c r="AH1078" s="84"/>
      <c r="AI1078" s="84"/>
    </row>
    <row r="1079" ht="15.75" customHeight="1">
      <c r="A1079" s="84"/>
      <c r="B1079" s="84"/>
      <c r="C1079" s="84"/>
      <c r="D1079" s="84"/>
      <c r="E1079" s="84"/>
      <c r="F1079" s="276"/>
      <c r="H1079" s="275"/>
      <c r="I1079" s="275"/>
      <c r="J1079" s="275"/>
      <c r="K1079" s="275"/>
      <c r="L1079" s="275"/>
      <c r="M1079" s="275"/>
      <c r="N1079" s="260"/>
      <c r="O1079" s="99"/>
      <c r="P1079" s="99"/>
      <c r="Q1079" s="99"/>
      <c r="R1079" s="99"/>
      <c r="S1079" s="99"/>
      <c r="T1079" s="99"/>
      <c r="U1079" s="99"/>
      <c r="V1079" s="99"/>
      <c r="W1079" s="99"/>
      <c r="X1079" s="99"/>
      <c r="Y1079" s="99"/>
      <c r="Z1079" s="99"/>
      <c r="AB1079" s="84"/>
      <c r="AC1079" s="84"/>
      <c r="AD1079" s="84"/>
      <c r="AE1079" s="84"/>
      <c r="AF1079" s="84"/>
      <c r="AG1079" s="84"/>
      <c r="AH1079" s="84"/>
      <c r="AI1079" s="84"/>
    </row>
    <row r="1080" ht="15.75" customHeight="1">
      <c r="A1080" s="84"/>
      <c r="B1080" s="84"/>
      <c r="C1080" s="84"/>
      <c r="D1080" s="84"/>
      <c r="E1080" s="84"/>
      <c r="F1080" s="276"/>
      <c r="H1080" s="275"/>
      <c r="I1080" s="275"/>
      <c r="J1080" s="275"/>
      <c r="K1080" s="275"/>
      <c r="L1080" s="275"/>
      <c r="M1080" s="275"/>
      <c r="N1080" s="260"/>
      <c r="O1080" s="99"/>
      <c r="P1080" s="99"/>
      <c r="Q1080" s="99"/>
      <c r="R1080" s="99"/>
      <c r="S1080" s="99"/>
      <c r="T1080" s="99"/>
      <c r="U1080" s="99"/>
      <c r="V1080" s="99"/>
      <c r="W1080" s="99"/>
      <c r="X1080" s="99"/>
      <c r="Y1080" s="99"/>
      <c r="Z1080" s="99"/>
      <c r="AB1080" s="84"/>
      <c r="AC1080" s="84"/>
      <c r="AD1080" s="84"/>
      <c r="AE1080" s="84"/>
      <c r="AF1080" s="84"/>
      <c r="AG1080" s="84"/>
      <c r="AH1080" s="84"/>
      <c r="AI1080" s="84"/>
    </row>
    <row r="1081" ht="15.75" customHeight="1">
      <c r="A1081" s="84"/>
      <c r="B1081" s="84"/>
      <c r="C1081" s="84"/>
      <c r="D1081" s="84"/>
      <c r="E1081" s="84"/>
      <c r="F1081" s="276"/>
      <c r="H1081" s="275"/>
      <c r="I1081" s="275"/>
      <c r="J1081" s="275"/>
      <c r="K1081" s="275"/>
      <c r="L1081" s="275"/>
      <c r="M1081" s="275"/>
      <c r="N1081" s="260"/>
      <c r="O1081" s="99"/>
      <c r="P1081" s="99"/>
      <c r="Q1081" s="99"/>
      <c r="R1081" s="99"/>
      <c r="S1081" s="99"/>
      <c r="T1081" s="99"/>
      <c r="U1081" s="99"/>
      <c r="V1081" s="99"/>
      <c r="W1081" s="99"/>
      <c r="X1081" s="99"/>
      <c r="Y1081" s="99"/>
      <c r="Z1081" s="99"/>
      <c r="AB1081" s="84"/>
      <c r="AC1081" s="84"/>
      <c r="AD1081" s="84"/>
      <c r="AE1081" s="84"/>
      <c r="AF1081" s="84"/>
      <c r="AG1081" s="84"/>
      <c r="AH1081" s="84"/>
      <c r="AI1081" s="84"/>
    </row>
    <row r="1082" ht="15.75" customHeight="1">
      <c r="A1082" s="84"/>
      <c r="B1082" s="84"/>
      <c r="C1082" s="84"/>
      <c r="D1082" s="84"/>
      <c r="E1082" s="84"/>
      <c r="F1082" s="276"/>
      <c r="H1082" s="275"/>
      <c r="I1082" s="275"/>
      <c r="J1082" s="275"/>
      <c r="K1082" s="275"/>
      <c r="L1082" s="275"/>
      <c r="M1082" s="275"/>
      <c r="N1082" s="260"/>
      <c r="O1082" s="99"/>
      <c r="P1082" s="99"/>
      <c r="Q1082" s="99"/>
      <c r="R1082" s="99"/>
      <c r="S1082" s="99"/>
      <c r="T1082" s="99"/>
      <c r="U1082" s="99"/>
      <c r="V1082" s="99"/>
      <c r="W1082" s="99"/>
      <c r="X1082" s="99"/>
      <c r="Y1082" s="99"/>
      <c r="Z1082" s="99"/>
      <c r="AB1082" s="84"/>
      <c r="AC1082" s="84"/>
      <c r="AD1082" s="84"/>
      <c r="AE1082" s="84"/>
      <c r="AF1082" s="84"/>
      <c r="AG1082" s="84"/>
      <c r="AH1082" s="84"/>
      <c r="AI1082" s="84"/>
    </row>
    <row r="1083" ht="15.75" customHeight="1">
      <c r="A1083" s="84"/>
      <c r="B1083" s="84"/>
      <c r="C1083" s="84"/>
      <c r="D1083" s="84"/>
      <c r="E1083" s="84"/>
      <c r="F1083" s="276"/>
      <c r="H1083" s="275"/>
      <c r="I1083" s="275"/>
      <c r="J1083" s="275"/>
      <c r="K1083" s="275"/>
      <c r="L1083" s="275"/>
      <c r="M1083" s="275"/>
      <c r="N1083" s="260"/>
      <c r="O1083" s="99"/>
      <c r="P1083" s="99"/>
      <c r="Q1083" s="99"/>
      <c r="R1083" s="99"/>
      <c r="S1083" s="99"/>
      <c r="T1083" s="99"/>
      <c r="U1083" s="99"/>
      <c r="V1083" s="99"/>
      <c r="W1083" s="99"/>
      <c r="X1083" s="99"/>
      <c r="Y1083" s="99"/>
      <c r="Z1083" s="99"/>
      <c r="AB1083" s="84"/>
      <c r="AC1083" s="84"/>
      <c r="AD1083" s="84"/>
      <c r="AE1083" s="84"/>
      <c r="AF1083" s="84"/>
      <c r="AG1083" s="84"/>
      <c r="AH1083" s="84"/>
      <c r="AI1083" s="84"/>
    </row>
    <row r="1084" ht="15.75" customHeight="1">
      <c r="A1084" s="84"/>
      <c r="B1084" s="84"/>
      <c r="C1084" s="84"/>
      <c r="D1084" s="84"/>
      <c r="E1084" s="84"/>
      <c r="F1084" s="276"/>
      <c r="H1084" s="275"/>
      <c r="I1084" s="275"/>
      <c r="J1084" s="275"/>
      <c r="K1084" s="275"/>
      <c r="L1084" s="275"/>
      <c r="M1084" s="275"/>
      <c r="N1084" s="260"/>
      <c r="O1084" s="99"/>
      <c r="P1084" s="99"/>
      <c r="Q1084" s="99"/>
      <c r="R1084" s="99"/>
      <c r="S1084" s="99"/>
      <c r="T1084" s="99"/>
      <c r="U1084" s="99"/>
      <c r="V1084" s="99"/>
      <c r="W1084" s="99"/>
      <c r="X1084" s="99"/>
      <c r="Y1084" s="99"/>
      <c r="Z1084" s="99"/>
      <c r="AB1084" s="84"/>
      <c r="AC1084" s="84"/>
      <c r="AD1084" s="84"/>
      <c r="AE1084" s="84"/>
      <c r="AF1084" s="84"/>
      <c r="AG1084" s="84"/>
      <c r="AH1084" s="84"/>
      <c r="AI1084" s="84"/>
    </row>
    <row r="1085" ht="15.75" customHeight="1">
      <c r="A1085" s="84"/>
      <c r="B1085" s="84"/>
      <c r="C1085" s="84"/>
      <c r="D1085" s="84"/>
      <c r="E1085" s="84"/>
      <c r="F1085" s="276"/>
      <c r="H1085" s="275"/>
      <c r="I1085" s="275"/>
      <c r="J1085" s="275"/>
      <c r="K1085" s="275"/>
      <c r="L1085" s="275"/>
      <c r="M1085" s="275"/>
      <c r="N1085" s="260"/>
      <c r="O1085" s="99"/>
      <c r="P1085" s="99"/>
      <c r="Q1085" s="99"/>
      <c r="R1085" s="99"/>
      <c r="S1085" s="99"/>
      <c r="T1085" s="99"/>
      <c r="U1085" s="99"/>
      <c r="V1085" s="99"/>
      <c r="W1085" s="99"/>
      <c r="X1085" s="99"/>
      <c r="Y1085" s="99"/>
      <c r="Z1085" s="99"/>
      <c r="AB1085" s="84"/>
      <c r="AC1085" s="84"/>
      <c r="AD1085" s="84"/>
      <c r="AE1085" s="84"/>
      <c r="AF1085" s="84"/>
      <c r="AG1085" s="84"/>
      <c r="AH1085" s="84"/>
      <c r="AI1085" s="84"/>
    </row>
    <row r="1086" ht="15.75" customHeight="1">
      <c r="A1086" s="84"/>
      <c r="B1086" s="84"/>
      <c r="C1086" s="84"/>
      <c r="D1086" s="84"/>
      <c r="E1086" s="84"/>
      <c r="F1086" s="276"/>
      <c r="H1086" s="275"/>
      <c r="I1086" s="275"/>
      <c r="J1086" s="275"/>
      <c r="K1086" s="275"/>
      <c r="L1086" s="275"/>
      <c r="M1086" s="275"/>
      <c r="N1086" s="260"/>
      <c r="O1086" s="99"/>
      <c r="P1086" s="99"/>
      <c r="Q1086" s="99"/>
      <c r="R1086" s="99"/>
      <c r="S1086" s="99"/>
      <c r="T1086" s="99"/>
      <c r="U1086" s="99"/>
      <c r="V1086" s="99"/>
      <c r="W1086" s="99"/>
      <c r="X1086" s="99"/>
      <c r="Y1086" s="99"/>
      <c r="Z1086" s="99"/>
      <c r="AB1086" s="84"/>
      <c r="AC1086" s="84"/>
      <c r="AD1086" s="84"/>
      <c r="AE1086" s="84"/>
      <c r="AF1086" s="84"/>
      <c r="AG1086" s="84"/>
      <c r="AH1086" s="84"/>
      <c r="AI1086" s="84"/>
    </row>
    <row r="1087" ht="15.75" customHeight="1">
      <c r="A1087" s="84"/>
      <c r="B1087" s="84"/>
      <c r="C1087" s="84"/>
      <c r="D1087" s="84"/>
      <c r="E1087" s="84"/>
      <c r="F1087" s="276"/>
      <c r="H1087" s="275"/>
      <c r="I1087" s="275"/>
      <c r="J1087" s="275"/>
      <c r="K1087" s="275"/>
      <c r="L1087" s="275"/>
      <c r="M1087" s="275"/>
      <c r="N1087" s="260"/>
      <c r="O1087" s="99"/>
      <c r="P1087" s="99"/>
      <c r="Q1087" s="99"/>
      <c r="R1087" s="99"/>
      <c r="S1087" s="99"/>
      <c r="T1087" s="99"/>
      <c r="U1087" s="99"/>
      <c r="V1087" s="99"/>
      <c r="W1087" s="99"/>
      <c r="X1087" s="99"/>
      <c r="Y1087" s="99"/>
      <c r="Z1087" s="99"/>
      <c r="AB1087" s="84"/>
      <c r="AC1087" s="84"/>
      <c r="AD1087" s="84"/>
      <c r="AE1087" s="84"/>
      <c r="AF1087" s="84"/>
      <c r="AG1087" s="84"/>
      <c r="AH1087" s="84"/>
      <c r="AI1087" s="84"/>
    </row>
    <row r="1088" ht="15.75" customHeight="1">
      <c r="A1088" s="84"/>
      <c r="B1088" s="84"/>
      <c r="C1088" s="84"/>
      <c r="D1088" s="84"/>
      <c r="E1088" s="84"/>
      <c r="F1088" s="276"/>
      <c r="H1088" s="275"/>
      <c r="I1088" s="275"/>
      <c r="J1088" s="275"/>
      <c r="K1088" s="275"/>
      <c r="L1088" s="275"/>
      <c r="M1088" s="275"/>
      <c r="N1088" s="260"/>
      <c r="O1088" s="99"/>
      <c r="P1088" s="99"/>
      <c r="Q1088" s="99"/>
      <c r="R1088" s="99"/>
      <c r="S1088" s="99"/>
      <c r="T1088" s="99"/>
      <c r="U1088" s="99"/>
      <c r="V1088" s="99"/>
      <c r="W1088" s="99"/>
      <c r="X1088" s="99"/>
      <c r="Y1088" s="99"/>
      <c r="Z1088" s="99"/>
      <c r="AB1088" s="84"/>
      <c r="AC1088" s="84"/>
      <c r="AD1088" s="84"/>
      <c r="AE1088" s="84"/>
      <c r="AF1088" s="84"/>
      <c r="AG1088" s="84"/>
      <c r="AH1088" s="84"/>
      <c r="AI1088" s="84"/>
    </row>
    <row r="1089" ht="15.75" customHeight="1">
      <c r="A1089" s="84"/>
      <c r="B1089" s="84"/>
      <c r="C1089" s="84"/>
      <c r="D1089" s="84"/>
      <c r="E1089" s="84"/>
      <c r="F1089" s="276"/>
      <c r="H1089" s="275"/>
      <c r="I1089" s="275"/>
      <c r="J1089" s="275"/>
      <c r="K1089" s="275"/>
      <c r="L1089" s="275"/>
      <c r="M1089" s="275"/>
      <c r="N1089" s="260"/>
      <c r="O1089" s="99"/>
      <c r="P1089" s="99"/>
      <c r="Q1089" s="99"/>
      <c r="R1089" s="99"/>
      <c r="S1089" s="99"/>
      <c r="T1089" s="99"/>
      <c r="U1089" s="99"/>
      <c r="V1089" s="99"/>
      <c r="W1089" s="99"/>
      <c r="X1089" s="99"/>
      <c r="Y1089" s="99"/>
      <c r="Z1089" s="99"/>
      <c r="AB1089" s="84"/>
      <c r="AC1089" s="84"/>
      <c r="AD1089" s="84"/>
      <c r="AE1089" s="84"/>
      <c r="AF1089" s="84"/>
      <c r="AG1089" s="84"/>
      <c r="AH1089" s="84"/>
      <c r="AI1089" s="84"/>
    </row>
    <row r="1090" ht="15.75" customHeight="1">
      <c r="A1090" s="84"/>
      <c r="B1090" s="84"/>
      <c r="C1090" s="84"/>
      <c r="D1090" s="84"/>
      <c r="E1090" s="84"/>
      <c r="F1090" s="276"/>
      <c r="H1090" s="275"/>
      <c r="I1090" s="275"/>
      <c r="J1090" s="275"/>
      <c r="K1090" s="275"/>
      <c r="L1090" s="275"/>
      <c r="M1090" s="275"/>
      <c r="N1090" s="260"/>
      <c r="O1090" s="99"/>
      <c r="P1090" s="99"/>
      <c r="Q1090" s="99"/>
      <c r="R1090" s="99"/>
      <c r="S1090" s="99"/>
      <c r="T1090" s="99"/>
      <c r="U1090" s="99"/>
      <c r="V1090" s="99"/>
      <c r="W1090" s="99"/>
      <c r="X1090" s="99"/>
      <c r="Y1090" s="99"/>
      <c r="Z1090" s="99"/>
      <c r="AB1090" s="84"/>
      <c r="AC1090" s="84"/>
      <c r="AD1090" s="84"/>
      <c r="AE1090" s="84"/>
      <c r="AF1090" s="84"/>
      <c r="AG1090" s="84"/>
      <c r="AH1090" s="84"/>
      <c r="AI1090" s="84"/>
    </row>
    <row r="1091" ht="15.75" customHeight="1">
      <c r="A1091" s="84"/>
      <c r="B1091" s="84"/>
      <c r="C1091" s="84"/>
      <c r="D1091" s="84"/>
      <c r="E1091" s="84"/>
      <c r="F1091" s="276"/>
      <c r="H1091" s="275"/>
      <c r="I1091" s="275"/>
      <c r="J1091" s="275"/>
      <c r="K1091" s="275"/>
      <c r="L1091" s="275"/>
      <c r="M1091" s="275"/>
      <c r="N1091" s="260"/>
      <c r="O1091" s="99"/>
      <c r="P1091" s="99"/>
      <c r="Q1091" s="99"/>
      <c r="R1091" s="99"/>
      <c r="S1091" s="99"/>
      <c r="T1091" s="99"/>
      <c r="U1091" s="99"/>
      <c r="V1091" s="99"/>
      <c r="W1091" s="99"/>
      <c r="X1091" s="99"/>
      <c r="Y1091" s="99"/>
      <c r="Z1091" s="99"/>
      <c r="AB1091" s="84"/>
      <c r="AC1091" s="84"/>
      <c r="AD1091" s="84"/>
      <c r="AE1091" s="84"/>
      <c r="AF1091" s="84"/>
      <c r="AG1091" s="84"/>
      <c r="AH1091" s="84"/>
      <c r="AI1091" s="84"/>
    </row>
    <row r="1092" ht="15.75" customHeight="1">
      <c r="A1092" s="84"/>
      <c r="B1092" s="84"/>
      <c r="C1092" s="84"/>
      <c r="D1092" s="84"/>
      <c r="E1092" s="84"/>
      <c r="F1092" s="276"/>
      <c r="H1092" s="275"/>
      <c r="I1092" s="275"/>
      <c r="J1092" s="275"/>
      <c r="K1092" s="275"/>
      <c r="L1092" s="275"/>
      <c r="M1092" s="275"/>
      <c r="N1092" s="260"/>
      <c r="O1092" s="99"/>
      <c r="P1092" s="99"/>
      <c r="Q1092" s="99"/>
      <c r="R1092" s="99"/>
      <c r="S1092" s="99"/>
      <c r="T1092" s="99"/>
      <c r="U1092" s="99"/>
      <c r="V1092" s="99"/>
      <c r="W1092" s="99"/>
      <c r="X1092" s="99"/>
      <c r="Y1092" s="99"/>
      <c r="Z1092" s="99"/>
      <c r="AB1092" s="84"/>
      <c r="AC1092" s="84"/>
      <c r="AD1092" s="84"/>
      <c r="AE1092" s="84"/>
      <c r="AF1092" s="84"/>
      <c r="AG1092" s="84"/>
      <c r="AH1092" s="84"/>
      <c r="AI1092" s="84"/>
    </row>
    <row r="1093" ht="15.75" customHeight="1">
      <c r="A1093" s="84"/>
      <c r="B1093" s="84"/>
      <c r="C1093" s="84"/>
      <c r="D1093" s="84"/>
      <c r="E1093" s="84"/>
      <c r="F1093" s="276"/>
      <c r="H1093" s="275"/>
      <c r="I1093" s="275"/>
      <c r="J1093" s="275"/>
      <c r="K1093" s="275"/>
      <c r="L1093" s="275"/>
      <c r="M1093" s="275"/>
      <c r="N1093" s="260"/>
      <c r="O1093" s="99"/>
      <c r="P1093" s="99"/>
      <c r="Q1093" s="99"/>
      <c r="R1093" s="99"/>
      <c r="S1093" s="99"/>
      <c r="T1093" s="99"/>
      <c r="U1093" s="99"/>
      <c r="V1093" s="99"/>
      <c r="W1093" s="99"/>
      <c r="X1093" s="99"/>
      <c r="Y1093" s="99"/>
      <c r="Z1093" s="99"/>
      <c r="AB1093" s="84"/>
      <c r="AC1093" s="84"/>
      <c r="AD1093" s="84"/>
      <c r="AE1093" s="84"/>
      <c r="AF1093" s="84"/>
      <c r="AG1093" s="84"/>
      <c r="AH1093" s="84"/>
      <c r="AI1093" s="84"/>
    </row>
    <row r="1094" ht="15.75" customHeight="1">
      <c r="A1094" s="84"/>
      <c r="B1094" s="84"/>
      <c r="C1094" s="84"/>
      <c r="D1094" s="84"/>
      <c r="E1094" s="84"/>
      <c r="F1094" s="276"/>
      <c r="H1094" s="275"/>
      <c r="I1094" s="275"/>
      <c r="J1094" s="275"/>
      <c r="K1094" s="275"/>
      <c r="L1094" s="275"/>
      <c r="M1094" s="275"/>
      <c r="N1094" s="260"/>
      <c r="O1094" s="99"/>
      <c r="P1094" s="99"/>
      <c r="Q1094" s="99"/>
      <c r="R1094" s="99"/>
      <c r="S1094" s="99"/>
      <c r="T1094" s="99"/>
      <c r="U1094" s="99"/>
      <c r="V1094" s="99"/>
      <c r="W1094" s="99"/>
      <c r="X1094" s="99"/>
      <c r="Y1094" s="99"/>
      <c r="Z1094" s="99"/>
      <c r="AB1094" s="84"/>
      <c r="AC1094" s="84"/>
      <c r="AD1094" s="84"/>
      <c r="AE1094" s="84"/>
      <c r="AF1094" s="84"/>
      <c r="AG1094" s="84"/>
      <c r="AH1094" s="84"/>
      <c r="AI1094" s="84"/>
    </row>
    <row r="1095" ht="15.75" customHeight="1">
      <c r="A1095" s="84"/>
      <c r="B1095" s="84"/>
      <c r="C1095" s="84"/>
      <c r="D1095" s="84"/>
      <c r="E1095" s="84"/>
      <c r="F1095" s="276"/>
      <c r="H1095" s="275"/>
      <c r="I1095" s="275"/>
      <c r="J1095" s="275"/>
      <c r="K1095" s="275"/>
      <c r="L1095" s="275"/>
      <c r="M1095" s="275"/>
      <c r="N1095" s="260"/>
      <c r="O1095" s="99"/>
      <c r="P1095" s="99"/>
      <c r="Q1095" s="99"/>
      <c r="R1095" s="99"/>
      <c r="S1095" s="99"/>
      <c r="T1095" s="99"/>
      <c r="U1095" s="99"/>
      <c r="V1095" s="99"/>
      <c r="W1095" s="99"/>
      <c r="X1095" s="99"/>
      <c r="Y1095" s="99"/>
      <c r="Z1095" s="99"/>
      <c r="AB1095" s="84"/>
      <c r="AC1095" s="84"/>
      <c r="AD1095" s="84"/>
      <c r="AE1095" s="84"/>
      <c r="AF1095" s="84"/>
      <c r="AG1095" s="84"/>
      <c r="AH1095" s="84"/>
      <c r="AI1095" s="84"/>
    </row>
    <row r="1096" ht="15.75" customHeight="1">
      <c r="A1096" s="84"/>
      <c r="B1096" s="84"/>
      <c r="C1096" s="84"/>
      <c r="D1096" s="84"/>
      <c r="E1096" s="84"/>
      <c r="F1096" s="276"/>
      <c r="H1096" s="275"/>
      <c r="I1096" s="275"/>
      <c r="J1096" s="275"/>
      <c r="K1096" s="275"/>
      <c r="L1096" s="275"/>
      <c r="M1096" s="275"/>
      <c r="N1096" s="260"/>
      <c r="O1096" s="99"/>
      <c r="P1096" s="99"/>
      <c r="Q1096" s="99"/>
      <c r="R1096" s="99"/>
      <c r="S1096" s="99"/>
      <c r="T1096" s="99"/>
      <c r="U1096" s="99"/>
      <c r="V1096" s="99"/>
      <c r="W1096" s="99"/>
      <c r="X1096" s="99"/>
      <c r="Y1096" s="99"/>
      <c r="Z1096" s="99"/>
      <c r="AB1096" s="84"/>
      <c r="AC1096" s="84"/>
      <c r="AD1096" s="84"/>
      <c r="AE1096" s="84"/>
      <c r="AF1096" s="84"/>
      <c r="AG1096" s="84"/>
      <c r="AH1096" s="84"/>
      <c r="AI1096" s="84"/>
    </row>
    <row r="1097" ht="15.75" customHeight="1">
      <c r="A1097" s="84"/>
      <c r="B1097" s="84"/>
      <c r="C1097" s="84"/>
      <c r="D1097" s="84"/>
      <c r="E1097" s="84"/>
      <c r="F1097" s="276"/>
      <c r="H1097" s="275"/>
      <c r="I1097" s="275"/>
      <c r="J1097" s="275"/>
      <c r="K1097" s="275"/>
      <c r="L1097" s="275"/>
      <c r="M1097" s="275"/>
      <c r="N1097" s="260"/>
      <c r="O1097" s="99"/>
      <c r="P1097" s="99"/>
      <c r="Q1097" s="99"/>
      <c r="R1097" s="99"/>
      <c r="S1097" s="99"/>
      <c r="T1097" s="99"/>
      <c r="U1097" s="99"/>
      <c r="V1097" s="99"/>
      <c r="W1097" s="99"/>
      <c r="X1097" s="99"/>
      <c r="Y1097" s="99"/>
      <c r="Z1097" s="99"/>
      <c r="AB1097" s="84"/>
      <c r="AC1097" s="84"/>
      <c r="AD1097" s="84"/>
      <c r="AE1097" s="84"/>
      <c r="AF1097" s="84"/>
      <c r="AG1097" s="84"/>
      <c r="AH1097" s="84"/>
      <c r="AI1097" s="84"/>
    </row>
    <row r="1098" ht="15.75" customHeight="1">
      <c r="A1098" s="84"/>
      <c r="B1098" s="84"/>
      <c r="C1098" s="84"/>
      <c r="D1098" s="84"/>
      <c r="E1098" s="84"/>
      <c r="F1098" s="276"/>
      <c r="H1098" s="275"/>
      <c r="I1098" s="275"/>
      <c r="J1098" s="275"/>
      <c r="K1098" s="275"/>
      <c r="L1098" s="275"/>
      <c r="M1098" s="275"/>
      <c r="N1098" s="260"/>
      <c r="O1098" s="99"/>
      <c r="P1098" s="99"/>
      <c r="Q1098" s="99"/>
      <c r="R1098" s="99"/>
      <c r="S1098" s="99"/>
      <c r="T1098" s="99"/>
      <c r="U1098" s="99"/>
      <c r="V1098" s="99"/>
      <c r="W1098" s="99"/>
      <c r="X1098" s="99"/>
      <c r="Y1098" s="99"/>
      <c r="Z1098" s="99"/>
      <c r="AB1098" s="84"/>
      <c r="AC1098" s="84"/>
      <c r="AD1098" s="84"/>
      <c r="AE1098" s="84"/>
      <c r="AF1098" s="84"/>
      <c r="AG1098" s="84"/>
      <c r="AH1098" s="84"/>
      <c r="AI1098" s="84"/>
    </row>
    <row r="1099" ht="15.75" customHeight="1">
      <c r="A1099" s="84"/>
      <c r="B1099" s="84"/>
      <c r="C1099" s="84"/>
      <c r="D1099" s="84"/>
      <c r="E1099" s="84"/>
      <c r="F1099" s="276"/>
      <c r="H1099" s="275"/>
      <c r="I1099" s="275"/>
      <c r="J1099" s="275"/>
      <c r="K1099" s="275"/>
      <c r="L1099" s="275"/>
      <c r="M1099" s="275"/>
      <c r="N1099" s="260"/>
      <c r="O1099" s="99"/>
      <c r="P1099" s="99"/>
      <c r="Q1099" s="99"/>
      <c r="R1099" s="99"/>
      <c r="S1099" s="99"/>
      <c r="T1099" s="99"/>
      <c r="U1099" s="99"/>
      <c r="V1099" s="99"/>
      <c r="W1099" s="99"/>
      <c r="X1099" s="99"/>
      <c r="Y1099" s="99"/>
      <c r="Z1099" s="99"/>
      <c r="AB1099" s="84"/>
      <c r="AC1099" s="84"/>
      <c r="AD1099" s="84"/>
      <c r="AE1099" s="84"/>
      <c r="AF1099" s="84"/>
      <c r="AG1099" s="84"/>
      <c r="AH1099" s="84"/>
      <c r="AI1099" s="84"/>
    </row>
    <row r="1100" ht="15.75" customHeight="1">
      <c r="A1100" s="84"/>
      <c r="B1100" s="84"/>
      <c r="C1100" s="84"/>
      <c r="D1100" s="84"/>
      <c r="E1100" s="84"/>
      <c r="F1100" s="276"/>
      <c r="H1100" s="275"/>
      <c r="I1100" s="275"/>
      <c r="J1100" s="275"/>
      <c r="K1100" s="275"/>
      <c r="L1100" s="275"/>
      <c r="M1100" s="275"/>
      <c r="N1100" s="260"/>
      <c r="O1100" s="99"/>
      <c r="P1100" s="99"/>
      <c r="Q1100" s="99"/>
      <c r="R1100" s="99"/>
      <c r="S1100" s="99"/>
      <c r="T1100" s="99"/>
      <c r="U1100" s="99"/>
      <c r="V1100" s="99"/>
      <c r="W1100" s="99"/>
      <c r="X1100" s="99"/>
      <c r="Y1100" s="99"/>
      <c r="Z1100" s="99"/>
      <c r="AB1100" s="84"/>
      <c r="AC1100" s="84"/>
      <c r="AD1100" s="84"/>
      <c r="AE1100" s="84"/>
      <c r="AF1100" s="84"/>
      <c r="AG1100" s="84"/>
      <c r="AH1100" s="84"/>
      <c r="AI1100" s="84"/>
    </row>
    <row r="1101" ht="15.75" customHeight="1">
      <c r="A1101" s="84"/>
      <c r="B1101" s="84"/>
      <c r="C1101" s="84"/>
      <c r="D1101" s="84"/>
      <c r="E1101" s="84"/>
      <c r="F1101" s="276"/>
      <c r="H1101" s="275"/>
      <c r="I1101" s="275"/>
      <c r="J1101" s="275"/>
      <c r="K1101" s="275"/>
      <c r="L1101" s="275"/>
      <c r="M1101" s="275"/>
      <c r="N1101" s="260"/>
      <c r="O1101" s="99"/>
      <c r="P1101" s="99"/>
      <c r="Q1101" s="99"/>
      <c r="R1101" s="99"/>
      <c r="S1101" s="99"/>
      <c r="T1101" s="99"/>
      <c r="U1101" s="99"/>
      <c r="V1101" s="99"/>
      <c r="W1101" s="99"/>
      <c r="X1101" s="99"/>
      <c r="Y1101" s="99"/>
      <c r="Z1101" s="99"/>
      <c r="AB1101" s="84"/>
      <c r="AC1101" s="84"/>
      <c r="AD1101" s="84"/>
      <c r="AE1101" s="84"/>
      <c r="AF1101" s="84"/>
      <c r="AG1101" s="84"/>
      <c r="AH1101" s="84"/>
      <c r="AI1101" s="84"/>
    </row>
    <row r="1102" ht="15.75" customHeight="1">
      <c r="A1102" s="84"/>
      <c r="B1102" s="84"/>
      <c r="C1102" s="84"/>
      <c r="D1102" s="84"/>
      <c r="E1102" s="84"/>
      <c r="F1102" s="276"/>
      <c r="H1102" s="275"/>
      <c r="I1102" s="275"/>
      <c r="J1102" s="275"/>
      <c r="K1102" s="275"/>
      <c r="L1102" s="275"/>
      <c r="M1102" s="275"/>
      <c r="N1102" s="260"/>
      <c r="O1102" s="99"/>
      <c r="P1102" s="99"/>
      <c r="Q1102" s="99"/>
      <c r="R1102" s="99"/>
      <c r="S1102" s="99"/>
      <c r="T1102" s="99"/>
      <c r="U1102" s="99"/>
      <c r="V1102" s="99"/>
      <c r="W1102" s="99"/>
      <c r="X1102" s="99"/>
      <c r="Y1102" s="99"/>
      <c r="Z1102" s="99"/>
      <c r="AB1102" s="84"/>
      <c r="AC1102" s="84"/>
      <c r="AD1102" s="84"/>
      <c r="AE1102" s="84"/>
      <c r="AF1102" s="84"/>
      <c r="AG1102" s="84"/>
      <c r="AH1102" s="84"/>
      <c r="AI1102" s="84"/>
    </row>
    <row r="1103" ht="15.75" customHeight="1">
      <c r="A1103" s="84"/>
      <c r="B1103" s="84"/>
      <c r="C1103" s="84"/>
      <c r="D1103" s="84"/>
      <c r="E1103" s="84"/>
      <c r="F1103" s="276"/>
      <c r="H1103" s="275"/>
      <c r="I1103" s="275"/>
      <c r="J1103" s="275"/>
      <c r="K1103" s="275"/>
      <c r="L1103" s="275"/>
      <c r="M1103" s="275"/>
      <c r="N1103" s="260"/>
      <c r="O1103" s="99"/>
      <c r="P1103" s="99"/>
      <c r="Q1103" s="99"/>
      <c r="R1103" s="99"/>
      <c r="S1103" s="99"/>
      <c r="T1103" s="99"/>
      <c r="U1103" s="99"/>
      <c r="V1103" s="99"/>
      <c r="W1103" s="99"/>
      <c r="X1103" s="99"/>
      <c r="Y1103" s="99"/>
      <c r="Z1103" s="99"/>
      <c r="AB1103" s="84"/>
      <c r="AC1103" s="84"/>
      <c r="AD1103" s="84"/>
      <c r="AE1103" s="84"/>
      <c r="AF1103" s="84"/>
      <c r="AG1103" s="84"/>
      <c r="AH1103" s="84"/>
      <c r="AI1103" s="84"/>
    </row>
    <row r="1104" ht="15.75" customHeight="1">
      <c r="A1104" s="84"/>
      <c r="B1104" s="84"/>
      <c r="C1104" s="84"/>
      <c r="D1104" s="84"/>
      <c r="E1104" s="84"/>
      <c r="F1104" s="276"/>
      <c r="H1104" s="275"/>
      <c r="I1104" s="275"/>
      <c r="J1104" s="275"/>
      <c r="K1104" s="275"/>
      <c r="L1104" s="275"/>
      <c r="M1104" s="275"/>
      <c r="N1104" s="260"/>
      <c r="O1104" s="99"/>
      <c r="P1104" s="99"/>
      <c r="Q1104" s="99"/>
      <c r="R1104" s="99"/>
      <c r="S1104" s="99"/>
      <c r="T1104" s="99"/>
      <c r="U1104" s="99"/>
      <c r="V1104" s="99"/>
      <c r="W1104" s="99"/>
      <c r="X1104" s="99"/>
      <c r="Y1104" s="99"/>
      <c r="Z1104" s="99"/>
      <c r="AB1104" s="84"/>
      <c r="AC1104" s="84"/>
      <c r="AD1104" s="84"/>
      <c r="AE1104" s="84"/>
      <c r="AF1104" s="84"/>
      <c r="AG1104" s="84"/>
      <c r="AH1104" s="84"/>
      <c r="AI1104" s="84"/>
    </row>
    <row r="1105" ht="15.75" customHeight="1">
      <c r="A1105" s="84"/>
      <c r="B1105" s="84"/>
      <c r="C1105" s="84"/>
      <c r="D1105" s="84"/>
      <c r="E1105" s="84"/>
      <c r="F1105" s="276"/>
      <c r="H1105" s="275"/>
      <c r="I1105" s="275"/>
      <c r="J1105" s="275"/>
      <c r="K1105" s="275"/>
      <c r="L1105" s="275"/>
      <c r="M1105" s="275"/>
      <c r="N1105" s="260"/>
      <c r="O1105" s="99"/>
      <c r="P1105" s="99"/>
      <c r="Q1105" s="99"/>
      <c r="R1105" s="99"/>
      <c r="S1105" s="99"/>
      <c r="T1105" s="99"/>
      <c r="U1105" s="99"/>
      <c r="V1105" s="99"/>
      <c r="W1105" s="99"/>
      <c r="X1105" s="99"/>
      <c r="Y1105" s="99"/>
      <c r="Z1105" s="99"/>
      <c r="AB1105" s="84"/>
      <c r="AC1105" s="84"/>
      <c r="AD1105" s="84"/>
      <c r="AE1105" s="84"/>
      <c r="AF1105" s="84"/>
      <c r="AG1105" s="84"/>
      <c r="AH1105" s="84"/>
      <c r="AI1105" s="84"/>
    </row>
    <row r="1106" ht="15.75" customHeight="1">
      <c r="A1106" s="84"/>
      <c r="B1106" s="84"/>
      <c r="C1106" s="84"/>
      <c r="D1106" s="84"/>
      <c r="E1106" s="84"/>
      <c r="F1106" s="276"/>
      <c r="H1106" s="275"/>
      <c r="I1106" s="275"/>
      <c r="J1106" s="275"/>
      <c r="K1106" s="275"/>
      <c r="L1106" s="275"/>
      <c r="M1106" s="275"/>
      <c r="N1106" s="260"/>
      <c r="O1106" s="99"/>
      <c r="P1106" s="99"/>
      <c r="Q1106" s="99"/>
      <c r="R1106" s="99"/>
      <c r="S1106" s="99"/>
      <c r="T1106" s="99"/>
      <c r="U1106" s="99"/>
      <c r="V1106" s="99"/>
      <c r="W1106" s="99"/>
      <c r="X1106" s="99"/>
      <c r="Y1106" s="99"/>
      <c r="Z1106" s="99"/>
      <c r="AB1106" s="84"/>
      <c r="AC1106" s="84"/>
      <c r="AD1106" s="84"/>
      <c r="AE1106" s="84"/>
      <c r="AF1106" s="84"/>
      <c r="AG1106" s="84"/>
      <c r="AH1106" s="84"/>
      <c r="AI1106" s="84"/>
    </row>
    <row r="1107" ht="15.75" customHeight="1">
      <c r="A1107" s="84"/>
      <c r="B1107" s="84"/>
      <c r="C1107" s="84"/>
      <c r="D1107" s="84"/>
      <c r="E1107" s="84"/>
      <c r="F1107" s="276"/>
      <c r="H1107" s="275"/>
      <c r="I1107" s="275"/>
      <c r="J1107" s="275"/>
      <c r="K1107" s="275"/>
      <c r="L1107" s="275"/>
      <c r="M1107" s="275"/>
      <c r="N1107" s="260"/>
      <c r="O1107" s="99"/>
      <c r="P1107" s="99"/>
      <c r="Q1107" s="99"/>
      <c r="R1107" s="99"/>
      <c r="S1107" s="99"/>
      <c r="T1107" s="99"/>
      <c r="U1107" s="99"/>
      <c r="V1107" s="99"/>
      <c r="W1107" s="99"/>
      <c r="X1107" s="99"/>
      <c r="Y1107" s="99"/>
      <c r="Z1107" s="99"/>
      <c r="AB1107" s="84"/>
      <c r="AC1107" s="84"/>
      <c r="AD1107" s="84"/>
      <c r="AE1107" s="84"/>
      <c r="AF1107" s="84"/>
      <c r="AG1107" s="84"/>
      <c r="AH1107" s="84"/>
      <c r="AI1107" s="84"/>
    </row>
    <row r="1108" ht="15.75" customHeight="1">
      <c r="A1108" s="84"/>
      <c r="B1108" s="84"/>
      <c r="C1108" s="84"/>
      <c r="D1108" s="84"/>
      <c r="E1108" s="84"/>
      <c r="F1108" s="276"/>
      <c r="H1108" s="275"/>
      <c r="I1108" s="275"/>
      <c r="J1108" s="275"/>
      <c r="K1108" s="275"/>
      <c r="L1108" s="275"/>
      <c r="M1108" s="275"/>
      <c r="N1108" s="260"/>
      <c r="O1108" s="99"/>
      <c r="P1108" s="99"/>
      <c r="Q1108" s="99"/>
      <c r="R1108" s="99"/>
      <c r="S1108" s="99"/>
      <c r="T1108" s="99"/>
      <c r="U1108" s="99"/>
      <c r="V1108" s="99"/>
      <c r="W1108" s="99"/>
      <c r="X1108" s="99"/>
      <c r="Y1108" s="99"/>
      <c r="Z1108" s="99"/>
      <c r="AB1108" s="84"/>
      <c r="AC1108" s="84"/>
      <c r="AD1108" s="84"/>
      <c r="AE1108" s="84"/>
      <c r="AF1108" s="84"/>
      <c r="AG1108" s="84"/>
      <c r="AH1108" s="84"/>
      <c r="AI1108" s="84"/>
    </row>
    <row r="1109" ht="15.75" customHeight="1">
      <c r="A1109" s="84"/>
      <c r="B1109" s="84"/>
      <c r="C1109" s="84"/>
      <c r="D1109" s="84"/>
      <c r="E1109" s="84"/>
      <c r="F1109" s="276"/>
      <c r="H1109" s="275"/>
      <c r="I1109" s="275"/>
      <c r="J1109" s="275"/>
      <c r="K1109" s="275"/>
      <c r="L1109" s="275"/>
      <c r="M1109" s="275"/>
      <c r="N1109" s="260"/>
      <c r="O1109" s="99"/>
      <c r="P1109" s="99"/>
      <c r="Q1109" s="99"/>
      <c r="R1109" s="99"/>
      <c r="S1109" s="99"/>
      <c r="T1109" s="99"/>
      <c r="U1109" s="99"/>
      <c r="V1109" s="99"/>
      <c r="W1109" s="99"/>
      <c r="X1109" s="99"/>
      <c r="Y1109" s="99"/>
      <c r="Z1109" s="99"/>
      <c r="AB1109" s="84"/>
      <c r="AC1109" s="84"/>
      <c r="AD1109" s="84"/>
      <c r="AE1109" s="84"/>
      <c r="AF1109" s="84"/>
      <c r="AG1109" s="84"/>
      <c r="AH1109" s="84"/>
      <c r="AI1109" s="84"/>
    </row>
    <row r="1110" ht="15.75" customHeight="1">
      <c r="A1110" s="84"/>
      <c r="B1110" s="84"/>
      <c r="C1110" s="84"/>
      <c r="D1110" s="84"/>
      <c r="E1110" s="84"/>
      <c r="F1110" s="276"/>
      <c r="H1110" s="275"/>
      <c r="I1110" s="275"/>
      <c r="J1110" s="275"/>
      <c r="K1110" s="275"/>
      <c r="L1110" s="275"/>
      <c r="M1110" s="275"/>
      <c r="N1110" s="260"/>
      <c r="O1110" s="99"/>
      <c r="P1110" s="99"/>
      <c r="Q1110" s="99"/>
      <c r="R1110" s="99"/>
      <c r="S1110" s="99"/>
      <c r="T1110" s="99"/>
      <c r="U1110" s="99"/>
      <c r="V1110" s="99"/>
      <c r="W1110" s="99"/>
      <c r="X1110" s="99"/>
      <c r="Y1110" s="99"/>
      <c r="Z1110" s="99"/>
      <c r="AB1110" s="84"/>
      <c r="AC1110" s="84"/>
      <c r="AD1110" s="84"/>
      <c r="AE1110" s="84"/>
      <c r="AF1110" s="84"/>
      <c r="AG1110" s="84"/>
      <c r="AH1110" s="84"/>
      <c r="AI1110" s="84"/>
    </row>
    <row r="1111" ht="15.75" customHeight="1">
      <c r="A1111" s="84"/>
      <c r="B1111" s="84"/>
      <c r="C1111" s="84"/>
      <c r="D1111" s="84"/>
      <c r="E1111" s="84"/>
      <c r="F1111" s="276"/>
      <c r="H1111" s="275"/>
      <c r="I1111" s="275"/>
      <c r="J1111" s="275"/>
      <c r="K1111" s="275"/>
      <c r="L1111" s="275"/>
      <c r="M1111" s="275"/>
      <c r="N1111" s="260"/>
      <c r="O1111" s="99"/>
      <c r="P1111" s="99"/>
      <c r="Q1111" s="99"/>
      <c r="R1111" s="99"/>
      <c r="S1111" s="99"/>
      <c r="T1111" s="99"/>
      <c r="U1111" s="99"/>
      <c r="V1111" s="99"/>
      <c r="W1111" s="99"/>
      <c r="X1111" s="99"/>
      <c r="Y1111" s="99"/>
      <c r="Z1111" s="99"/>
      <c r="AB1111" s="84"/>
      <c r="AC1111" s="84"/>
      <c r="AD1111" s="84"/>
      <c r="AE1111" s="84"/>
      <c r="AF1111" s="84"/>
      <c r="AG1111" s="84"/>
      <c r="AH1111" s="84"/>
      <c r="AI1111" s="84"/>
    </row>
    <row r="1112" ht="15.75" customHeight="1">
      <c r="A1112" s="84"/>
      <c r="B1112" s="84"/>
      <c r="C1112" s="84"/>
      <c r="D1112" s="84"/>
      <c r="E1112" s="84"/>
      <c r="F1112" s="276"/>
      <c r="H1112" s="275"/>
      <c r="I1112" s="275"/>
      <c r="J1112" s="275"/>
      <c r="K1112" s="275"/>
      <c r="L1112" s="275"/>
      <c r="M1112" s="275"/>
      <c r="N1112" s="260"/>
      <c r="O1112" s="99"/>
      <c r="P1112" s="99"/>
      <c r="Q1112" s="99"/>
      <c r="R1112" s="99"/>
      <c r="S1112" s="99"/>
      <c r="T1112" s="99"/>
      <c r="U1112" s="99"/>
      <c r="V1112" s="99"/>
      <c r="W1112" s="99"/>
      <c r="X1112" s="99"/>
      <c r="Y1112" s="99"/>
      <c r="Z1112" s="99"/>
      <c r="AB1112" s="84"/>
      <c r="AC1112" s="84"/>
      <c r="AD1112" s="84"/>
      <c r="AE1112" s="84"/>
      <c r="AF1112" s="84"/>
      <c r="AG1112" s="84"/>
      <c r="AH1112" s="84"/>
      <c r="AI1112" s="84"/>
    </row>
    <row r="1113" ht="15.75" customHeight="1">
      <c r="A1113" s="84"/>
      <c r="B1113" s="84"/>
      <c r="C1113" s="84"/>
      <c r="D1113" s="84"/>
      <c r="E1113" s="84"/>
      <c r="F1113" s="276"/>
      <c r="H1113" s="275"/>
      <c r="I1113" s="275"/>
      <c r="J1113" s="275"/>
      <c r="K1113" s="275"/>
      <c r="L1113" s="275"/>
      <c r="M1113" s="275"/>
      <c r="N1113" s="260"/>
      <c r="O1113" s="99"/>
      <c r="P1113" s="99"/>
      <c r="Q1113" s="99"/>
      <c r="R1113" s="99"/>
      <c r="S1113" s="99"/>
      <c r="T1113" s="99"/>
      <c r="U1113" s="99"/>
      <c r="V1113" s="99"/>
      <c r="W1113" s="99"/>
      <c r="X1113" s="99"/>
      <c r="Y1113" s="99"/>
      <c r="Z1113" s="99"/>
      <c r="AB1113" s="84"/>
      <c r="AC1113" s="84"/>
      <c r="AD1113" s="84"/>
      <c r="AE1113" s="84"/>
      <c r="AF1113" s="84"/>
      <c r="AG1113" s="84"/>
      <c r="AH1113" s="84"/>
      <c r="AI1113" s="84"/>
    </row>
    <row r="1114" ht="15.75" customHeight="1">
      <c r="A1114" s="84"/>
      <c r="B1114" s="84"/>
      <c r="C1114" s="84"/>
      <c r="D1114" s="84"/>
      <c r="E1114" s="84"/>
      <c r="F1114" s="276"/>
      <c r="H1114" s="275"/>
      <c r="I1114" s="275"/>
      <c r="J1114" s="275"/>
      <c r="K1114" s="275"/>
      <c r="L1114" s="275"/>
      <c r="M1114" s="275"/>
      <c r="N1114" s="260"/>
      <c r="O1114" s="99"/>
      <c r="P1114" s="99"/>
      <c r="Q1114" s="99"/>
      <c r="R1114" s="99"/>
      <c r="S1114" s="99"/>
      <c r="T1114" s="99"/>
      <c r="U1114" s="99"/>
      <c r="V1114" s="99"/>
      <c r="W1114" s="99"/>
      <c r="X1114" s="99"/>
      <c r="Y1114" s="99"/>
      <c r="Z1114" s="99"/>
      <c r="AB1114" s="84"/>
      <c r="AC1114" s="84"/>
      <c r="AD1114" s="84"/>
      <c r="AE1114" s="84"/>
      <c r="AF1114" s="84"/>
      <c r="AG1114" s="84"/>
      <c r="AH1114" s="84"/>
      <c r="AI1114" s="84"/>
    </row>
    <row r="1115" ht="15.75" customHeight="1">
      <c r="A1115" s="84"/>
      <c r="B1115" s="84"/>
      <c r="C1115" s="84"/>
      <c r="D1115" s="84"/>
      <c r="E1115" s="84"/>
      <c r="F1115" s="276"/>
      <c r="H1115" s="275"/>
      <c r="I1115" s="275"/>
      <c r="J1115" s="275"/>
      <c r="K1115" s="275"/>
      <c r="L1115" s="275"/>
      <c r="M1115" s="275"/>
      <c r="N1115" s="260"/>
      <c r="O1115" s="99"/>
      <c r="P1115" s="99"/>
      <c r="Q1115" s="99"/>
      <c r="R1115" s="99"/>
      <c r="S1115" s="99"/>
      <c r="T1115" s="99"/>
      <c r="U1115" s="99"/>
      <c r="V1115" s="99"/>
      <c r="W1115" s="99"/>
      <c r="X1115" s="99"/>
      <c r="Y1115" s="99"/>
      <c r="Z1115" s="99"/>
      <c r="AB1115" s="84"/>
      <c r="AC1115" s="84"/>
      <c r="AD1115" s="84"/>
      <c r="AE1115" s="84"/>
      <c r="AF1115" s="84"/>
      <c r="AG1115" s="84"/>
      <c r="AH1115" s="84"/>
      <c r="AI1115" s="84"/>
    </row>
    <row r="1116" ht="15.75" customHeight="1">
      <c r="A1116" s="84"/>
      <c r="B1116" s="84"/>
      <c r="C1116" s="84"/>
      <c r="D1116" s="84"/>
      <c r="E1116" s="84"/>
      <c r="F1116" s="276"/>
      <c r="H1116" s="275"/>
      <c r="I1116" s="275"/>
      <c r="J1116" s="275"/>
      <c r="K1116" s="275"/>
      <c r="L1116" s="275"/>
      <c r="M1116" s="275"/>
      <c r="N1116" s="260"/>
      <c r="O1116" s="99"/>
      <c r="P1116" s="99"/>
      <c r="Q1116" s="99"/>
      <c r="R1116" s="99"/>
      <c r="S1116" s="99"/>
      <c r="T1116" s="99"/>
      <c r="U1116" s="99"/>
      <c r="V1116" s="99"/>
      <c r="W1116" s="99"/>
      <c r="X1116" s="99"/>
      <c r="Y1116" s="99"/>
      <c r="Z1116" s="99"/>
      <c r="AB1116" s="84"/>
      <c r="AC1116" s="84"/>
      <c r="AD1116" s="84"/>
      <c r="AE1116" s="84"/>
      <c r="AF1116" s="84"/>
      <c r="AG1116" s="84"/>
      <c r="AH1116" s="84"/>
      <c r="AI1116" s="84"/>
    </row>
    <row r="1117" ht="15.75" customHeight="1">
      <c r="A1117" s="84"/>
      <c r="B1117" s="84"/>
      <c r="C1117" s="84"/>
      <c r="D1117" s="84"/>
      <c r="E1117" s="84"/>
      <c r="F1117" s="276"/>
      <c r="H1117" s="275"/>
      <c r="I1117" s="275"/>
      <c r="J1117" s="275"/>
      <c r="K1117" s="275"/>
      <c r="L1117" s="275"/>
      <c r="M1117" s="275"/>
      <c r="N1117" s="260"/>
      <c r="O1117" s="99"/>
      <c r="P1117" s="99"/>
      <c r="Q1117" s="99"/>
      <c r="R1117" s="99"/>
      <c r="S1117" s="99"/>
      <c r="T1117" s="99"/>
      <c r="U1117" s="99"/>
      <c r="V1117" s="99"/>
      <c r="W1117" s="99"/>
      <c r="X1117" s="99"/>
      <c r="Y1117" s="99"/>
      <c r="Z1117" s="99"/>
      <c r="AB1117" s="84"/>
      <c r="AC1117" s="84"/>
      <c r="AD1117" s="84"/>
      <c r="AE1117" s="84"/>
      <c r="AF1117" s="84"/>
      <c r="AG1117" s="84"/>
      <c r="AH1117" s="84"/>
      <c r="AI1117" s="84"/>
    </row>
    <row r="1118" ht="15.75" customHeight="1">
      <c r="A1118" s="84"/>
      <c r="B1118" s="84"/>
      <c r="C1118" s="84"/>
      <c r="D1118" s="84"/>
      <c r="E1118" s="84"/>
      <c r="F1118" s="276"/>
      <c r="H1118" s="275"/>
      <c r="I1118" s="275"/>
      <c r="J1118" s="275"/>
      <c r="K1118" s="275"/>
      <c r="L1118" s="275"/>
      <c r="M1118" s="275"/>
      <c r="N1118" s="260"/>
      <c r="O1118" s="99"/>
      <c r="P1118" s="99"/>
      <c r="Q1118" s="99"/>
      <c r="R1118" s="99"/>
      <c r="S1118" s="99"/>
      <c r="T1118" s="99"/>
      <c r="U1118" s="99"/>
      <c r="V1118" s="99"/>
      <c r="W1118" s="99"/>
      <c r="X1118" s="99"/>
      <c r="Y1118" s="99"/>
      <c r="Z1118" s="99"/>
      <c r="AB1118" s="84"/>
      <c r="AC1118" s="84"/>
      <c r="AD1118" s="84"/>
      <c r="AE1118" s="84"/>
      <c r="AF1118" s="84"/>
      <c r="AG1118" s="84"/>
      <c r="AH1118" s="84"/>
      <c r="AI1118" s="84"/>
    </row>
    <row r="1119" ht="15.75" customHeight="1">
      <c r="A1119" s="84"/>
      <c r="B1119" s="84"/>
      <c r="C1119" s="84"/>
      <c r="D1119" s="84"/>
      <c r="E1119" s="84"/>
      <c r="F1119" s="276"/>
      <c r="H1119" s="275"/>
      <c r="I1119" s="275"/>
      <c r="J1119" s="275"/>
      <c r="K1119" s="275"/>
      <c r="L1119" s="275"/>
      <c r="M1119" s="275"/>
      <c r="N1119" s="260"/>
      <c r="O1119" s="99"/>
      <c r="P1119" s="99"/>
      <c r="Q1119" s="99"/>
      <c r="R1119" s="99"/>
      <c r="S1119" s="99"/>
      <c r="T1119" s="99"/>
      <c r="U1119" s="99"/>
      <c r="V1119" s="99"/>
      <c r="W1119" s="99"/>
      <c r="X1119" s="99"/>
      <c r="Y1119" s="99"/>
      <c r="Z1119" s="99"/>
      <c r="AB1119" s="84"/>
      <c r="AC1119" s="84"/>
      <c r="AD1119" s="84"/>
      <c r="AE1119" s="84"/>
      <c r="AF1119" s="84"/>
      <c r="AG1119" s="84"/>
      <c r="AH1119" s="84"/>
      <c r="AI1119" s="84"/>
    </row>
    <row r="1120" ht="15.75" customHeight="1">
      <c r="A1120" s="84"/>
      <c r="B1120" s="84"/>
      <c r="C1120" s="84"/>
      <c r="D1120" s="84"/>
      <c r="E1120" s="84"/>
      <c r="F1120" s="276"/>
      <c r="H1120" s="275"/>
      <c r="I1120" s="275"/>
      <c r="J1120" s="275"/>
      <c r="K1120" s="275"/>
      <c r="L1120" s="275"/>
      <c r="M1120" s="275"/>
      <c r="N1120" s="260"/>
      <c r="O1120" s="99"/>
      <c r="P1120" s="99"/>
      <c r="Q1120" s="99"/>
      <c r="R1120" s="99"/>
      <c r="S1120" s="99"/>
      <c r="T1120" s="99"/>
      <c r="U1120" s="99"/>
      <c r="V1120" s="99"/>
      <c r="W1120" s="99"/>
      <c r="X1120" s="99"/>
      <c r="Y1120" s="99"/>
      <c r="Z1120" s="99"/>
      <c r="AB1120" s="84"/>
      <c r="AC1120" s="84"/>
      <c r="AD1120" s="84"/>
      <c r="AE1120" s="84"/>
      <c r="AF1120" s="84"/>
      <c r="AG1120" s="84"/>
      <c r="AH1120" s="84"/>
      <c r="AI1120" s="84"/>
    </row>
    <row r="1121" ht="15.75" customHeight="1">
      <c r="A1121" s="84"/>
      <c r="B1121" s="84"/>
      <c r="C1121" s="84"/>
      <c r="D1121" s="84"/>
      <c r="E1121" s="84"/>
      <c r="F1121" s="276"/>
      <c r="H1121" s="275"/>
      <c r="I1121" s="275"/>
      <c r="J1121" s="275"/>
      <c r="K1121" s="275"/>
      <c r="L1121" s="275"/>
      <c r="M1121" s="275"/>
      <c r="N1121" s="260"/>
      <c r="O1121" s="99"/>
      <c r="P1121" s="99"/>
      <c r="Q1121" s="99"/>
      <c r="R1121" s="99"/>
      <c r="S1121" s="99"/>
      <c r="T1121" s="99"/>
      <c r="U1121" s="99"/>
      <c r="V1121" s="99"/>
      <c r="W1121" s="99"/>
      <c r="X1121" s="99"/>
      <c r="Y1121" s="99"/>
      <c r="Z1121" s="99"/>
      <c r="AB1121" s="84"/>
      <c r="AC1121" s="84"/>
      <c r="AD1121" s="84"/>
      <c r="AE1121" s="84"/>
      <c r="AF1121" s="84"/>
      <c r="AG1121" s="84"/>
      <c r="AH1121" s="84"/>
      <c r="AI1121" s="84"/>
    </row>
    <row r="1122" ht="15.75" customHeight="1">
      <c r="A1122" s="84"/>
      <c r="B1122" s="84"/>
      <c r="C1122" s="84"/>
      <c r="D1122" s="84"/>
      <c r="E1122" s="84"/>
      <c r="F1122" s="276"/>
      <c r="H1122" s="275"/>
      <c r="I1122" s="275"/>
      <c r="J1122" s="275"/>
      <c r="K1122" s="275"/>
      <c r="L1122" s="275"/>
      <c r="M1122" s="275"/>
      <c r="N1122" s="260"/>
      <c r="O1122" s="99"/>
      <c r="P1122" s="99"/>
      <c r="Q1122" s="99"/>
      <c r="R1122" s="99"/>
      <c r="S1122" s="99"/>
      <c r="T1122" s="99"/>
      <c r="U1122" s="99"/>
      <c r="V1122" s="99"/>
      <c r="W1122" s="99"/>
      <c r="X1122" s="99"/>
      <c r="Y1122" s="99"/>
      <c r="Z1122" s="99"/>
      <c r="AB1122" s="84"/>
      <c r="AC1122" s="84"/>
      <c r="AD1122" s="84"/>
      <c r="AE1122" s="84"/>
      <c r="AF1122" s="84"/>
      <c r="AG1122" s="84"/>
      <c r="AH1122" s="84"/>
      <c r="AI1122" s="84"/>
    </row>
    <row r="1123" ht="15.75" customHeight="1">
      <c r="A1123" s="84"/>
      <c r="B1123" s="84"/>
      <c r="C1123" s="84"/>
      <c r="D1123" s="84"/>
      <c r="E1123" s="84"/>
      <c r="F1123" s="276"/>
      <c r="H1123" s="275"/>
      <c r="I1123" s="275"/>
      <c r="J1123" s="275"/>
      <c r="K1123" s="275"/>
      <c r="L1123" s="275"/>
      <c r="M1123" s="275"/>
      <c r="N1123" s="260"/>
      <c r="O1123" s="99"/>
      <c r="P1123" s="99"/>
      <c r="Q1123" s="99"/>
      <c r="R1123" s="99"/>
      <c r="S1123" s="99"/>
      <c r="T1123" s="99"/>
      <c r="U1123" s="99"/>
      <c r="V1123" s="99"/>
      <c r="W1123" s="99"/>
      <c r="X1123" s="99"/>
      <c r="Y1123" s="99"/>
      <c r="Z1123" s="99"/>
      <c r="AB1123" s="84"/>
      <c r="AC1123" s="84"/>
      <c r="AD1123" s="84"/>
      <c r="AE1123" s="84"/>
      <c r="AF1123" s="84"/>
      <c r="AG1123" s="84"/>
      <c r="AH1123" s="84"/>
      <c r="AI1123" s="84"/>
    </row>
    <row r="1124" ht="15.75" customHeight="1">
      <c r="A1124" s="84"/>
      <c r="B1124" s="84"/>
      <c r="C1124" s="84"/>
      <c r="D1124" s="84"/>
      <c r="E1124" s="84"/>
      <c r="F1124" s="276"/>
      <c r="H1124" s="275"/>
      <c r="I1124" s="275"/>
      <c r="J1124" s="275"/>
      <c r="K1124" s="275"/>
      <c r="L1124" s="275"/>
      <c r="M1124" s="275"/>
      <c r="N1124" s="260"/>
      <c r="O1124" s="99"/>
      <c r="P1124" s="99"/>
      <c r="Q1124" s="99"/>
      <c r="R1124" s="99"/>
      <c r="S1124" s="99"/>
      <c r="T1124" s="99"/>
      <c r="U1124" s="99"/>
      <c r="V1124" s="99"/>
      <c r="W1124" s="99"/>
      <c r="X1124" s="99"/>
      <c r="Y1124" s="99"/>
      <c r="Z1124" s="99"/>
      <c r="AB1124" s="84"/>
      <c r="AC1124" s="84"/>
      <c r="AD1124" s="84"/>
      <c r="AE1124" s="84"/>
      <c r="AF1124" s="84"/>
      <c r="AG1124" s="84"/>
      <c r="AH1124" s="84"/>
      <c r="AI1124" s="84"/>
    </row>
    <row r="1125" ht="15.75" customHeight="1">
      <c r="A1125" s="84"/>
      <c r="B1125" s="84"/>
      <c r="C1125" s="84"/>
      <c r="D1125" s="84"/>
      <c r="E1125" s="84"/>
      <c r="F1125" s="276"/>
      <c r="H1125" s="275"/>
      <c r="I1125" s="275"/>
      <c r="J1125" s="275"/>
      <c r="K1125" s="275"/>
      <c r="L1125" s="275"/>
      <c r="M1125" s="275"/>
      <c r="N1125" s="260"/>
      <c r="O1125" s="99"/>
      <c r="P1125" s="99"/>
      <c r="Q1125" s="99"/>
      <c r="R1125" s="99"/>
      <c r="S1125" s="99"/>
      <c r="T1125" s="99"/>
      <c r="U1125" s="99"/>
      <c r="V1125" s="99"/>
      <c r="W1125" s="99"/>
      <c r="X1125" s="99"/>
      <c r="Y1125" s="99"/>
      <c r="Z1125" s="99"/>
      <c r="AB1125" s="84"/>
      <c r="AC1125" s="84"/>
      <c r="AD1125" s="84"/>
      <c r="AE1125" s="84"/>
      <c r="AF1125" s="84"/>
      <c r="AG1125" s="84"/>
      <c r="AH1125" s="84"/>
      <c r="AI1125" s="84"/>
    </row>
    <row r="1126" ht="15.75" customHeight="1">
      <c r="A1126" s="84"/>
      <c r="B1126" s="84"/>
      <c r="C1126" s="84"/>
      <c r="D1126" s="84"/>
      <c r="E1126" s="84"/>
      <c r="F1126" s="276"/>
      <c r="H1126" s="275"/>
      <c r="I1126" s="275"/>
      <c r="J1126" s="275"/>
      <c r="K1126" s="275"/>
      <c r="L1126" s="275"/>
      <c r="M1126" s="275"/>
      <c r="N1126" s="260"/>
      <c r="O1126" s="99"/>
      <c r="P1126" s="99"/>
      <c r="Q1126" s="99"/>
      <c r="R1126" s="99"/>
      <c r="S1126" s="99"/>
      <c r="T1126" s="99"/>
      <c r="U1126" s="99"/>
      <c r="V1126" s="99"/>
      <c r="W1126" s="99"/>
      <c r="X1126" s="99"/>
      <c r="Y1126" s="99"/>
      <c r="Z1126" s="99"/>
      <c r="AB1126" s="84"/>
      <c r="AC1126" s="84"/>
      <c r="AD1126" s="84"/>
      <c r="AE1126" s="84"/>
      <c r="AF1126" s="84"/>
      <c r="AG1126" s="84"/>
      <c r="AH1126" s="84"/>
      <c r="AI1126" s="84"/>
    </row>
    <row r="1127" ht="15.75" customHeight="1">
      <c r="A1127" s="84"/>
      <c r="B1127" s="84"/>
      <c r="C1127" s="84"/>
      <c r="D1127" s="84"/>
      <c r="E1127" s="84"/>
      <c r="F1127" s="276"/>
      <c r="H1127" s="275"/>
      <c r="I1127" s="275"/>
      <c r="J1127" s="275"/>
      <c r="K1127" s="275"/>
      <c r="L1127" s="275"/>
      <c r="M1127" s="275"/>
      <c r="N1127" s="260"/>
      <c r="O1127" s="99"/>
      <c r="P1127" s="99"/>
      <c r="Q1127" s="99"/>
      <c r="R1127" s="99"/>
      <c r="S1127" s="99"/>
      <c r="T1127" s="99"/>
      <c r="U1127" s="99"/>
      <c r="V1127" s="99"/>
      <c r="W1127" s="99"/>
      <c r="X1127" s="99"/>
      <c r="Y1127" s="99"/>
      <c r="Z1127" s="99"/>
      <c r="AB1127" s="84"/>
      <c r="AC1127" s="84"/>
      <c r="AD1127" s="84"/>
      <c r="AE1127" s="84"/>
      <c r="AF1127" s="84"/>
      <c r="AG1127" s="84"/>
      <c r="AH1127" s="84"/>
      <c r="AI1127" s="84"/>
    </row>
    <row r="1128" ht="15.75" customHeight="1">
      <c r="A1128" s="84"/>
      <c r="B1128" s="84"/>
      <c r="C1128" s="84"/>
      <c r="D1128" s="84"/>
      <c r="E1128" s="84"/>
      <c r="F1128" s="276"/>
      <c r="H1128" s="275"/>
      <c r="I1128" s="275"/>
      <c r="J1128" s="275"/>
      <c r="K1128" s="275"/>
      <c r="L1128" s="275"/>
      <c r="M1128" s="275"/>
      <c r="N1128" s="260"/>
      <c r="O1128" s="99"/>
      <c r="P1128" s="99"/>
      <c r="Q1128" s="99"/>
      <c r="R1128" s="99"/>
      <c r="S1128" s="99"/>
      <c r="T1128" s="99"/>
      <c r="U1128" s="99"/>
      <c r="V1128" s="99"/>
      <c r="W1128" s="99"/>
      <c r="X1128" s="99"/>
      <c r="Y1128" s="99"/>
      <c r="Z1128" s="99"/>
      <c r="AB1128" s="84"/>
      <c r="AC1128" s="84"/>
      <c r="AD1128" s="84"/>
      <c r="AE1128" s="84"/>
      <c r="AF1128" s="84"/>
      <c r="AG1128" s="84"/>
      <c r="AH1128" s="84"/>
      <c r="AI1128" s="84"/>
    </row>
    <row r="1129" ht="15.75" customHeight="1">
      <c r="A1129" s="84"/>
      <c r="B1129" s="84"/>
      <c r="C1129" s="84"/>
      <c r="D1129" s="84"/>
      <c r="E1129" s="84"/>
      <c r="F1129" s="276"/>
      <c r="H1129" s="275"/>
      <c r="I1129" s="275"/>
      <c r="J1129" s="275"/>
      <c r="K1129" s="275"/>
      <c r="L1129" s="275"/>
      <c r="M1129" s="275"/>
      <c r="N1129" s="260"/>
      <c r="O1129" s="99"/>
      <c r="P1129" s="99"/>
      <c r="Q1129" s="99"/>
      <c r="R1129" s="99"/>
      <c r="S1129" s="99"/>
      <c r="T1129" s="99"/>
      <c r="U1129" s="99"/>
      <c r="V1129" s="99"/>
      <c r="W1129" s="99"/>
      <c r="X1129" s="99"/>
      <c r="Y1129" s="99"/>
      <c r="Z1129" s="99"/>
      <c r="AB1129" s="84"/>
      <c r="AC1129" s="84"/>
      <c r="AD1129" s="84"/>
      <c r="AE1129" s="84"/>
      <c r="AF1129" s="84"/>
      <c r="AG1129" s="84"/>
      <c r="AH1129" s="84"/>
      <c r="AI1129" s="84"/>
    </row>
    <row r="1130" ht="15.75" customHeight="1">
      <c r="A1130" s="84"/>
      <c r="B1130" s="84"/>
      <c r="C1130" s="84"/>
      <c r="D1130" s="84"/>
      <c r="E1130" s="84"/>
      <c r="F1130" s="276"/>
      <c r="H1130" s="275"/>
      <c r="I1130" s="275"/>
      <c r="J1130" s="275"/>
      <c r="K1130" s="275"/>
      <c r="L1130" s="275"/>
      <c r="M1130" s="275"/>
      <c r="N1130" s="260"/>
      <c r="O1130" s="99"/>
      <c r="P1130" s="99"/>
      <c r="Q1130" s="99"/>
      <c r="R1130" s="99"/>
      <c r="S1130" s="99"/>
      <c r="T1130" s="99"/>
      <c r="U1130" s="99"/>
      <c r="V1130" s="99"/>
      <c r="W1130" s="99"/>
      <c r="X1130" s="99"/>
      <c r="Y1130" s="99"/>
      <c r="Z1130" s="99"/>
      <c r="AB1130" s="84"/>
      <c r="AC1130" s="84"/>
      <c r="AD1130" s="84"/>
      <c r="AE1130" s="84"/>
      <c r="AF1130" s="84"/>
      <c r="AG1130" s="84"/>
      <c r="AH1130" s="84"/>
      <c r="AI1130" s="84"/>
    </row>
    <row r="1131" ht="15.75" customHeight="1">
      <c r="A1131" s="84"/>
      <c r="B1131" s="84"/>
      <c r="C1131" s="84"/>
      <c r="D1131" s="84"/>
      <c r="E1131" s="84"/>
      <c r="F1131" s="276"/>
      <c r="H1131" s="275"/>
      <c r="I1131" s="275"/>
      <c r="J1131" s="275"/>
      <c r="K1131" s="275"/>
      <c r="L1131" s="275"/>
      <c r="M1131" s="275"/>
      <c r="N1131" s="260"/>
      <c r="O1131" s="99"/>
      <c r="P1131" s="99"/>
      <c r="Q1131" s="99"/>
      <c r="R1131" s="99"/>
      <c r="S1131" s="99"/>
      <c r="T1131" s="99"/>
      <c r="U1131" s="99"/>
      <c r="V1131" s="99"/>
      <c r="W1131" s="99"/>
      <c r="X1131" s="99"/>
      <c r="Y1131" s="99"/>
      <c r="Z1131" s="99"/>
      <c r="AB1131" s="84"/>
      <c r="AC1131" s="84"/>
      <c r="AD1131" s="84"/>
      <c r="AE1131" s="84"/>
      <c r="AF1131" s="84"/>
      <c r="AG1131" s="84"/>
      <c r="AH1131" s="84"/>
      <c r="AI1131" s="84"/>
    </row>
    <row r="1132" ht="15.75" customHeight="1">
      <c r="A1132" s="84"/>
      <c r="B1132" s="84"/>
      <c r="C1132" s="84"/>
      <c r="D1132" s="84"/>
      <c r="E1132" s="84"/>
      <c r="F1132" s="276"/>
      <c r="H1132" s="275"/>
      <c r="I1132" s="275"/>
      <c r="J1132" s="275"/>
      <c r="K1132" s="275"/>
      <c r="L1132" s="275"/>
      <c r="M1132" s="275"/>
      <c r="N1132" s="260"/>
      <c r="O1132" s="99"/>
      <c r="P1132" s="99"/>
      <c r="Q1132" s="99"/>
      <c r="R1132" s="99"/>
      <c r="S1132" s="99"/>
      <c r="T1132" s="99"/>
      <c r="U1132" s="99"/>
      <c r="V1132" s="99"/>
      <c r="W1132" s="99"/>
      <c r="X1132" s="99"/>
      <c r="Y1132" s="99"/>
      <c r="Z1132" s="99"/>
      <c r="AB1132" s="84"/>
      <c r="AC1132" s="84"/>
      <c r="AD1132" s="84"/>
      <c r="AE1132" s="84"/>
      <c r="AF1132" s="84"/>
      <c r="AG1132" s="84"/>
      <c r="AH1132" s="84"/>
      <c r="AI1132" s="84"/>
    </row>
    <row r="1133" ht="15.75" customHeight="1">
      <c r="A1133" s="84"/>
      <c r="B1133" s="84"/>
      <c r="C1133" s="84"/>
      <c r="D1133" s="84"/>
      <c r="E1133" s="84"/>
      <c r="F1133" s="276"/>
      <c r="H1133" s="275"/>
      <c r="I1133" s="275"/>
      <c r="J1133" s="275"/>
      <c r="K1133" s="275"/>
      <c r="L1133" s="275"/>
      <c r="M1133" s="275"/>
      <c r="N1133" s="260"/>
      <c r="O1133" s="99"/>
      <c r="P1133" s="99"/>
      <c r="Q1133" s="99"/>
      <c r="R1133" s="99"/>
      <c r="S1133" s="99"/>
      <c r="T1133" s="99"/>
      <c r="U1133" s="99"/>
      <c r="V1133" s="99"/>
      <c r="W1133" s="99"/>
      <c r="X1133" s="99"/>
      <c r="Y1133" s="99"/>
      <c r="Z1133" s="99"/>
      <c r="AB1133" s="84"/>
      <c r="AC1133" s="84"/>
      <c r="AD1133" s="84"/>
      <c r="AE1133" s="84"/>
      <c r="AF1133" s="84"/>
      <c r="AG1133" s="84"/>
      <c r="AH1133" s="84"/>
      <c r="AI1133" s="84"/>
    </row>
    <row r="1134" ht="15.75" customHeight="1">
      <c r="A1134" s="84"/>
      <c r="B1134" s="84"/>
      <c r="C1134" s="84"/>
      <c r="D1134" s="84"/>
      <c r="E1134" s="84"/>
      <c r="F1134" s="276"/>
      <c r="H1134" s="275"/>
      <c r="I1134" s="275"/>
      <c r="J1134" s="275"/>
      <c r="K1134" s="275"/>
      <c r="L1134" s="275"/>
      <c r="M1134" s="275"/>
      <c r="N1134" s="260"/>
      <c r="O1134" s="99"/>
      <c r="P1134" s="99"/>
      <c r="Q1134" s="99"/>
      <c r="R1134" s="99"/>
      <c r="S1134" s="99"/>
      <c r="T1134" s="99"/>
      <c r="U1134" s="99"/>
      <c r="V1134" s="99"/>
      <c r="W1134" s="99"/>
      <c r="X1134" s="99"/>
      <c r="Y1134" s="99"/>
      <c r="Z1134" s="99"/>
      <c r="AB1134" s="84"/>
      <c r="AC1134" s="84"/>
      <c r="AD1134" s="84"/>
      <c r="AE1134" s="84"/>
      <c r="AF1134" s="84"/>
      <c r="AG1134" s="84"/>
      <c r="AH1134" s="84"/>
      <c r="AI1134" s="84"/>
    </row>
    <row r="1135" ht="15.75" customHeight="1">
      <c r="A1135" s="84"/>
      <c r="B1135" s="84"/>
      <c r="C1135" s="84"/>
      <c r="D1135" s="84"/>
      <c r="E1135" s="84"/>
      <c r="F1135" s="276"/>
      <c r="H1135" s="275"/>
      <c r="I1135" s="275"/>
      <c r="J1135" s="275"/>
      <c r="K1135" s="275"/>
      <c r="L1135" s="275"/>
      <c r="M1135" s="275"/>
      <c r="N1135" s="260"/>
      <c r="O1135" s="99"/>
      <c r="P1135" s="99"/>
      <c r="Q1135" s="99"/>
      <c r="R1135" s="99"/>
      <c r="S1135" s="99"/>
      <c r="T1135" s="99"/>
      <c r="U1135" s="99"/>
      <c r="V1135" s="99"/>
      <c r="W1135" s="99"/>
      <c r="X1135" s="99"/>
      <c r="Y1135" s="99"/>
      <c r="Z1135" s="99"/>
      <c r="AB1135" s="84"/>
      <c r="AC1135" s="84"/>
      <c r="AD1135" s="84"/>
      <c r="AE1135" s="84"/>
      <c r="AF1135" s="84"/>
      <c r="AG1135" s="84"/>
      <c r="AH1135" s="84"/>
      <c r="AI1135" s="84"/>
    </row>
    <row r="1136" ht="15.75" customHeight="1">
      <c r="A1136" s="84"/>
      <c r="B1136" s="84"/>
      <c r="C1136" s="84"/>
      <c r="D1136" s="84"/>
      <c r="E1136" s="84"/>
      <c r="F1136" s="276"/>
      <c r="H1136" s="275"/>
      <c r="I1136" s="275"/>
      <c r="J1136" s="275"/>
      <c r="K1136" s="275"/>
      <c r="L1136" s="275"/>
      <c r="M1136" s="275"/>
      <c r="N1136" s="260"/>
      <c r="O1136" s="99"/>
      <c r="P1136" s="99"/>
      <c r="Q1136" s="99"/>
      <c r="R1136" s="99"/>
      <c r="S1136" s="99"/>
      <c r="T1136" s="99"/>
      <c r="U1136" s="99"/>
      <c r="V1136" s="99"/>
      <c r="W1136" s="99"/>
      <c r="X1136" s="99"/>
      <c r="Y1136" s="99"/>
      <c r="Z1136" s="99"/>
      <c r="AB1136" s="84"/>
      <c r="AC1136" s="84"/>
      <c r="AD1136" s="84"/>
      <c r="AE1136" s="84"/>
      <c r="AF1136" s="84"/>
      <c r="AG1136" s="84"/>
      <c r="AH1136" s="84"/>
      <c r="AI1136" s="84"/>
    </row>
    <row r="1137" ht="15.75" customHeight="1">
      <c r="A1137" s="84"/>
      <c r="B1137" s="84"/>
      <c r="C1137" s="84"/>
      <c r="D1137" s="84"/>
      <c r="E1137" s="84"/>
      <c r="F1137" s="276"/>
      <c r="H1137" s="275"/>
      <c r="I1137" s="275"/>
      <c r="J1137" s="275"/>
      <c r="K1137" s="275"/>
      <c r="L1137" s="275"/>
      <c r="M1137" s="275"/>
      <c r="N1137" s="260"/>
      <c r="O1137" s="99"/>
      <c r="P1137" s="99"/>
      <c r="Q1137" s="99"/>
      <c r="R1137" s="99"/>
      <c r="S1137" s="99"/>
      <c r="T1137" s="99"/>
      <c r="U1137" s="99"/>
      <c r="V1137" s="99"/>
      <c r="W1137" s="99"/>
      <c r="X1137" s="99"/>
      <c r="Y1137" s="99"/>
      <c r="Z1137" s="99"/>
      <c r="AB1137" s="84"/>
      <c r="AC1137" s="84"/>
      <c r="AD1137" s="84"/>
      <c r="AE1137" s="84"/>
      <c r="AF1137" s="84"/>
      <c r="AG1137" s="84"/>
      <c r="AH1137" s="84"/>
      <c r="AI1137" s="84"/>
    </row>
    <row r="1138" ht="15.75" customHeight="1">
      <c r="A1138" s="84"/>
      <c r="B1138" s="84"/>
      <c r="C1138" s="84"/>
      <c r="D1138" s="84"/>
      <c r="E1138" s="84"/>
      <c r="F1138" s="276"/>
      <c r="H1138" s="275"/>
      <c r="I1138" s="275"/>
      <c r="J1138" s="275"/>
      <c r="K1138" s="275"/>
      <c r="L1138" s="275"/>
      <c r="M1138" s="275"/>
      <c r="N1138" s="260"/>
      <c r="O1138" s="99"/>
      <c r="P1138" s="99"/>
      <c r="Q1138" s="99"/>
      <c r="R1138" s="99"/>
      <c r="S1138" s="99"/>
      <c r="T1138" s="99"/>
      <c r="U1138" s="99"/>
      <c r="V1138" s="99"/>
      <c r="W1138" s="99"/>
      <c r="X1138" s="99"/>
      <c r="Y1138" s="99"/>
      <c r="Z1138" s="99"/>
      <c r="AB1138" s="84"/>
      <c r="AC1138" s="84"/>
      <c r="AD1138" s="84"/>
      <c r="AE1138" s="84"/>
      <c r="AF1138" s="84"/>
      <c r="AG1138" s="84"/>
      <c r="AH1138" s="84"/>
      <c r="AI1138" s="84"/>
    </row>
    <row r="1139" ht="15.75" customHeight="1">
      <c r="A1139" s="84"/>
      <c r="B1139" s="84"/>
      <c r="C1139" s="84"/>
      <c r="D1139" s="84"/>
      <c r="E1139" s="84"/>
      <c r="F1139" s="276"/>
      <c r="H1139" s="275"/>
      <c r="I1139" s="275"/>
      <c r="J1139" s="275"/>
      <c r="K1139" s="275"/>
      <c r="L1139" s="275"/>
      <c r="M1139" s="275"/>
      <c r="N1139" s="260"/>
      <c r="O1139" s="99"/>
      <c r="P1139" s="99"/>
      <c r="Q1139" s="99"/>
      <c r="R1139" s="99"/>
      <c r="S1139" s="99"/>
      <c r="T1139" s="99"/>
      <c r="U1139" s="99"/>
      <c r="V1139" s="99"/>
      <c r="W1139" s="99"/>
      <c r="X1139" s="99"/>
      <c r="Y1139" s="99"/>
      <c r="Z1139" s="99"/>
      <c r="AB1139" s="84"/>
      <c r="AC1139" s="84"/>
      <c r="AD1139" s="84"/>
      <c r="AE1139" s="84"/>
      <c r="AF1139" s="84"/>
      <c r="AG1139" s="84"/>
      <c r="AH1139" s="84"/>
      <c r="AI1139" s="84"/>
    </row>
    <row r="1140" ht="15.75" customHeight="1">
      <c r="A1140" s="84"/>
      <c r="B1140" s="84"/>
      <c r="C1140" s="84"/>
      <c r="D1140" s="84"/>
      <c r="E1140" s="84"/>
      <c r="F1140" s="276"/>
      <c r="H1140" s="275"/>
      <c r="I1140" s="275"/>
      <c r="J1140" s="275"/>
      <c r="K1140" s="275"/>
      <c r="L1140" s="275"/>
      <c r="M1140" s="275"/>
      <c r="N1140" s="260"/>
      <c r="O1140" s="99"/>
      <c r="P1140" s="99"/>
      <c r="Q1140" s="99"/>
      <c r="R1140" s="99"/>
      <c r="S1140" s="99"/>
      <c r="T1140" s="99"/>
      <c r="U1140" s="99"/>
      <c r="V1140" s="99"/>
      <c r="W1140" s="99"/>
      <c r="X1140" s="99"/>
      <c r="Y1140" s="99"/>
      <c r="Z1140" s="99"/>
      <c r="AB1140" s="84"/>
      <c r="AC1140" s="84"/>
      <c r="AD1140" s="84"/>
      <c r="AE1140" s="84"/>
      <c r="AF1140" s="84"/>
      <c r="AG1140" s="84"/>
      <c r="AH1140" s="84"/>
      <c r="AI1140" s="84"/>
    </row>
    <row r="1141" ht="15.75" customHeight="1">
      <c r="A1141" s="84"/>
      <c r="B1141" s="84"/>
      <c r="C1141" s="84"/>
      <c r="D1141" s="84"/>
      <c r="E1141" s="84"/>
      <c r="F1141" s="276"/>
      <c r="H1141" s="275"/>
      <c r="I1141" s="275"/>
      <c r="J1141" s="275"/>
      <c r="K1141" s="275"/>
      <c r="L1141" s="275"/>
      <c r="M1141" s="275"/>
      <c r="N1141" s="260"/>
      <c r="O1141" s="99"/>
      <c r="P1141" s="99"/>
      <c r="Q1141" s="99"/>
      <c r="R1141" s="99"/>
      <c r="S1141" s="99"/>
      <c r="T1141" s="99"/>
      <c r="U1141" s="99"/>
      <c r="V1141" s="99"/>
      <c r="W1141" s="99"/>
      <c r="X1141" s="99"/>
      <c r="Y1141" s="99"/>
      <c r="Z1141" s="99"/>
      <c r="AB1141" s="84"/>
      <c r="AC1141" s="84"/>
      <c r="AD1141" s="84"/>
      <c r="AE1141" s="84"/>
      <c r="AF1141" s="84"/>
      <c r="AG1141" s="84"/>
      <c r="AH1141" s="84"/>
      <c r="AI1141" s="84"/>
    </row>
    <row r="1142" ht="15.75" customHeight="1">
      <c r="A1142" s="84"/>
      <c r="B1142" s="84"/>
      <c r="C1142" s="84"/>
      <c r="D1142" s="84"/>
      <c r="E1142" s="84"/>
      <c r="F1142" s="276"/>
      <c r="H1142" s="275"/>
      <c r="I1142" s="275"/>
      <c r="J1142" s="275"/>
      <c r="K1142" s="275"/>
      <c r="L1142" s="275"/>
      <c r="M1142" s="275"/>
      <c r="N1142" s="260"/>
      <c r="O1142" s="99"/>
      <c r="P1142" s="99"/>
      <c r="Q1142" s="99"/>
      <c r="R1142" s="99"/>
      <c r="S1142" s="99"/>
      <c r="T1142" s="99"/>
      <c r="U1142" s="99"/>
      <c r="V1142" s="99"/>
      <c r="W1142" s="99"/>
      <c r="X1142" s="99"/>
      <c r="Y1142" s="99"/>
      <c r="Z1142" s="99"/>
      <c r="AB1142" s="84"/>
      <c r="AC1142" s="84"/>
      <c r="AD1142" s="84"/>
      <c r="AE1142" s="84"/>
      <c r="AF1142" s="84"/>
      <c r="AG1142" s="84"/>
      <c r="AH1142" s="84"/>
      <c r="AI1142" s="84"/>
    </row>
    <row r="1143" ht="15.75" customHeight="1">
      <c r="A1143" s="84"/>
      <c r="B1143" s="84"/>
      <c r="C1143" s="84"/>
      <c r="D1143" s="84"/>
      <c r="E1143" s="84"/>
      <c r="F1143" s="276"/>
      <c r="H1143" s="275"/>
      <c r="I1143" s="275"/>
      <c r="J1143" s="275"/>
      <c r="K1143" s="275"/>
      <c r="L1143" s="275"/>
      <c r="M1143" s="275"/>
      <c r="N1143" s="260"/>
      <c r="O1143" s="99"/>
      <c r="P1143" s="99"/>
      <c r="Q1143" s="99"/>
      <c r="R1143" s="99"/>
      <c r="S1143" s="99"/>
      <c r="T1143" s="99"/>
      <c r="U1143" s="99"/>
      <c r="V1143" s="99"/>
      <c r="W1143" s="99"/>
      <c r="X1143" s="99"/>
      <c r="Y1143" s="99"/>
      <c r="Z1143" s="99"/>
      <c r="AB1143" s="84"/>
      <c r="AC1143" s="84"/>
      <c r="AD1143" s="84"/>
      <c r="AE1143" s="84"/>
      <c r="AF1143" s="84"/>
      <c r="AG1143" s="84"/>
      <c r="AH1143" s="84"/>
      <c r="AI1143" s="84"/>
    </row>
    <row r="1144" ht="15.75" customHeight="1">
      <c r="A1144" s="84"/>
      <c r="B1144" s="84"/>
      <c r="C1144" s="84"/>
      <c r="D1144" s="84"/>
      <c r="E1144" s="84"/>
      <c r="F1144" s="276"/>
      <c r="H1144" s="275"/>
      <c r="I1144" s="275"/>
      <c r="J1144" s="275"/>
      <c r="K1144" s="275"/>
      <c r="L1144" s="275"/>
      <c r="M1144" s="275"/>
      <c r="N1144" s="260"/>
      <c r="O1144" s="99"/>
      <c r="P1144" s="99"/>
      <c r="Q1144" s="99"/>
      <c r="R1144" s="99"/>
      <c r="S1144" s="99"/>
      <c r="T1144" s="99"/>
      <c r="U1144" s="99"/>
      <c r="V1144" s="99"/>
      <c r="W1144" s="99"/>
      <c r="X1144" s="99"/>
      <c r="Y1144" s="99"/>
      <c r="Z1144" s="99"/>
      <c r="AB1144" s="84"/>
      <c r="AC1144" s="84"/>
      <c r="AD1144" s="84"/>
      <c r="AE1144" s="84"/>
      <c r="AF1144" s="84"/>
      <c r="AG1144" s="84"/>
      <c r="AH1144" s="84"/>
      <c r="AI1144" s="84"/>
    </row>
    <row r="1145" ht="15.75" customHeight="1">
      <c r="A1145" s="84"/>
      <c r="B1145" s="84"/>
      <c r="C1145" s="84"/>
      <c r="D1145" s="84"/>
      <c r="E1145" s="84"/>
      <c r="F1145" s="276"/>
      <c r="H1145" s="275"/>
      <c r="I1145" s="275"/>
      <c r="J1145" s="275"/>
      <c r="K1145" s="275"/>
      <c r="L1145" s="275"/>
      <c r="M1145" s="275"/>
      <c r="N1145" s="260"/>
      <c r="O1145" s="99"/>
      <c r="P1145" s="99"/>
      <c r="Q1145" s="99"/>
      <c r="R1145" s="99"/>
      <c r="S1145" s="99"/>
      <c r="T1145" s="99"/>
      <c r="U1145" s="99"/>
      <c r="V1145" s="99"/>
      <c r="W1145" s="99"/>
      <c r="X1145" s="99"/>
      <c r="Y1145" s="99"/>
      <c r="Z1145" s="99"/>
      <c r="AB1145" s="84"/>
      <c r="AC1145" s="84"/>
      <c r="AD1145" s="84"/>
      <c r="AE1145" s="84"/>
      <c r="AF1145" s="84"/>
      <c r="AG1145" s="84"/>
      <c r="AH1145" s="84"/>
      <c r="AI1145" s="84"/>
    </row>
    <row r="1146" ht="15.75" customHeight="1">
      <c r="A1146" s="84"/>
      <c r="B1146" s="84"/>
      <c r="C1146" s="84"/>
      <c r="D1146" s="84"/>
      <c r="E1146" s="84"/>
      <c r="F1146" s="276"/>
      <c r="H1146" s="275"/>
      <c r="I1146" s="275"/>
      <c r="J1146" s="275"/>
      <c r="K1146" s="275"/>
      <c r="L1146" s="275"/>
      <c r="M1146" s="275"/>
      <c r="N1146" s="260"/>
      <c r="O1146" s="99"/>
      <c r="P1146" s="99"/>
      <c r="Q1146" s="99"/>
      <c r="R1146" s="99"/>
      <c r="S1146" s="99"/>
      <c r="T1146" s="99"/>
      <c r="U1146" s="99"/>
      <c r="V1146" s="99"/>
      <c r="W1146" s="99"/>
      <c r="X1146" s="99"/>
      <c r="Y1146" s="99"/>
      <c r="Z1146" s="99"/>
      <c r="AB1146" s="84"/>
      <c r="AC1146" s="84"/>
      <c r="AD1146" s="84"/>
      <c r="AE1146" s="84"/>
      <c r="AF1146" s="84"/>
      <c r="AG1146" s="84"/>
      <c r="AH1146" s="84"/>
      <c r="AI1146" s="84"/>
    </row>
    <row r="1147" ht="15.75" customHeight="1">
      <c r="A1147" s="84"/>
      <c r="B1147" s="84"/>
      <c r="C1147" s="84"/>
      <c r="D1147" s="84"/>
      <c r="E1147" s="84"/>
      <c r="F1147" s="276"/>
      <c r="H1147" s="275"/>
      <c r="I1147" s="275"/>
      <c r="J1147" s="275"/>
      <c r="K1147" s="275"/>
      <c r="L1147" s="275"/>
      <c r="M1147" s="275"/>
      <c r="N1147" s="260"/>
      <c r="O1147" s="99"/>
      <c r="P1147" s="99"/>
      <c r="Q1147" s="99"/>
      <c r="R1147" s="99"/>
      <c r="S1147" s="99"/>
      <c r="T1147" s="99"/>
      <c r="U1147" s="99"/>
      <c r="V1147" s="99"/>
      <c r="W1147" s="99"/>
      <c r="X1147" s="99"/>
      <c r="Y1147" s="99"/>
      <c r="Z1147" s="99"/>
      <c r="AB1147" s="84"/>
      <c r="AC1147" s="84"/>
      <c r="AD1147" s="84"/>
      <c r="AE1147" s="84"/>
      <c r="AF1147" s="84"/>
      <c r="AG1147" s="84"/>
      <c r="AH1147" s="84"/>
      <c r="AI1147" s="84"/>
    </row>
    <row r="1148" ht="15.75" customHeight="1">
      <c r="A1148" s="84"/>
      <c r="B1148" s="84"/>
      <c r="C1148" s="84"/>
      <c r="D1148" s="84"/>
      <c r="E1148" s="84"/>
      <c r="F1148" s="276"/>
      <c r="H1148" s="275"/>
      <c r="I1148" s="275"/>
      <c r="J1148" s="275"/>
      <c r="K1148" s="275"/>
      <c r="L1148" s="275"/>
      <c r="M1148" s="275"/>
      <c r="N1148" s="260"/>
      <c r="O1148" s="99"/>
      <c r="P1148" s="99"/>
      <c r="Q1148" s="99"/>
      <c r="R1148" s="99"/>
      <c r="S1148" s="99"/>
      <c r="T1148" s="99"/>
      <c r="U1148" s="99"/>
      <c r="V1148" s="99"/>
      <c r="W1148" s="99"/>
      <c r="X1148" s="99"/>
      <c r="Y1148" s="99"/>
      <c r="Z1148" s="99"/>
      <c r="AB1148" s="84"/>
      <c r="AC1148" s="84"/>
      <c r="AD1148" s="84"/>
      <c r="AE1148" s="84"/>
      <c r="AF1148" s="84"/>
      <c r="AG1148" s="84"/>
      <c r="AH1148" s="84"/>
      <c r="AI1148" s="84"/>
    </row>
    <row r="1149" ht="15.75" customHeight="1">
      <c r="A1149" s="84"/>
      <c r="B1149" s="84"/>
      <c r="C1149" s="84"/>
      <c r="D1149" s="84"/>
      <c r="E1149" s="84"/>
      <c r="F1149" s="276"/>
      <c r="H1149" s="275"/>
      <c r="I1149" s="275"/>
      <c r="J1149" s="275"/>
      <c r="K1149" s="275"/>
      <c r="L1149" s="275"/>
      <c r="M1149" s="275"/>
      <c r="N1149" s="260"/>
      <c r="O1149" s="99"/>
      <c r="P1149" s="99"/>
      <c r="Q1149" s="99"/>
      <c r="R1149" s="99"/>
      <c r="S1149" s="99"/>
      <c r="T1149" s="99"/>
      <c r="U1149" s="99"/>
      <c r="V1149" s="99"/>
      <c r="W1149" s="99"/>
      <c r="X1149" s="99"/>
      <c r="Y1149" s="99"/>
      <c r="Z1149" s="99"/>
      <c r="AB1149" s="84"/>
      <c r="AC1149" s="84"/>
      <c r="AD1149" s="84"/>
      <c r="AE1149" s="84"/>
      <c r="AF1149" s="84"/>
      <c r="AG1149" s="84"/>
      <c r="AH1149" s="84"/>
      <c r="AI1149" s="84"/>
    </row>
    <row r="1150" ht="15.75" customHeight="1">
      <c r="A1150" s="84"/>
      <c r="B1150" s="84"/>
      <c r="C1150" s="84"/>
      <c r="D1150" s="84"/>
      <c r="E1150" s="84"/>
      <c r="F1150" s="276"/>
      <c r="H1150" s="275"/>
      <c r="I1150" s="275"/>
      <c r="J1150" s="275"/>
      <c r="K1150" s="275"/>
      <c r="L1150" s="275"/>
      <c r="M1150" s="275"/>
      <c r="N1150" s="260"/>
      <c r="O1150" s="99"/>
      <c r="P1150" s="99"/>
      <c r="Q1150" s="99"/>
      <c r="R1150" s="99"/>
      <c r="S1150" s="99"/>
      <c r="T1150" s="99"/>
      <c r="U1150" s="99"/>
      <c r="V1150" s="99"/>
      <c r="W1150" s="99"/>
      <c r="X1150" s="99"/>
      <c r="Y1150" s="99"/>
      <c r="Z1150" s="99"/>
      <c r="AB1150" s="84"/>
      <c r="AC1150" s="84"/>
      <c r="AD1150" s="84"/>
      <c r="AE1150" s="84"/>
      <c r="AF1150" s="84"/>
      <c r="AG1150" s="84"/>
      <c r="AH1150" s="84"/>
      <c r="AI1150" s="84"/>
    </row>
    <row r="1151" ht="15.75" customHeight="1">
      <c r="A1151" s="84"/>
      <c r="B1151" s="84"/>
      <c r="C1151" s="84"/>
      <c r="D1151" s="84"/>
      <c r="E1151" s="84"/>
      <c r="F1151" s="276"/>
      <c r="H1151" s="275"/>
      <c r="I1151" s="275"/>
      <c r="J1151" s="275"/>
      <c r="K1151" s="275"/>
      <c r="L1151" s="275"/>
      <c r="M1151" s="275"/>
      <c r="N1151" s="260"/>
      <c r="O1151" s="99"/>
      <c r="P1151" s="99"/>
      <c r="Q1151" s="99"/>
      <c r="R1151" s="99"/>
      <c r="S1151" s="99"/>
      <c r="T1151" s="99"/>
      <c r="U1151" s="99"/>
      <c r="V1151" s="99"/>
      <c r="W1151" s="99"/>
      <c r="X1151" s="99"/>
      <c r="Y1151" s="99"/>
      <c r="Z1151" s="99"/>
      <c r="AB1151" s="84"/>
      <c r="AC1151" s="84"/>
      <c r="AD1151" s="84"/>
      <c r="AE1151" s="84"/>
      <c r="AF1151" s="84"/>
      <c r="AG1151" s="84"/>
      <c r="AH1151" s="84"/>
      <c r="AI1151" s="84"/>
    </row>
    <row r="1152" ht="15.75" customHeight="1">
      <c r="A1152" s="84"/>
      <c r="B1152" s="84"/>
      <c r="C1152" s="84"/>
      <c r="D1152" s="84"/>
      <c r="E1152" s="84"/>
      <c r="F1152" s="276"/>
      <c r="H1152" s="275"/>
      <c r="I1152" s="275"/>
      <c r="J1152" s="275"/>
      <c r="K1152" s="275"/>
      <c r="L1152" s="275"/>
      <c r="M1152" s="275"/>
      <c r="N1152" s="260"/>
      <c r="O1152" s="99"/>
      <c r="P1152" s="99"/>
      <c r="Q1152" s="99"/>
      <c r="R1152" s="99"/>
      <c r="S1152" s="99"/>
      <c r="T1152" s="99"/>
      <c r="U1152" s="99"/>
      <c r="V1152" s="99"/>
      <c r="W1152" s="99"/>
      <c r="X1152" s="99"/>
      <c r="Y1152" s="99"/>
      <c r="Z1152" s="99"/>
      <c r="AB1152" s="84"/>
      <c r="AC1152" s="84"/>
      <c r="AD1152" s="84"/>
      <c r="AE1152" s="84"/>
      <c r="AF1152" s="84"/>
      <c r="AG1152" s="84"/>
      <c r="AH1152" s="84"/>
      <c r="AI1152" s="84"/>
    </row>
    <row r="1153" ht="15.75" customHeight="1">
      <c r="A1153" s="84"/>
      <c r="B1153" s="84"/>
      <c r="C1153" s="84"/>
      <c r="D1153" s="84"/>
      <c r="E1153" s="84"/>
      <c r="F1153" s="276"/>
      <c r="H1153" s="275"/>
      <c r="I1153" s="275"/>
      <c r="J1153" s="275"/>
      <c r="K1153" s="275"/>
      <c r="L1153" s="275"/>
      <c r="M1153" s="275"/>
      <c r="N1153" s="260"/>
      <c r="O1153" s="99"/>
      <c r="P1153" s="99"/>
      <c r="Q1153" s="99"/>
      <c r="R1153" s="99"/>
      <c r="S1153" s="99"/>
      <c r="T1153" s="99"/>
      <c r="U1153" s="99"/>
      <c r="V1153" s="99"/>
      <c r="W1153" s="99"/>
      <c r="X1153" s="99"/>
      <c r="Y1153" s="99"/>
      <c r="Z1153" s="99"/>
      <c r="AB1153" s="84"/>
      <c r="AC1153" s="84"/>
      <c r="AD1153" s="84"/>
      <c r="AE1153" s="84"/>
      <c r="AF1153" s="84"/>
      <c r="AG1153" s="84"/>
      <c r="AH1153" s="84"/>
      <c r="AI1153" s="84"/>
    </row>
    <row r="1154" ht="15.75" customHeight="1">
      <c r="A1154" s="84"/>
      <c r="B1154" s="84"/>
      <c r="C1154" s="84"/>
      <c r="D1154" s="84"/>
      <c r="E1154" s="84"/>
      <c r="F1154" s="276"/>
      <c r="H1154" s="275"/>
      <c r="I1154" s="275"/>
      <c r="J1154" s="275"/>
      <c r="K1154" s="275"/>
      <c r="L1154" s="275"/>
      <c r="M1154" s="275"/>
      <c r="N1154" s="260"/>
      <c r="O1154" s="99"/>
      <c r="P1154" s="99"/>
      <c r="Q1154" s="99"/>
      <c r="R1154" s="99"/>
      <c r="S1154" s="99"/>
      <c r="T1154" s="99"/>
      <c r="U1154" s="99"/>
      <c r="V1154" s="99"/>
      <c r="W1154" s="99"/>
      <c r="X1154" s="99"/>
      <c r="Y1154" s="99"/>
      <c r="Z1154" s="99"/>
      <c r="AB1154" s="84"/>
      <c r="AC1154" s="84"/>
      <c r="AD1154" s="84"/>
      <c r="AE1154" s="84"/>
      <c r="AF1154" s="84"/>
      <c r="AG1154" s="84"/>
      <c r="AH1154" s="84"/>
      <c r="AI1154" s="84"/>
    </row>
    <row r="1155" ht="15.75" customHeight="1">
      <c r="A1155" s="84"/>
      <c r="B1155" s="84"/>
      <c r="C1155" s="84"/>
      <c r="D1155" s="84"/>
      <c r="E1155" s="84"/>
      <c r="F1155" s="276"/>
      <c r="H1155" s="275"/>
      <c r="I1155" s="275"/>
      <c r="J1155" s="275"/>
      <c r="K1155" s="275"/>
      <c r="L1155" s="275"/>
      <c r="M1155" s="275"/>
      <c r="N1155" s="260"/>
      <c r="O1155" s="99"/>
      <c r="P1155" s="99"/>
      <c r="Q1155" s="99"/>
      <c r="R1155" s="99"/>
      <c r="S1155" s="99"/>
      <c r="T1155" s="99"/>
      <c r="U1155" s="99"/>
      <c r="V1155" s="99"/>
      <c r="W1155" s="99"/>
      <c r="X1155" s="99"/>
      <c r="Y1155" s="99"/>
      <c r="Z1155" s="99"/>
      <c r="AB1155" s="84"/>
      <c r="AC1155" s="84"/>
      <c r="AD1155" s="84"/>
      <c r="AE1155" s="84"/>
      <c r="AF1155" s="84"/>
      <c r="AG1155" s="84"/>
      <c r="AH1155" s="84"/>
      <c r="AI1155" s="84"/>
    </row>
    <row r="1156" ht="15.75" customHeight="1">
      <c r="A1156" s="84"/>
      <c r="B1156" s="84"/>
      <c r="C1156" s="84"/>
      <c r="D1156" s="84"/>
      <c r="E1156" s="84"/>
      <c r="F1156" s="276"/>
      <c r="H1156" s="275"/>
      <c r="I1156" s="275"/>
      <c r="J1156" s="275"/>
      <c r="K1156" s="275"/>
      <c r="L1156" s="275"/>
      <c r="M1156" s="275"/>
      <c r="N1156" s="260"/>
      <c r="O1156" s="99"/>
      <c r="P1156" s="99"/>
      <c r="Q1156" s="99"/>
      <c r="R1156" s="99"/>
      <c r="S1156" s="99"/>
      <c r="T1156" s="99"/>
      <c r="U1156" s="99"/>
      <c r="V1156" s="99"/>
      <c r="W1156" s="99"/>
      <c r="X1156" s="99"/>
      <c r="Y1156" s="99"/>
      <c r="Z1156" s="99"/>
      <c r="AB1156" s="84"/>
      <c r="AC1156" s="84"/>
      <c r="AD1156" s="84"/>
      <c r="AE1156" s="84"/>
      <c r="AF1156" s="84"/>
      <c r="AG1156" s="84"/>
      <c r="AH1156" s="84"/>
      <c r="AI1156" s="84"/>
    </row>
    <row r="1157" ht="15.75" customHeight="1">
      <c r="A1157" s="84"/>
      <c r="B1157" s="84"/>
      <c r="C1157" s="84"/>
      <c r="D1157" s="84"/>
      <c r="E1157" s="84"/>
      <c r="F1157" s="276"/>
      <c r="H1157" s="275"/>
      <c r="I1157" s="275"/>
      <c r="J1157" s="275"/>
      <c r="K1157" s="275"/>
      <c r="L1157" s="275"/>
      <c r="M1157" s="275"/>
      <c r="N1157" s="260"/>
      <c r="O1157" s="99"/>
      <c r="P1157" s="99"/>
      <c r="Q1157" s="99"/>
      <c r="R1157" s="99"/>
      <c r="S1157" s="99"/>
      <c r="T1157" s="99"/>
      <c r="U1157" s="99"/>
      <c r="V1157" s="99"/>
      <c r="W1157" s="99"/>
      <c r="X1157" s="99"/>
      <c r="Y1157" s="99"/>
      <c r="Z1157" s="99"/>
      <c r="AB1157" s="84"/>
      <c r="AC1157" s="84"/>
      <c r="AD1157" s="84"/>
      <c r="AE1157" s="84"/>
      <c r="AF1157" s="84"/>
      <c r="AG1157" s="84"/>
      <c r="AH1157" s="84"/>
      <c r="AI1157" s="84"/>
    </row>
    <row r="1158" ht="15.75" customHeight="1">
      <c r="A1158" s="84"/>
      <c r="B1158" s="84"/>
      <c r="C1158" s="84"/>
      <c r="D1158" s="84"/>
      <c r="E1158" s="84"/>
      <c r="F1158" s="276"/>
      <c r="H1158" s="275"/>
      <c r="I1158" s="275"/>
      <c r="J1158" s="275"/>
      <c r="K1158" s="275"/>
      <c r="L1158" s="275"/>
      <c r="M1158" s="275"/>
      <c r="N1158" s="260"/>
      <c r="O1158" s="99"/>
      <c r="P1158" s="99"/>
      <c r="Q1158" s="99"/>
      <c r="R1158" s="99"/>
      <c r="S1158" s="99"/>
      <c r="T1158" s="99"/>
      <c r="U1158" s="99"/>
      <c r="V1158" s="99"/>
      <c r="W1158" s="99"/>
      <c r="X1158" s="99"/>
      <c r="Y1158" s="99"/>
      <c r="Z1158" s="99"/>
      <c r="AB1158" s="84"/>
      <c r="AC1158" s="84"/>
      <c r="AD1158" s="84"/>
      <c r="AE1158" s="84"/>
      <c r="AF1158" s="84"/>
      <c r="AG1158" s="84"/>
      <c r="AH1158" s="84"/>
      <c r="AI1158" s="84"/>
    </row>
    <row r="1159" ht="15.75" customHeight="1">
      <c r="A1159" s="84"/>
      <c r="B1159" s="84"/>
      <c r="C1159" s="84"/>
      <c r="D1159" s="84"/>
      <c r="E1159" s="84"/>
      <c r="F1159" s="276"/>
      <c r="H1159" s="275"/>
      <c r="I1159" s="275"/>
      <c r="J1159" s="275"/>
      <c r="K1159" s="275"/>
      <c r="L1159" s="275"/>
      <c r="M1159" s="275"/>
      <c r="N1159" s="260"/>
      <c r="O1159" s="99"/>
      <c r="P1159" s="99"/>
      <c r="Q1159" s="99"/>
      <c r="R1159" s="99"/>
      <c r="S1159" s="99"/>
      <c r="T1159" s="99"/>
      <c r="U1159" s="99"/>
      <c r="V1159" s="99"/>
      <c r="W1159" s="99"/>
      <c r="X1159" s="99"/>
      <c r="Y1159" s="99"/>
      <c r="Z1159" s="99"/>
      <c r="AB1159" s="84"/>
      <c r="AC1159" s="84"/>
      <c r="AD1159" s="84"/>
      <c r="AE1159" s="84"/>
      <c r="AF1159" s="84"/>
      <c r="AG1159" s="84"/>
      <c r="AH1159" s="84"/>
      <c r="AI1159" s="84"/>
    </row>
    <row r="1160" ht="15.75" customHeight="1">
      <c r="A1160" s="84"/>
      <c r="B1160" s="84"/>
      <c r="C1160" s="84"/>
      <c r="D1160" s="84"/>
      <c r="E1160" s="84"/>
      <c r="F1160" s="276"/>
      <c r="H1160" s="275"/>
      <c r="I1160" s="275"/>
      <c r="J1160" s="275"/>
      <c r="K1160" s="275"/>
      <c r="L1160" s="275"/>
      <c r="M1160" s="275"/>
      <c r="N1160" s="260"/>
      <c r="O1160" s="99"/>
      <c r="P1160" s="99"/>
      <c r="Q1160" s="99"/>
      <c r="R1160" s="99"/>
      <c r="S1160" s="99"/>
      <c r="T1160" s="99"/>
      <c r="U1160" s="99"/>
      <c r="V1160" s="99"/>
      <c r="W1160" s="99"/>
      <c r="X1160" s="99"/>
      <c r="Y1160" s="99"/>
      <c r="Z1160" s="99"/>
      <c r="AB1160" s="84"/>
      <c r="AC1160" s="84"/>
      <c r="AD1160" s="84"/>
      <c r="AE1160" s="84"/>
      <c r="AF1160" s="84"/>
      <c r="AG1160" s="84"/>
      <c r="AH1160" s="84"/>
      <c r="AI1160" s="84"/>
    </row>
    <row r="1161" ht="15.75" customHeight="1">
      <c r="A1161" s="84"/>
      <c r="B1161" s="84"/>
      <c r="C1161" s="84"/>
      <c r="D1161" s="84"/>
      <c r="E1161" s="84"/>
      <c r="F1161" s="276"/>
      <c r="H1161" s="275"/>
      <c r="I1161" s="275"/>
      <c r="J1161" s="275"/>
      <c r="K1161" s="275"/>
      <c r="L1161" s="275"/>
      <c r="M1161" s="275"/>
      <c r="N1161" s="260"/>
      <c r="O1161" s="99"/>
      <c r="P1161" s="99"/>
      <c r="Q1161" s="99"/>
      <c r="R1161" s="99"/>
      <c r="S1161" s="99"/>
      <c r="T1161" s="99"/>
      <c r="U1161" s="99"/>
      <c r="V1161" s="99"/>
      <c r="W1161" s="99"/>
      <c r="X1161" s="99"/>
      <c r="Y1161" s="99"/>
      <c r="Z1161" s="99"/>
      <c r="AB1161" s="84"/>
      <c r="AC1161" s="84"/>
      <c r="AD1161" s="84"/>
      <c r="AE1161" s="84"/>
      <c r="AF1161" s="84"/>
      <c r="AG1161" s="84"/>
      <c r="AH1161" s="84"/>
      <c r="AI1161" s="84"/>
    </row>
    <row r="1162" ht="15.75" customHeight="1">
      <c r="A1162" s="84"/>
      <c r="B1162" s="84"/>
      <c r="C1162" s="84"/>
      <c r="D1162" s="84"/>
      <c r="E1162" s="84"/>
      <c r="F1162" s="276"/>
      <c r="H1162" s="275"/>
      <c r="I1162" s="275"/>
      <c r="J1162" s="275"/>
      <c r="K1162" s="275"/>
      <c r="L1162" s="275"/>
      <c r="M1162" s="275"/>
      <c r="N1162" s="260"/>
      <c r="O1162" s="99"/>
      <c r="P1162" s="99"/>
      <c r="Q1162" s="99"/>
      <c r="R1162" s="99"/>
      <c r="S1162" s="99"/>
      <c r="T1162" s="99"/>
      <c r="U1162" s="99"/>
      <c r="V1162" s="99"/>
      <c r="W1162" s="99"/>
      <c r="X1162" s="99"/>
      <c r="Y1162" s="99"/>
      <c r="Z1162" s="99"/>
      <c r="AB1162" s="84"/>
      <c r="AC1162" s="84"/>
      <c r="AD1162" s="84"/>
      <c r="AE1162" s="84"/>
      <c r="AF1162" s="84"/>
      <c r="AG1162" s="84"/>
      <c r="AH1162" s="84"/>
      <c r="AI1162" s="84"/>
    </row>
    <row r="1163" ht="15.75" customHeight="1">
      <c r="A1163" s="84"/>
      <c r="B1163" s="84"/>
      <c r="C1163" s="84"/>
      <c r="D1163" s="84"/>
      <c r="E1163" s="84"/>
      <c r="F1163" s="276"/>
      <c r="H1163" s="275"/>
      <c r="I1163" s="275"/>
      <c r="J1163" s="275"/>
      <c r="K1163" s="275"/>
      <c r="L1163" s="275"/>
      <c r="M1163" s="275"/>
      <c r="N1163" s="260"/>
      <c r="O1163" s="99"/>
      <c r="P1163" s="99"/>
      <c r="Q1163" s="99"/>
      <c r="R1163" s="99"/>
      <c r="S1163" s="99"/>
      <c r="T1163" s="99"/>
      <c r="U1163" s="99"/>
      <c r="V1163" s="99"/>
      <c r="W1163" s="99"/>
      <c r="X1163" s="99"/>
      <c r="Y1163" s="99"/>
      <c r="Z1163" s="99"/>
      <c r="AB1163" s="84"/>
      <c r="AC1163" s="84"/>
      <c r="AD1163" s="84"/>
      <c r="AE1163" s="84"/>
      <c r="AF1163" s="84"/>
      <c r="AG1163" s="84"/>
      <c r="AH1163" s="84"/>
      <c r="AI1163" s="84"/>
    </row>
    <row r="1164" ht="15.75" customHeight="1">
      <c r="A1164" s="84"/>
      <c r="B1164" s="84"/>
      <c r="C1164" s="84"/>
      <c r="D1164" s="84"/>
      <c r="E1164" s="84"/>
      <c r="F1164" s="276"/>
      <c r="H1164" s="275"/>
      <c r="I1164" s="275"/>
      <c r="J1164" s="275"/>
      <c r="K1164" s="275"/>
      <c r="L1164" s="275"/>
      <c r="M1164" s="275"/>
      <c r="N1164" s="260"/>
      <c r="O1164" s="99"/>
      <c r="P1164" s="99"/>
      <c r="Q1164" s="99"/>
      <c r="R1164" s="99"/>
      <c r="S1164" s="99"/>
      <c r="T1164" s="99"/>
      <c r="U1164" s="99"/>
      <c r="V1164" s="99"/>
      <c r="W1164" s="99"/>
      <c r="X1164" s="99"/>
      <c r="Y1164" s="99"/>
      <c r="Z1164" s="99"/>
      <c r="AB1164" s="84"/>
      <c r="AC1164" s="84"/>
      <c r="AD1164" s="84"/>
      <c r="AE1164" s="84"/>
      <c r="AF1164" s="84"/>
      <c r="AG1164" s="84"/>
      <c r="AH1164" s="84"/>
      <c r="AI1164" s="84"/>
    </row>
    <row r="1165" ht="15.75" customHeight="1">
      <c r="A1165" s="84"/>
      <c r="B1165" s="84"/>
      <c r="C1165" s="84"/>
      <c r="D1165" s="84"/>
      <c r="E1165" s="84"/>
      <c r="F1165" s="276"/>
      <c r="H1165" s="275"/>
      <c r="I1165" s="275"/>
      <c r="J1165" s="275"/>
      <c r="K1165" s="275"/>
      <c r="L1165" s="275"/>
      <c r="M1165" s="275"/>
      <c r="N1165" s="260"/>
      <c r="O1165" s="99"/>
      <c r="P1165" s="99"/>
      <c r="Q1165" s="99"/>
      <c r="R1165" s="99"/>
      <c r="S1165" s="99"/>
      <c r="T1165" s="99"/>
      <c r="U1165" s="99"/>
      <c r="V1165" s="99"/>
      <c r="W1165" s="99"/>
      <c r="X1165" s="99"/>
      <c r="Y1165" s="99"/>
      <c r="Z1165" s="99"/>
      <c r="AB1165" s="84"/>
      <c r="AC1165" s="84"/>
      <c r="AD1165" s="84"/>
      <c r="AE1165" s="84"/>
      <c r="AF1165" s="84"/>
      <c r="AG1165" s="84"/>
      <c r="AH1165" s="84"/>
      <c r="AI1165" s="84"/>
    </row>
    <row r="1166" ht="15.75" customHeight="1">
      <c r="A1166" s="84"/>
      <c r="B1166" s="84"/>
      <c r="C1166" s="84"/>
      <c r="D1166" s="84"/>
      <c r="E1166" s="84"/>
      <c r="F1166" s="276"/>
      <c r="H1166" s="275"/>
      <c r="I1166" s="275"/>
      <c r="J1166" s="275"/>
      <c r="K1166" s="275"/>
      <c r="L1166" s="275"/>
      <c r="M1166" s="275"/>
      <c r="N1166" s="260"/>
      <c r="O1166" s="99"/>
      <c r="P1166" s="99"/>
      <c r="Q1166" s="99"/>
      <c r="R1166" s="99"/>
      <c r="S1166" s="99"/>
      <c r="T1166" s="99"/>
      <c r="U1166" s="99"/>
      <c r="V1166" s="99"/>
      <c r="W1166" s="99"/>
      <c r="X1166" s="99"/>
      <c r="Y1166" s="99"/>
      <c r="Z1166" s="99"/>
      <c r="AB1166" s="84"/>
      <c r="AC1166" s="84"/>
      <c r="AD1166" s="84"/>
      <c r="AE1166" s="84"/>
      <c r="AF1166" s="84"/>
      <c r="AG1166" s="84"/>
      <c r="AH1166" s="84"/>
      <c r="AI1166" s="84"/>
    </row>
    <row r="1167" ht="15.75" customHeight="1">
      <c r="A1167" s="84"/>
      <c r="B1167" s="84"/>
      <c r="C1167" s="84"/>
      <c r="D1167" s="84"/>
      <c r="E1167" s="84"/>
      <c r="F1167" s="276"/>
      <c r="H1167" s="275"/>
      <c r="I1167" s="275"/>
      <c r="J1167" s="275"/>
      <c r="K1167" s="275"/>
      <c r="L1167" s="275"/>
      <c r="M1167" s="275"/>
      <c r="N1167" s="260"/>
      <c r="O1167" s="99"/>
      <c r="P1167" s="99"/>
      <c r="Q1167" s="99"/>
      <c r="R1167" s="99"/>
      <c r="S1167" s="99"/>
      <c r="T1167" s="99"/>
      <c r="U1167" s="99"/>
      <c r="V1167" s="99"/>
      <c r="W1167" s="99"/>
      <c r="X1167" s="99"/>
      <c r="Y1167" s="99"/>
      <c r="Z1167" s="99"/>
      <c r="AB1167" s="84"/>
      <c r="AC1167" s="84"/>
      <c r="AD1167" s="84"/>
      <c r="AE1167" s="84"/>
      <c r="AF1167" s="84"/>
      <c r="AG1167" s="84"/>
      <c r="AH1167" s="84"/>
      <c r="AI1167" s="84"/>
    </row>
    <row r="1168" ht="15.75" customHeight="1">
      <c r="A1168" s="84"/>
      <c r="B1168" s="84"/>
      <c r="C1168" s="84"/>
      <c r="D1168" s="84"/>
      <c r="E1168" s="84"/>
      <c r="F1168" s="276"/>
      <c r="H1168" s="275"/>
      <c r="I1168" s="275"/>
      <c r="J1168" s="275"/>
      <c r="K1168" s="275"/>
      <c r="L1168" s="275"/>
      <c r="M1168" s="275"/>
      <c r="N1168" s="260"/>
      <c r="O1168" s="99"/>
      <c r="P1168" s="99"/>
      <c r="Q1168" s="99"/>
      <c r="R1168" s="99"/>
      <c r="S1168" s="99"/>
      <c r="T1168" s="99"/>
      <c r="U1168" s="99"/>
      <c r="V1168" s="99"/>
      <c r="W1168" s="99"/>
      <c r="X1168" s="99"/>
      <c r="Y1168" s="99"/>
      <c r="Z1168" s="99"/>
      <c r="AB1168" s="84"/>
      <c r="AC1168" s="84"/>
      <c r="AD1168" s="84"/>
      <c r="AE1168" s="84"/>
      <c r="AF1168" s="84"/>
      <c r="AG1168" s="84"/>
      <c r="AH1168" s="84"/>
      <c r="AI1168" s="84"/>
    </row>
    <row r="1169" ht="15.75" customHeight="1">
      <c r="A1169" s="84"/>
      <c r="B1169" s="84"/>
      <c r="C1169" s="84"/>
      <c r="D1169" s="84"/>
      <c r="E1169" s="84"/>
      <c r="F1169" s="276"/>
      <c r="H1169" s="275"/>
      <c r="I1169" s="275"/>
      <c r="J1169" s="275"/>
      <c r="K1169" s="275"/>
      <c r="L1169" s="275"/>
      <c r="M1169" s="275"/>
      <c r="N1169" s="260"/>
      <c r="O1169" s="99"/>
      <c r="P1169" s="99"/>
      <c r="Q1169" s="99"/>
      <c r="R1169" s="99"/>
      <c r="S1169" s="99"/>
      <c r="T1169" s="99"/>
      <c r="U1169" s="99"/>
      <c r="V1169" s="99"/>
      <c r="W1169" s="99"/>
      <c r="X1169" s="99"/>
      <c r="Y1169" s="99"/>
      <c r="Z1169" s="99"/>
      <c r="AB1169" s="84"/>
      <c r="AC1169" s="84"/>
      <c r="AD1169" s="84"/>
      <c r="AE1169" s="84"/>
      <c r="AF1169" s="84"/>
      <c r="AG1169" s="84"/>
      <c r="AH1169" s="84"/>
      <c r="AI1169" s="84"/>
    </row>
    <row r="1170" ht="15.75" customHeight="1">
      <c r="A1170" s="84"/>
      <c r="B1170" s="84"/>
      <c r="C1170" s="84"/>
      <c r="D1170" s="84"/>
      <c r="E1170" s="84"/>
      <c r="F1170" s="276"/>
      <c r="H1170" s="275"/>
      <c r="I1170" s="275"/>
      <c r="J1170" s="275"/>
      <c r="K1170" s="275"/>
      <c r="L1170" s="275"/>
      <c r="M1170" s="275"/>
      <c r="N1170" s="260"/>
      <c r="O1170" s="99"/>
      <c r="P1170" s="99"/>
      <c r="Q1170" s="99"/>
      <c r="R1170" s="99"/>
      <c r="S1170" s="99"/>
      <c r="T1170" s="99"/>
      <c r="U1170" s="99"/>
      <c r="V1170" s="99"/>
      <c r="W1170" s="99"/>
      <c r="X1170" s="99"/>
      <c r="Y1170" s="99"/>
      <c r="Z1170" s="99"/>
      <c r="AB1170" s="84"/>
      <c r="AC1170" s="84"/>
      <c r="AD1170" s="84"/>
      <c r="AE1170" s="84"/>
      <c r="AF1170" s="84"/>
      <c r="AG1170" s="84"/>
      <c r="AH1170" s="84"/>
      <c r="AI1170" s="84"/>
    </row>
    <row r="1171" ht="15.75" customHeight="1">
      <c r="A1171" s="84"/>
      <c r="B1171" s="84"/>
      <c r="C1171" s="84"/>
      <c r="D1171" s="84"/>
      <c r="E1171" s="84"/>
      <c r="F1171" s="276"/>
      <c r="H1171" s="275"/>
      <c r="I1171" s="275"/>
      <c r="J1171" s="275"/>
      <c r="K1171" s="275"/>
      <c r="L1171" s="275"/>
      <c r="M1171" s="275"/>
      <c r="N1171" s="260"/>
      <c r="O1171" s="99"/>
      <c r="P1171" s="99"/>
      <c r="Q1171" s="99"/>
      <c r="R1171" s="99"/>
      <c r="S1171" s="99"/>
      <c r="T1171" s="99"/>
      <c r="U1171" s="99"/>
      <c r="V1171" s="99"/>
      <c r="W1171" s="99"/>
      <c r="X1171" s="99"/>
      <c r="Y1171" s="99"/>
      <c r="Z1171" s="99"/>
      <c r="AB1171" s="84"/>
      <c r="AC1171" s="84"/>
      <c r="AD1171" s="84"/>
      <c r="AE1171" s="84"/>
      <c r="AF1171" s="84"/>
      <c r="AG1171" s="84"/>
      <c r="AH1171" s="84"/>
      <c r="AI1171" s="84"/>
    </row>
    <row r="1172" ht="15.75" customHeight="1">
      <c r="A1172" s="84"/>
      <c r="B1172" s="84"/>
      <c r="C1172" s="84"/>
      <c r="D1172" s="84"/>
      <c r="E1172" s="84"/>
      <c r="F1172" s="276"/>
      <c r="H1172" s="275"/>
      <c r="I1172" s="275"/>
      <c r="J1172" s="275"/>
      <c r="K1172" s="275"/>
      <c r="L1172" s="275"/>
      <c r="M1172" s="275"/>
      <c r="N1172" s="260"/>
      <c r="O1172" s="99"/>
      <c r="P1172" s="99"/>
      <c r="Q1172" s="99"/>
      <c r="R1172" s="99"/>
      <c r="S1172" s="99"/>
      <c r="T1172" s="99"/>
      <c r="U1172" s="99"/>
      <c r="V1172" s="99"/>
      <c r="W1172" s="99"/>
      <c r="X1172" s="99"/>
      <c r="Y1172" s="99"/>
      <c r="Z1172" s="99"/>
      <c r="AB1172" s="84"/>
      <c r="AC1172" s="84"/>
      <c r="AD1172" s="84"/>
      <c r="AE1172" s="84"/>
      <c r="AF1172" s="84"/>
      <c r="AG1172" s="84"/>
      <c r="AH1172" s="84"/>
      <c r="AI1172" s="84"/>
    </row>
    <row r="1173" ht="15.75" customHeight="1">
      <c r="A1173" s="84"/>
      <c r="B1173" s="84"/>
      <c r="C1173" s="84"/>
      <c r="D1173" s="84"/>
      <c r="E1173" s="84"/>
      <c r="F1173" s="276"/>
      <c r="H1173" s="275"/>
      <c r="I1173" s="275"/>
      <c r="J1173" s="275"/>
      <c r="K1173" s="275"/>
      <c r="L1173" s="275"/>
      <c r="M1173" s="275"/>
      <c r="N1173" s="260"/>
      <c r="O1173" s="99"/>
      <c r="P1173" s="99"/>
      <c r="Q1173" s="99"/>
      <c r="R1173" s="99"/>
      <c r="S1173" s="99"/>
      <c r="T1173" s="99"/>
      <c r="U1173" s="99"/>
      <c r="V1173" s="99"/>
      <c r="W1173" s="99"/>
      <c r="X1173" s="99"/>
      <c r="Y1173" s="99"/>
      <c r="Z1173" s="99"/>
      <c r="AB1173" s="84"/>
      <c r="AC1173" s="84"/>
      <c r="AD1173" s="84"/>
      <c r="AE1173" s="84"/>
      <c r="AF1173" s="84"/>
      <c r="AG1173" s="84"/>
      <c r="AH1173" s="84"/>
      <c r="AI1173" s="84"/>
    </row>
    <row r="1174" ht="15.75" customHeight="1">
      <c r="A1174" s="84"/>
      <c r="B1174" s="84"/>
      <c r="C1174" s="84"/>
      <c r="D1174" s="84"/>
      <c r="E1174" s="84"/>
      <c r="F1174" s="276"/>
      <c r="H1174" s="275"/>
      <c r="I1174" s="275"/>
      <c r="J1174" s="275"/>
      <c r="K1174" s="275"/>
      <c r="L1174" s="275"/>
      <c r="M1174" s="275"/>
      <c r="N1174" s="260"/>
      <c r="O1174" s="99"/>
      <c r="P1174" s="99"/>
      <c r="Q1174" s="99"/>
      <c r="R1174" s="99"/>
      <c r="S1174" s="99"/>
      <c r="T1174" s="99"/>
      <c r="U1174" s="99"/>
      <c r="V1174" s="99"/>
      <c r="W1174" s="99"/>
      <c r="X1174" s="99"/>
      <c r="Y1174" s="99"/>
      <c r="Z1174" s="99"/>
      <c r="AB1174" s="84"/>
      <c r="AC1174" s="84"/>
      <c r="AD1174" s="84"/>
      <c r="AE1174" s="84"/>
      <c r="AF1174" s="84"/>
      <c r="AG1174" s="84"/>
      <c r="AH1174" s="84"/>
      <c r="AI1174" s="84"/>
    </row>
    <row r="1175" ht="15.75" customHeight="1">
      <c r="A1175" s="84"/>
      <c r="B1175" s="84"/>
      <c r="C1175" s="84"/>
      <c r="D1175" s="84"/>
      <c r="E1175" s="84"/>
      <c r="F1175" s="276"/>
      <c r="H1175" s="275"/>
      <c r="I1175" s="275"/>
      <c r="J1175" s="275"/>
      <c r="K1175" s="275"/>
      <c r="L1175" s="275"/>
      <c r="M1175" s="275"/>
      <c r="N1175" s="260"/>
      <c r="O1175" s="99"/>
      <c r="P1175" s="99"/>
      <c r="Q1175" s="99"/>
      <c r="R1175" s="99"/>
      <c r="S1175" s="99"/>
      <c r="T1175" s="99"/>
      <c r="U1175" s="99"/>
      <c r="V1175" s="99"/>
      <c r="W1175" s="99"/>
      <c r="X1175" s="99"/>
      <c r="Y1175" s="99"/>
      <c r="Z1175" s="99"/>
      <c r="AB1175" s="84"/>
      <c r="AC1175" s="84"/>
      <c r="AD1175" s="84"/>
      <c r="AE1175" s="84"/>
      <c r="AF1175" s="84"/>
      <c r="AG1175" s="84"/>
      <c r="AH1175" s="84"/>
      <c r="AI1175" s="84"/>
    </row>
    <row r="1176" ht="15.75" customHeight="1">
      <c r="A1176" s="84"/>
      <c r="B1176" s="84"/>
      <c r="C1176" s="84"/>
      <c r="D1176" s="84"/>
      <c r="E1176" s="84"/>
      <c r="F1176" s="276"/>
      <c r="H1176" s="275"/>
      <c r="I1176" s="275"/>
      <c r="J1176" s="275"/>
      <c r="K1176" s="275"/>
      <c r="L1176" s="275"/>
      <c r="M1176" s="275"/>
      <c r="N1176" s="260"/>
      <c r="O1176" s="99"/>
      <c r="P1176" s="99"/>
      <c r="Q1176" s="99"/>
      <c r="R1176" s="99"/>
      <c r="S1176" s="99"/>
      <c r="T1176" s="99"/>
      <c r="U1176" s="99"/>
      <c r="V1176" s="99"/>
      <c r="W1176" s="99"/>
      <c r="X1176" s="99"/>
      <c r="Y1176" s="99"/>
      <c r="Z1176" s="99"/>
      <c r="AB1176" s="84"/>
      <c r="AC1176" s="84"/>
      <c r="AD1176" s="84"/>
      <c r="AE1176" s="84"/>
      <c r="AF1176" s="84"/>
      <c r="AG1176" s="84"/>
      <c r="AH1176" s="84"/>
      <c r="AI1176" s="84"/>
    </row>
    <row r="1177" ht="15.75" customHeight="1">
      <c r="A1177" s="84"/>
      <c r="B1177" s="84"/>
      <c r="C1177" s="84"/>
      <c r="D1177" s="84"/>
      <c r="E1177" s="84"/>
      <c r="F1177" s="276"/>
      <c r="H1177" s="275"/>
      <c r="I1177" s="275"/>
      <c r="J1177" s="275"/>
      <c r="K1177" s="275"/>
      <c r="L1177" s="275"/>
      <c r="M1177" s="275"/>
      <c r="N1177" s="260"/>
      <c r="O1177" s="99"/>
      <c r="P1177" s="99"/>
      <c r="Q1177" s="99"/>
      <c r="R1177" s="99"/>
      <c r="S1177" s="99"/>
      <c r="T1177" s="99"/>
      <c r="U1177" s="99"/>
      <c r="V1177" s="99"/>
      <c r="W1177" s="99"/>
      <c r="X1177" s="99"/>
      <c r="Y1177" s="99"/>
      <c r="Z1177" s="99"/>
      <c r="AB1177" s="84"/>
      <c r="AC1177" s="84"/>
      <c r="AD1177" s="84"/>
      <c r="AE1177" s="84"/>
      <c r="AF1177" s="84"/>
      <c r="AG1177" s="84"/>
      <c r="AH1177" s="84"/>
      <c r="AI1177" s="84"/>
    </row>
    <row r="1178" ht="15.75" customHeight="1">
      <c r="A1178" s="84"/>
      <c r="B1178" s="84"/>
      <c r="C1178" s="84"/>
      <c r="D1178" s="84"/>
      <c r="E1178" s="84"/>
      <c r="F1178" s="276"/>
      <c r="H1178" s="275"/>
      <c r="I1178" s="275"/>
      <c r="J1178" s="275"/>
      <c r="K1178" s="275"/>
      <c r="L1178" s="275"/>
      <c r="M1178" s="275"/>
      <c r="N1178" s="260"/>
      <c r="O1178" s="99"/>
      <c r="P1178" s="99"/>
      <c r="Q1178" s="99"/>
      <c r="R1178" s="99"/>
      <c r="S1178" s="99"/>
      <c r="T1178" s="99"/>
      <c r="U1178" s="99"/>
      <c r="V1178" s="99"/>
      <c r="W1178" s="99"/>
      <c r="X1178" s="99"/>
      <c r="Y1178" s="99"/>
      <c r="Z1178" s="99"/>
      <c r="AB1178" s="84"/>
      <c r="AC1178" s="84"/>
      <c r="AD1178" s="84"/>
      <c r="AE1178" s="84"/>
      <c r="AF1178" s="84"/>
      <c r="AG1178" s="84"/>
      <c r="AH1178" s="84"/>
      <c r="AI1178" s="84"/>
    </row>
    <row r="1179" ht="15.75" customHeight="1">
      <c r="A1179" s="84"/>
      <c r="B1179" s="84"/>
      <c r="C1179" s="84"/>
      <c r="D1179" s="84"/>
      <c r="E1179" s="84"/>
      <c r="F1179" s="276"/>
      <c r="H1179" s="275"/>
      <c r="I1179" s="275"/>
      <c r="J1179" s="275"/>
      <c r="K1179" s="275"/>
      <c r="L1179" s="275"/>
      <c r="M1179" s="275"/>
      <c r="N1179" s="260"/>
      <c r="O1179" s="99"/>
      <c r="P1179" s="99"/>
      <c r="Q1179" s="99"/>
      <c r="R1179" s="99"/>
      <c r="S1179" s="99"/>
      <c r="T1179" s="99"/>
      <c r="U1179" s="99"/>
      <c r="V1179" s="99"/>
      <c r="W1179" s="99"/>
      <c r="X1179" s="99"/>
      <c r="Y1179" s="99"/>
      <c r="Z1179" s="99"/>
      <c r="AB1179" s="84"/>
      <c r="AC1179" s="84"/>
      <c r="AD1179" s="84"/>
      <c r="AE1179" s="84"/>
      <c r="AF1179" s="84"/>
      <c r="AG1179" s="84"/>
      <c r="AH1179" s="84"/>
      <c r="AI1179" s="84"/>
    </row>
    <row r="1180" ht="15.75" customHeight="1">
      <c r="A1180" s="84"/>
      <c r="B1180" s="84"/>
      <c r="C1180" s="84"/>
      <c r="D1180" s="84"/>
      <c r="E1180" s="84"/>
      <c r="F1180" s="276"/>
      <c r="H1180" s="275"/>
      <c r="I1180" s="275"/>
      <c r="J1180" s="275"/>
      <c r="K1180" s="275"/>
      <c r="L1180" s="275"/>
      <c r="M1180" s="275"/>
      <c r="N1180" s="260"/>
      <c r="O1180" s="99"/>
      <c r="P1180" s="99"/>
      <c r="Q1180" s="99"/>
      <c r="R1180" s="99"/>
      <c r="S1180" s="99"/>
      <c r="T1180" s="99"/>
      <c r="U1180" s="99"/>
      <c r="V1180" s="99"/>
      <c r="W1180" s="99"/>
      <c r="X1180" s="99"/>
      <c r="Y1180" s="99"/>
      <c r="Z1180" s="99"/>
      <c r="AB1180" s="84"/>
      <c r="AC1180" s="84"/>
      <c r="AD1180" s="84"/>
      <c r="AE1180" s="84"/>
      <c r="AF1180" s="84"/>
      <c r="AG1180" s="84"/>
      <c r="AH1180" s="84"/>
      <c r="AI1180" s="84"/>
    </row>
    <row r="1181" ht="15.75" customHeight="1">
      <c r="A1181" s="84"/>
      <c r="B1181" s="84"/>
      <c r="C1181" s="84"/>
      <c r="D1181" s="84"/>
      <c r="E1181" s="84"/>
      <c r="F1181" s="276"/>
      <c r="H1181" s="275"/>
      <c r="I1181" s="275"/>
      <c r="J1181" s="275"/>
      <c r="K1181" s="275"/>
      <c r="L1181" s="275"/>
      <c r="M1181" s="275"/>
      <c r="N1181" s="260"/>
      <c r="O1181" s="99"/>
      <c r="P1181" s="99"/>
      <c r="Q1181" s="99"/>
      <c r="R1181" s="99"/>
      <c r="S1181" s="99"/>
      <c r="T1181" s="99"/>
      <c r="U1181" s="99"/>
      <c r="V1181" s="99"/>
      <c r="W1181" s="99"/>
      <c r="X1181" s="99"/>
      <c r="Y1181" s="99"/>
      <c r="Z1181" s="99"/>
      <c r="AB1181" s="84"/>
      <c r="AC1181" s="84"/>
      <c r="AD1181" s="84"/>
      <c r="AE1181" s="84"/>
      <c r="AF1181" s="84"/>
      <c r="AG1181" s="84"/>
      <c r="AH1181" s="84"/>
      <c r="AI1181" s="84"/>
    </row>
    <row r="1182" ht="15.75" customHeight="1">
      <c r="A1182" s="84"/>
      <c r="B1182" s="84"/>
      <c r="C1182" s="84"/>
      <c r="D1182" s="84"/>
      <c r="E1182" s="84"/>
      <c r="F1182" s="276"/>
      <c r="H1182" s="275"/>
      <c r="I1182" s="275"/>
      <c r="J1182" s="275"/>
      <c r="K1182" s="275"/>
      <c r="L1182" s="275"/>
      <c r="M1182" s="275"/>
      <c r="N1182" s="260"/>
      <c r="O1182" s="99"/>
      <c r="P1182" s="99"/>
      <c r="Q1182" s="99"/>
      <c r="R1182" s="99"/>
      <c r="S1182" s="99"/>
      <c r="T1182" s="99"/>
      <c r="U1182" s="99"/>
      <c r="V1182" s="99"/>
      <c r="W1182" s="99"/>
      <c r="X1182" s="99"/>
      <c r="Y1182" s="99"/>
      <c r="Z1182" s="99"/>
      <c r="AB1182" s="84"/>
      <c r="AC1182" s="84"/>
      <c r="AD1182" s="84"/>
      <c r="AE1182" s="84"/>
      <c r="AF1182" s="84"/>
      <c r="AG1182" s="84"/>
      <c r="AH1182" s="84"/>
      <c r="AI1182" s="84"/>
    </row>
    <row r="1183" ht="15.75" customHeight="1">
      <c r="A1183" s="84"/>
      <c r="B1183" s="84"/>
      <c r="C1183" s="84"/>
      <c r="D1183" s="84"/>
      <c r="E1183" s="84"/>
      <c r="F1183" s="276"/>
      <c r="H1183" s="275"/>
      <c r="I1183" s="275"/>
      <c r="J1183" s="275"/>
      <c r="K1183" s="275"/>
      <c r="L1183" s="275"/>
      <c r="M1183" s="275"/>
      <c r="N1183" s="260"/>
      <c r="O1183" s="99"/>
      <c r="P1183" s="99"/>
      <c r="Q1183" s="99"/>
      <c r="R1183" s="99"/>
      <c r="S1183" s="99"/>
      <c r="T1183" s="99"/>
      <c r="U1183" s="99"/>
      <c r="V1183" s="99"/>
      <c r="W1183" s="99"/>
      <c r="X1183" s="99"/>
      <c r="Y1183" s="99"/>
      <c r="Z1183" s="99"/>
      <c r="AB1183" s="84"/>
      <c r="AC1183" s="84"/>
      <c r="AD1183" s="84"/>
      <c r="AE1183" s="84"/>
      <c r="AF1183" s="84"/>
      <c r="AG1183" s="84"/>
      <c r="AH1183" s="84"/>
      <c r="AI1183" s="84"/>
    </row>
    <row r="1184" ht="15.75" customHeight="1">
      <c r="A1184" s="84"/>
      <c r="B1184" s="84"/>
      <c r="C1184" s="84"/>
      <c r="D1184" s="84"/>
      <c r="E1184" s="84"/>
      <c r="F1184" s="276"/>
      <c r="H1184" s="275"/>
      <c r="I1184" s="275"/>
      <c r="J1184" s="275"/>
      <c r="K1184" s="275"/>
      <c r="L1184" s="275"/>
      <c r="M1184" s="275"/>
      <c r="N1184" s="260"/>
      <c r="O1184" s="99"/>
      <c r="P1184" s="99"/>
      <c r="Q1184" s="99"/>
      <c r="R1184" s="99"/>
      <c r="S1184" s="99"/>
      <c r="T1184" s="99"/>
      <c r="U1184" s="99"/>
      <c r="V1184" s="99"/>
      <c r="W1184" s="99"/>
      <c r="X1184" s="99"/>
      <c r="Y1184" s="99"/>
      <c r="Z1184" s="99"/>
      <c r="AB1184" s="84"/>
      <c r="AC1184" s="84"/>
      <c r="AD1184" s="84"/>
      <c r="AE1184" s="84"/>
      <c r="AF1184" s="84"/>
      <c r="AG1184" s="84"/>
      <c r="AH1184" s="84"/>
      <c r="AI1184" s="84"/>
    </row>
    <row r="1185" ht="15.75" customHeight="1">
      <c r="A1185" s="84"/>
      <c r="B1185" s="84"/>
      <c r="C1185" s="84"/>
      <c r="D1185" s="84"/>
      <c r="E1185" s="84"/>
      <c r="F1185" s="276"/>
      <c r="H1185" s="275"/>
      <c r="I1185" s="275"/>
      <c r="J1185" s="275"/>
      <c r="K1185" s="275"/>
      <c r="L1185" s="275"/>
      <c r="M1185" s="275"/>
      <c r="N1185" s="260"/>
      <c r="O1185" s="99"/>
      <c r="P1185" s="99"/>
      <c r="Q1185" s="99"/>
      <c r="R1185" s="99"/>
      <c r="S1185" s="99"/>
      <c r="T1185" s="99"/>
      <c r="U1185" s="99"/>
      <c r="V1185" s="99"/>
      <c r="W1185" s="99"/>
      <c r="X1185" s="99"/>
      <c r="Y1185" s="99"/>
      <c r="Z1185" s="99"/>
      <c r="AB1185" s="84"/>
      <c r="AC1185" s="84"/>
      <c r="AD1185" s="84"/>
      <c r="AE1185" s="84"/>
      <c r="AF1185" s="84"/>
      <c r="AG1185" s="84"/>
      <c r="AH1185" s="84"/>
      <c r="AI1185" s="84"/>
    </row>
    <row r="1186" ht="15.75" customHeight="1">
      <c r="A1186" s="84"/>
      <c r="B1186" s="84"/>
      <c r="C1186" s="84"/>
      <c r="D1186" s="84"/>
      <c r="E1186" s="84"/>
      <c r="F1186" s="276"/>
      <c r="H1186" s="275"/>
      <c r="I1186" s="275"/>
      <c r="J1186" s="275"/>
      <c r="K1186" s="275"/>
      <c r="L1186" s="275"/>
      <c r="M1186" s="275"/>
      <c r="N1186" s="260"/>
      <c r="O1186" s="99"/>
      <c r="P1186" s="99"/>
      <c r="Q1186" s="99"/>
      <c r="R1186" s="99"/>
      <c r="S1186" s="99"/>
      <c r="T1186" s="99"/>
      <c r="U1186" s="99"/>
      <c r="V1186" s="99"/>
      <c r="W1186" s="99"/>
      <c r="X1186" s="99"/>
      <c r="Y1186" s="99"/>
      <c r="Z1186" s="99"/>
      <c r="AB1186" s="84"/>
      <c r="AC1186" s="84"/>
      <c r="AD1186" s="84"/>
      <c r="AE1186" s="84"/>
      <c r="AF1186" s="84"/>
      <c r="AG1186" s="84"/>
      <c r="AH1186" s="84"/>
      <c r="AI1186" s="84"/>
    </row>
    <row r="1187" ht="15.75" customHeight="1">
      <c r="A1187" s="84"/>
      <c r="B1187" s="84"/>
      <c r="C1187" s="84"/>
      <c r="D1187" s="84"/>
      <c r="E1187" s="84"/>
      <c r="F1187" s="276"/>
      <c r="H1187" s="275"/>
      <c r="I1187" s="275"/>
      <c r="J1187" s="275"/>
      <c r="K1187" s="275"/>
      <c r="L1187" s="275"/>
      <c r="M1187" s="275"/>
      <c r="N1187" s="260"/>
      <c r="O1187" s="99"/>
      <c r="P1187" s="99"/>
      <c r="Q1187" s="99"/>
      <c r="R1187" s="99"/>
      <c r="S1187" s="99"/>
      <c r="T1187" s="99"/>
      <c r="U1187" s="99"/>
      <c r="V1187" s="99"/>
      <c r="W1187" s="99"/>
      <c r="X1187" s="99"/>
      <c r="Y1187" s="99"/>
      <c r="Z1187" s="99"/>
      <c r="AB1187" s="84"/>
      <c r="AC1187" s="84"/>
      <c r="AD1187" s="84"/>
      <c r="AE1187" s="84"/>
      <c r="AF1187" s="84"/>
      <c r="AG1187" s="84"/>
      <c r="AH1187" s="84"/>
      <c r="AI1187" s="84"/>
    </row>
    <row r="1188" ht="15.75" customHeight="1">
      <c r="A1188" s="84"/>
      <c r="B1188" s="84"/>
      <c r="C1188" s="84"/>
      <c r="D1188" s="84"/>
      <c r="E1188" s="84"/>
      <c r="F1188" s="276"/>
      <c r="H1188" s="275"/>
      <c r="I1188" s="275"/>
      <c r="J1188" s="275"/>
      <c r="K1188" s="275"/>
      <c r="L1188" s="275"/>
      <c r="M1188" s="275"/>
      <c r="N1188" s="260"/>
      <c r="O1188" s="99"/>
      <c r="P1188" s="99"/>
      <c r="Q1188" s="99"/>
      <c r="R1188" s="99"/>
      <c r="S1188" s="99"/>
      <c r="T1188" s="99"/>
      <c r="U1188" s="99"/>
      <c r="V1188" s="99"/>
      <c r="W1188" s="99"/>
      <c r="X1188" s="99"/>
      <c r="Y1188" s="99"/>
      <c r="Z1188" s="99"/>
      <c r="AB1188" s="84"/>
      <c r="AC1188" s="84"/>
      <c r="AD1188" s="84"/>
      <c r="AE1188" s="84"/>
      <c r="AF1188" s="84"/>
      <c r="AG1188" s="84"/>
      <c r="AH1188" s="84"/>
      <c r="AI1188" s="84"/>
    </row>
    <row r="1189" ht="15.75" customHeight="1">
      <c r="A1189" s="84"/>
      <c r="B1189" s="84"/>
      <c r="C1189" s="84"/>
      <c r="D1189" s="84"/>
      <c r="E1189" s="84"/>
      <c r="F1189" s="276"/>
      <c r="H1189" s="275"/>
      <c r="I1189" s="275"/>
      <c r="J1189" s="275"/>
      <c r="K1189" s="275"/>
      <c r="L1189" s="275"/>
      <c r="M1189" s="275"/>
      <c r="N1189" s="260"/>
      <c r="O1189" s="99"/>
      <c r="P1189" s="99"/>
      <c r="Q1189" s="99"/>
      <c r="R1189" s="99"/>
      <c r="S1189" s="99"/>
      <c r="T1189" s="99"/>
      <c r="U1189" s="99"/>
      <c r="V1189" s="99"/>
      <c r="W1189" s="99"/>
      <c r="X1189" s="99"/>
      <c r="Y1189" s="99"/>
      <c r="Z1189" s="99"/>
      <c r="AB1189" s="84"/>
      <c r="AC1189" s="84"/>
      <c r="AD1189" s="84"/>
      <c r="AE1189" s="84"/>
      <c r="AF1189" s="84"/>
      <c r="AG1189" s="84"/>
      <c r="AH1189" s="84"/>
      <c r="AI1189" s="84"/>
    </row>
    <row r="1190" ht="15.75" customHeight="1">
      <c r="A1190" s="84"/>
      <c r="B1190" s="84"/>
      <c r="C1190" s="84"/>
      <c r="D1190" s="84"/>
      <c r="E1190" s="84"/>
      <c r="F1190" s="276"/>
      <c r="H1190" s="275"/>
      <c r="I1190" s="275"/>
      <c r="J1190" s="275"/>
      <c r="K1190" s="275"/>
      <c r="L1190" s="275"/>
      <c r="M1190" s="275"/>
      <c r="N1190" s="260"/>
      <c r="O1190" s="99"/>
      <c r="P1190" s="99"/>
      <c r="Q1190" s="99"/>
      <c r="R1190" s="99"/>
      <c r="S1190" s="99"/>
      <c r="T1190" s="99"/>
      <c r="U1190" s="99"/>
      <c r="V1190" s="99"/>
      <c r="W1190" s="99"/>
      <c r="X1190" s="99"/>
      <c r="Y1190" s="99"/>
      <c r="Z1190" s="99"/>
      <c r="AB1190" s="84"/>
      <c r="AC1190" s="84"/>
      <c r="AD1190" s="84"/>
      <c r="AE1190" s="84"/>
      <c r="AF1190" s="84"/>
      <c r="AG1190" s="84"/>
      <c r="AH1190" s="84"/>
      <c r="AI1190" s="84"/>
    </row>
    <row r="1191" ht="15.75" customHeight="1">
      <c r="A1191" s="84"/>
      <c r="B1191" s="84"/>
      <c r="C1191" s="84"/>
      <c r="D1191" s="84"/>
      <c r="E1191" s="84"/>
      <c r="F1191" s="276"/>
      <c r="H1191" s="275"/>
      <c r="I1191" s="275"/>
      <c r="J1191" s="275"/>
      <c r="K1191" s="275"/>
      <c r="L1191" s="275"/>
      <c r="M1191" s="275"/>
      <c r="N1191" s="260"/>
      <c r="O1191" s="99"/>
      <c r="P1191" s="99"/>
      <c r="Q1191" s="99"/>
      <c r="R1191" s="99"/>
      <c r="S1191" s="99"/>
      <c r="T1191" s="99"/>
      <c r="U1191" s="99"/>
      <c r="V1191" s="99"/>
      <c r="W1191" s="99"/>
      <c r="X1191" s="99"/>
      <c r="Y1191" s="99"/>
      <c r="Z1191" s="99"/>
      <c r="AB1191" s="84"/>
      <c r="AC1191" s="84"/>
      <c r="AD1191" s="84"/>
      <c r="AE1191" s="84"/>
      <c r="AF1191" s="84"/>
      <c r="AG1191" s="84"/>
      <c r="AH1191" s="84"/>
      <c r="AI1191" s="84"/>
    </row>
    <row r="1192" ht="15.75" customHeight="1">
      <c r="A1192" s="84"/>
      <c r="B1192" s="84"/>
      <c r="C1192" s="84"/>
      <c r="D1192" s="84"/>
      <c r="E1192" s="84"/>
      <c r="F1192" s="276"/>
      <c r="H1192" s="275"/>
      <c r="I1192" s="275"/>
      <c r="J1192" s="275"/>
      <c r="K1192" s="275"/>
      <c r="L1192" s="275"/>
      <c r="M1192" s="275"/>
      <c r="N1192" s="260"/>
      <c r="O1192" s="99"/>
      <c r="P1192" s="99"/>
      <c r="Q1192" s="99"/>
      <c r="R1192" s="99"/>
      <c r="S1192" s="99"/>
      <c r="T1192" s="99"/>
      <c r="U1192" s="99"/>
      <c r="V1192" s="99"/>
      <c r="W1192" s="99"/>
      <c r="X1192" s="99"/>
      <c r="Y1192" s="99"/>
      <c r="Z1192" s="99"/>
      <c r="AB1192" s="84"/>
      <c r="AC1192" s="84"/>
      <c r="AD1192" s="84"/>
      <c r="AE1192" s="84"/>
      <c r="AF1192" s="84"/>
      <c r="AG1192" s="84"/>
      <c r="AH1192" s="84"/>
      <c r="AI1192" s="84"/>
    </row>
    <row r="1193" ht="15.75" customHeight="1">
      <c r="A1193" s="84"/>
      <c r="B1193" s="84"/>
      <c r="C1193" s="84"/>
      <c r="D1193" s="84"/>
      <c r="E1193" s="84"/>
      <c r="F1193" s="276"/>
      <c r="H1193" s="275"/>
      <c r="I1193" s="275"/>
      <c r="J1193" s="275"/>
      <c r="K1193" s="275"/>
      <c r="L1193" s="275"/>
      <c r="M1193" s="275"/>
      <c r="N1193" s="260"/>
      <c r="O1193" s="99"/>
      <c r="P1193" s="99"/>
      <c r="Q1193" s="99"/>
      <c r="R1193" s="99"/>
      <c r="S1193" s="99"/>
      <c r="T1193" s="99"/>
      <c r="U1193" s="99"/>
      <c r="V1193" s="99"/>
      <c r="W1193" s="99"/>
      <c r="X1193" s="99"/>
      <c r="Y1193" s="99"/>
      <c r="Z1193" s="99"/>
      <c r="AB1193" s="84"/>
      <c r="AC1193" s="84"/>
      <c r="AD1193" s="84"/>
      <c r="AE1193" s="84"/>
      <c r="AF1193" s="84"/>
      <c r="AG1193" s="84"/>
      <c r="AH1193" s="84"/>
      <c r="AI1193" s="84"/>
    </row>
    <row r="1194" ht="15.75" customHeight="1">
      <c r="A1194" s="84"/>
      <c r="B1194" s="84"/>
      <c r="C1194" s="84"/>
      <c r="D1194" s="84"/>
      <c r="E1194" s="84"/>
      <c r="F1194" s="276"/>
      <c r="H1194" s="275"/>
      <c r="I1194" s="275"/>
      <c r="J1194" s="275"/>
      <c r="K1194" s="275"/>
      <c r="L1194" s="275"/>
      <c r="M1194" s="275"/>
      <c r="N1194" s="260"/>
      <c r="O1194" s="99"/>
      <c r="P1194" s="99"/>
      <c r="Q1194" s="99"/>
      <c r="R1194" s="99"/>
      <c r="S1194" s="99"/>
      <c r="T1194" s="99"/>
      <c r="U1194" s="99"/>
      <c r="V1194" s="99"/>
      <c r="W1194" s="99"/>
      <c r="X1194" s="99"/>
      <c r="Y1194" s="99"/>
      <c r="Z1194" s="99"/>
      <c r="AB1194" s="84"/>
      <c r="AC1194" s="84"/>
      <c r="AD1194" s="84"/>
      <c r="AE1194" s="84"/>
      <c r="AF1194" s="84"/>
      <c r="AG1194" s="84"/>
      <c r="AH1194" s="84"/>
      <c r="AI1194" s="84"/>
    </row>
    <row r="1195" ht="15.75" customHeight="1">
      <c r="A1195" s="84"/>
      <c r="B1195" s="84"/>
      <c r="C1195" s="84"/>
      <c r="D1195" s="84"/>
      <c r="E1195" s="84"/>
      <c r="F1195" s="276"/>
      <c r="H1195" s="275"/>
      <c r="I1195" s="275"/>
      <c r="J1195" s="275"/>
      <c r="K1195" s="275"/>
      <c r="L1195" s="275"/>
      <c r="M1195" s="275"/>
      <c r="N1195" s="260"/>
      <c r="O1195" s="99"/>
      <c r="P1195" s="99"/>
      <c r="Q1195" s="99"/>
      <c r="R1195" s="99"/>
      <c r="S1195" s="99"/>
      <c r="T1195" s="99"/>
      <c r="U1195" s="99"/>
      <c r="V1195" s="99"/>
      <c r="W1195" s="99"/>
      <c r="X1195" s="99"/>
      <c r="Y1195" s="99"/>
      <c r="Z1195" s="99"/>
      <c r="AB1195" s="84"/>
      <c r="AC1195" s="84"/>
      <c r="AD1195" s="84"/>
      <c r="AE1195" s="84"/>
      <c r="AF1195" s="84"/>
      <c r="AG1195" s="84"/>
      <c r="AH1195" s="84"/>
      <c r="AI1195" s="84"/>
    </row>
    <row r="1196" ht="15.75" customHeight="1">
      <c r="A1196" s="84"/>
      <c r="B1196" s="84"/>
      <c r="C1196" s="84"/>
      <c r="D1196" s="84"/>
      <c r="E1196" s="84"/>
      <c r="F1196" s="276"/>
      <c r="H1196" s="275"/>
      <c r="I1196" s="275"/>
      <c r="J1196" s="275"/>
      <c r="K1196" s="275"/>
      <c r="L1196" s="275"/>
      <c r="M1196" s="275"/>
      <c r="N1196" s="260"/>
      <c r="O1196" s="99"/>
      <c r="P1196" s="99"/>
      <c r="Q1196" s="99"/>
      <c r="R1196" s="99"/>
      <c r="S1196" s="99"/>
      <c r="T1196" s="99"/>
      <c r="U1196" s="99"/>
      <c r="V1196" s="99"/>
      <c r="W1196" s="99"/>
      <c r="X1196" s="99"/>
      <c r="Y1196" s="99"/>
      <c r="Z1196" s="99"/>
      <c r="AB1196" s="84"/>
      <c r="AC1196" s="84"/>
      <c r="AD1196" s="84"/>
      <c r="AE1196" s="84"/>
      <c r="AF1196" s="84"/>
      <c r="AG1196" s="84"/>
      <c r="AH1196" s="84"/>
      <c r="AI1196" s="84"/>
    </row>
    <row r="1197" ht="15.75" customHeight="1">
      <c r="A1197" s="84"/>
      <c r="B1197" s="84"/>
      <c r="C1197" s="84"/>
      <c r="D1197" s="84"/>
      <c r="E1197" s="84"/>
      <c r="F1197" s="276"/>
      <c r="H1197" s="275"/>
      <c r="I1197" s="275"/>
      <c r="J1197" s="275"/>
      <c r="K1197" s="275"/>
      <c r="L1197" s="275"/>
      <c r="M1197" s="275"/>
      <c r="N1197" s="260"/>
      <c r="O1197" s="99"/>
      <c r="P1197" s="99"/>
      <c r="Q1197" s="99"/>
      <c r="R1197" s="99"/>
      <c r="S1197" s="99"/>
      <c r="T1197" s="99"/>
      <c r="U1197" s="99"/>
      <c r="V1197" s="99"/>
      <c r="W1197" s="99"/>
      <c r="X1197" s="99"/>
      <c r="Y1197" s="99"/>
      <c r="Z1197" s="99"/>
      <c r="AB1197" s="84"/>
      <c r="AC1197" s="84"/>
      <c r="AD1197" s="84"/>
      <c r="AE1197" s="84"/>
      <c r="AF1197" s="84"/>
      <c r="AG1197" s="84"/>
      <c r="AH1197" s="84"/>
      <c r="AI1197" s="84"/>
    </row>
    <row r="1198" ht="15.75" customHeight="1">
      <c r="A1198" s="84"/>
      <c r="B1198" s="84"/>
      <c r="C1198" s="84"/>
      <c r="D1198" s="84"/>
      <c r="E1198" s="84"/>
      <c r="F1198" s="276"/>
      <c r="H1198" s="275"/>
      <c r="I1198" s="275"/>
      <c r="J1198" s="275"/>
      <c r="K1198" s="275"/>
      <c r="L1198" s="275"/>
      <c r="M1198" s="275"/>
      <c r="N1198" s="260"/>
      <c r="O1198" s="99"/>
      <c r="P1198" s="99"/>
      <c r="Q1198" s="99"/>
      <c r="R1198" s="99"/>
      <c r="S1198" s="99"/>
      <c r="T1198" s="99"/>
      <c r="U1198" s="99"/>
      <c r="V1198" s="99"/>
      <c r="W1198" s="99"/>
      <c r="X1198" s="99"/>
      <c r="Y1198" s="99"/>
      <c r="Z1198" s="99"/>
      <c r="AB1198" s="84"/>
      <c r="AC1198" s="84"/>
      <c r="AD1198" s="84"/>
      <c r="AE1198" s="84"/>
      <c r="AF1198" s="84"/>
      <c r="AG1198" s="84"/>
      <c r="AH1198" s="84"/>
      <c r="AI1198" s="84"/>
    </row>
    <row r="1199" ht="15.75" customHeight="1">
      <c r="A1199" s="84"/>
      <c r="B1199" s="84"/>
      <c r="C1199" s="84"/>
      <c r="D1199" s="84"/>
      <c r="E1199" s="84"/>
      <c r="F1199" s="276"/>
      <c r="H1199" s="275"/>
      <c r="I1199" s="275"/>
      <c r="J1199" s="275"/>
      <c r="K1199" s="275"/>
      <c r="L1199" s="275"/>
      <c r="M1199" s="275"/>
      <c r="N1199" s="260"/>
      <c r="O1199" s="99"/>
      <c r="P1199" s="99"/>
      <c r="Q1199" s="99"/>
      <c r="R1199" s="99"/>
      <c r="S1199" s="99"/>
      <c r="T1199" s="99"/>
      <c r="U1199" s="99"/>
      <c r="V1199" s="99"/>
      <c r="W1199" s="99"/>
      <c r="X1199" s="99"/>
      <c r="Y1199" s="99"/>
      <c r="Z1199" s="99"/>
      <c r="AB1199" s="84"/>
      <c r="AC1199" s="84"/>
      <c r="AD1199" s="84"/>
      <c r="AE1199" s="84"/>
      <c r="AF1199" s="84"/>
      <c r="AG1199" s="84"/>
      <c r="AH1199" s="84"/>
      <c r="AI1199" s="84"/>
    </row>
    <row r="1200" ht="15.75" customHeight="1">
      <c r="A1200" s="84"/>
      <c r="B1200" s="84"/>
      <c r="C1200" s="84"/>
      <c r="D1200" s="84"/>
      <c r="E1200" s="84"/>
      <c r="F1200" s="276"/>
      <c r="H1200" s="275"/>
      <c r="I1200" s="275"/>
      <c r="J1200" s="275"/>
      <c r="K1200" s="275"/>
      <c r="L1200" s="275"/>
      <c r="M1200" s="275"/>
      <c r="N1200" s="260"/>
      <c r="O1200" s="99"/>
      <c r="P1200" s="99"/>
      <c r="Q1200" s="99"/>
      <c r="R1200" s="99"/>
      <c r="S1200" s="99"/>
      <c r="T1200" s="99"/>
      <c r="U1200" s="99"/>
      <c r="V1200" s="99"/>
      <c r="W1200" s="99"/>
      <c r="X1200" s="99"/>
      <c r="Y1200" s="99"/>
      <c r="Z1200" s="99"/>
      <c r="AB1200" s="84"/>
      <c r="AC1200" s="84"/>
      <c r="AD1200" s="84"/>
      <c r="AE1200" s="84"/>
      <c r="AF1200" s="84"/>
      <c r="AG1200" s="84"/>
      <c r="AH1200" s="84"/>
      <c r="AI1200" s="84"/>
    </row>
    <row r="1201" ht="15.75" customHeight="1">
      <c r="A1201" s="84"/>
      <c r="B1201" s="84"/>
      <c r="C1201" s="84"/>
      <c r="D1201" s="84"/>
      <c r="E1201" s="84"/>
      <c r="F1201" s="276"/>
      <c r="H1201" s="275"/>
      <c r="I1201" s="275"/>
      <c r="J1201" s="275"/>
      <c r="K1201" s="275"/>
      <c r="L1201" s="275"/>
      <c r="M1201" s="275"/>
      <c r="N1201" s="260"/>
      <c r="O1201" s="99"/>
      <c r="P1201" s="99"/>
      <c r="Q1201" s="99"/>
      <c r="R1201" s="99"/>
      <c r="S1201" s="99"/>
      <c r="T1201" s="99"/>
      <c r="U1201" s="99"/>
      <c r="V1201" s="99"/>
      <c r="W1201" s="99"/>
      <c r="X1201" s="99"/>
      <c r="Y1201" s="99"/>
      <c r="Z1201" s="99"/>
      <c r="AB1201" s="84"/>
      <c r="AC1201" s="84"/>
      <c r="AD1201" s="84"/>
      <c r="AE1201" s="84"/>
      <c r="AF1201" s="84"/>
      <c r="AG1201" s="84"/>
      <c r="AH1201" s="84"/>
      <c r="AI1201" s="84"/>
    </row>
    <row r="1202" ht="15.75" customHeight="1">
      <c r="A1202" s="84"/>
      <c r="B1202" s="84"/>
      <c r="C1202" s="84"/>
      <c r="D1202" s="84"/>
      <c r="E1202" s="84"/>
      <c r="F1202" s="276"/>
      <c r="H1202" s="275"/>
      <c r="I1202" s="275"/>
      <c r="J1202" s="275"/>
      <c r="K1202" s="275"/>
      <c r="L1202" s="275"/>
      <c r="M1202" s="275"/>
      <c r="N1202" s="260"/>
      <c r="O1202" s="99"/>
      <c r="P1202" s="99"/>
      <c r="Q1202" s="99"/>
      <c r="R1202" s="99"/>
      <c r="S1202" s="99"/>
      <c r="T1202" s="99"/>
      <c r="U1202" s="99"/>
      <c r="V1202" s="99"/>
      <c r="W1202" s="99"/>
      <c r="X1202" s="99"/>
      <c r="Y1202" s="99"/>
      <c r="Z1202" s="99"/>
      <c r="AB1202" s="84"/>
      <c r="AC1202" s="84"/>
      <c r="AD1202" s="84"/>
      <c r="AE1202" s="84"/>
      <c r="AF1202" s="84"/>
      <c r="AG1202" s="84"/>
      <c r="AH1202" s="84"/>
      <c r="AI1202" s="84"/>
    </row>
    <row r="1203" ht="15.75" customHeight="1">
      <c r="A1203" s="84"/>
      <c r="B1203" s="84"/>
      <c r="C1203" s="84"/>
      <c r="D1203" s="84"/>
      <c r="E1203" s="84"/>
      <c r="F1203" s="276"/>
      <c r="H1203" s="275"/>
      <c r="I1203" s="275"/>
      <c r="J1203" s="275"/>
      <c r="K1203" s="275"/>
      <c r="L1203" s="275"/>
      <c r="M1203" s="275"/>
      <c r="N1203" s="260"/>
      <c r="O1203" s="99"/>
      <c r="P1203" s="99"/>
      <c r="Q1203" s="99"/>
      <c r="R1203" s="99"/>
      <c r="S1203" s="99"/>
      <c r="T1203" s="99"/>
      <c r="U1203" s="99"/>
      <c r="V1203" s="99"/>
      <c r="W1203" s="99"/>
      <c r="X1203" s="99"/>
      <c r="Y1203" s="99"/>
      <c r="Z1203" s="99"/>
      <c r="AB1203" s="84"/>
      <c r="AC1203" s="84"/>
      <c r="AD1203" s="84"/>
      <c r="AE1203" s="84"/>
      <c r="AF1203" s="84"/>
      <c r="AG1203" s="84"/>
      <c r="AH1203" s="84"/>
      <c r="AI1203" s="84"/>
    </row>
    <row r="1204" ht="15.75" customHeight="1">
      <c r="A1204" s="84"/>
      <c r="B1204" s="84"/>
      <c r="C1204" s="84"/>
      <c r="D1204" s="84"/>
      <c r="E1204" s="84"/>
      <c r="F1204" s="276"/>
      <c r="H1204" s="275"/>
      <c r="I1204" s="275"/>
      <c r="J1204" s="275"/>
      <c r="K1204" s="275"/>
      <c r="L1204" s="275"/>
      <c r="M1204" s="275"/>
      <c r="N1204" s="260"/>
      <c r="O1204" s="99"/>
      <c r="P1204" s="99"/>
      <c r="Q1204" s="99"/>
      <c r="R1204" s="99"/>
      <c r="S1204" s="99"/>
      <c r="T1204" s="99"/>
      <c r="U1204" s="99"/>
      <c r="V1204" s="99"/>
      <c r="W1204" s="99"/>
      <c r="X1204" s="99"/>
      <c r="Y1204" s="99"/>
      <c r="Z1204" s="99"/>
      <c r="AB1204" s="84"/>
      <c r="AC1204" s="84"/>
      <c r="AD1204" s="84"/>
      <c r="AE1204" s="84"/>
      <c r="AF1204" s="84"/>
      <c r="AG1204" s="84"/>
      <c r="AH1204" s="84"/>
      <c r="AI1204" s="84"/>
    </row>
    <row r="1205" ht="15.75" customHeight="1">
      <c r="A1205" s="84"/>
      <c r="B1205" s="84"/>
      <c r="C1205" s="84"/>
      <c r="D1205" s="84"/>
      <c r="E1205" s="84"/>
      <c r="F1205" s="276"/>
      <c r="H1205" s="275"/>
      <c r="I1205" s="275"/>
      <c r="J1205" s="275"/>
      <c r="K1205" s="275"/>
      <c r="L1205" s="275"/>
      <c r="M1205" s="275"/>
      <c r="N1205" s="260"/>
      <c r="O1205" s="99"/>
      <c r="P1205" s="99"/>
      <c r="Q1205" s="99"/>
      <c r="R1205" s="99"/>
      <c r="S1205" s="99"/>
      <c r="T1205" s="99"/>
      <c r="U1205" s="99"/>
      <c r="V1205" s="99"/>
      <c r="W1205" s="99"/>
      <c r="X1205" s="99"/>
      <c r="Y1205" s="99"/>
      <c r="Z1205" s="99"/>
      <c r="AB1205" s="84"/>
      <c r="AC1205" s="84"/>
      <c r="AD1205" s="84"/>
      <c r="AE1205" s="84"/>
      <c r="AF1205" s="84"/>
      <c r="AG1205" s="84"/>
      <c r="AH1205" s="84"/>
      <c r="AI1205" s="84"/>
    </row>
    <row r="1206" ht="15.75" customHeight="1">
      <c r="A1206" s="84"/>
      <c r="B1206" s="84"/>
      <c r="C1206" s="84"/>
      <c r="D1206" s="84"/>
      <c r="E1206" s="84"/>
      <c r="F1206" s="276"/>
      <c r="H1206" s="275"/>
      <c r="I1206" s="275"/>
      <c r="J1206" s="275"/>
      <c r="K1206" s="275"/>
      <c r="L1206" s="275"/>
      <c r="M1206" s="275"/>
      <c r="N1206" s="260"/>
      <c r="O1206" s="99"/>
      <c r="P1206" s="99"/>
      <c r="Q1206" s="99"/>
      <c r="R1206" s="99"/>
      <c r="S1206" s="99"/>
      <c r="T1206" s="99"/>
      <c r="U1206" s="99"/>
      <c r="V1206" s="99"/>
      <c r="W1206" s="99"/>
      <c r="X1206" s="99"/>
      <c r="Y1206" s="99"/>
      <c r="Z1206" s="99"/>
      <c r="AB1206" s="84"/>
      <c r="AC1206" s="84"/>
      <c r="AD1206" s="84"/>
      <c r="AE1206" s="84"/>
      <c r="AF1206" s="84"/>
      <c r="AG1206" s="84"/>
      <c r="AH1206" s="84"/>
      <c r="AI1206" s="84"/>
    </row>
    <row r="1207" ht="15.75" customHeight="1">
      <c r="A1207" s="84"/>
      <c r="B1207" s="84"/>
      <c r="C1207" s="84"/>
      <c r="D1207" s="84"/>
      <c r="E1207" s="84"/>
      <c r="F1207" s="276"/>
      <c r="H1207" s="275"/>
      <c r="I1207" s="275"/>
      <c r="J1207" s="275"/>
      <c r="K1207" s="275"/>
      <c r="L1207" s="275"/>
      <c r="M1207" s="275"/>
      <c r="N1207" s="260"/>
      <c r="O1207" s="99"/>
      <c r="P1207" s="99"/>
      <c r="Q1207" s="99"/>
      <c r="R1207" s="99"/>
      <c r="S1207" s="99"/>
      <c r="T1207" s="99"/>
      <c r="U1207" s="99"/>
      <c r="V1207" s="99"/>
      <c r="W1207" s="99"/>
      <c r="X1207" s="99"/>
      <c r="Y1207" s="99"/>
      <c r="Z1207" s="99"/>
      <c r="AB1207" s="84"/>
      <c r="AC1207" s="84"/>
      <c r="AD1207" s="84"/>
      <c r="AE1207" s="84"/>
      <c r="AF1207" s="84"/>
      <c r="AG1207" s="84"/>
      <c r="AH1207" s="84"/>
      <c r="AI1207" s="84"/>
    </row>
    <row r="1208" ht="15.75" customHeight="1">
      <c r="A1208" s="84"/>
      <c r="B1208" s="84"/>
      <c r="C1208" s="84"/>
      <c r="D1208" s="84"/>
      <c r="E1208" s="84"/>
      <c r="F1208" s="276"/>
      <c r="H1208" s="275"/>
      <c r="I1208" s="275"/>
      <c r="J1208" s="275"/>
      <c r="K1208" s="275"/>
      <c r="L1208" s="275"/>
      <c r="M1208" s="275"/>
      <c r="N1208" s="260"/>
      <c r="O1208" s="99"/>
      <c r="P1208" s="99"/>
      <c r="Q1208" s="99"/>
      <c r="R1208" s="99"/>
      <c r="S1208" s="99"/>
      <c r="T1208" s="99"/>
      <c r="U1208" s="99"/>
      <c r="V1208" s="99"/>
      <c r="W1208" s="99"/>
      <c r="X1208" s="99"/>
      <c r="Y1208" s="99"/>
      <c r="Z1208" s="99"/>
      <c r="AB1208" s="84"/>
      <c r="AC1208" s="84"/>
      <c r="AD1208" s="84"/>
      <c r="AE1208" s="84"/>
      <c r="AF1208" s="84"/>
      <c r="AG1208" s="84"/>
      <c r="AH1208" s="84"/>
      <c r="AI1208" s="84"/>
    </row>
    <row r="1209" ht="15.75" customHeight="1">
      <c r="A1209" s="84"/>
      <c r="B1209" s="84"/>
      <c r="C1209" s="84"/>
      <c r="D1209" s="84"/>
      <c r="E1209" s="84"/>
      <c r="F1209" s="276"/>
      <c r="H1209" s="275"/>
      <c r="I1209" s="275"/>
      <c r="J1209" s="275"/>
      <c r="K1209" s="275"/>
      <c r="L1209" s="275"/>
      <c r="M1209" s="275"/>
      <c r="N1209" s="260"/>
      <c r="O1209" s="99"/>
      <c r="P1209" s="99"/>
      <c r="Q1209" s="99"/>
      <c r="R1209" s="99"/>
      <c r="S1209" s="99"/>
      <c r="T1209" s="99"/>
      <c r="U1209" s="99"/>
      <c r="V1209" s="99"/>
      <c r="W1209" s="99"/>
      <c r="X1209" s="99"/>
      <c r="Y1209" s="99"/>
      <c r="Z1209" s="99"/>
      <c r="AB1209" s="84"/>
      <c r="AC1209" s="84"/>
      <c r="AD1209" s="84"/>
      <c r="AE1209" s="84"/>
      <c r="AF1209" s="84"/>
      <c r="AG1209" s="84"/>
      <c r="AH1209" s="84"/>
      <c r="AI1209" s="84"/>
    </row>
    <row r="1210" ht="15.75" customHeight="1">
      <c r="A1210" s="84"/>
      <c r="B1210" s="84"/>
      <c r="C1210" s="84"/>
      <c r="D1210" s="84"/>
      <c r="E1210" s="84"/>
      <c r="F1210" s="276"/>
      <c r="H1210" s="275"/>
      <c r="I1210" s="275"/>
      <c r="J1210" s="275"/>
      <c r="K1210" s="275"/>
      <c r="L1210" s="275"/>
      <c r="M1210" s="275"/>
      <c r="N1210" s="260"/>
      <c r="O1210" s="99"/>
      <c r="P1210" s="99"/>
      <c r="Q1210" s="99"/>
      <c r="R1210" s="99"/>
      <c r="S1210" s="99"/>
      <c r="T1210" s="99"/>
      <c r="U1210" s="99"/>
      <c r="V1210" s="99"/>
      <c r="W1210" s="99"/>
      <c r="X1210" s="99"/>
      <c r="Y1210" s="99"/>
      <c r="Z1210" s="99"/>
      <c r="AB1210" s="84"/>
      <c r="AC1210" s="84"/>
      <c r="AD1210" s="84"/>
      <c r="AE1210" s="84"/>
      <c r="AF1210" s="84"/>
      <c r="AG1210" s="84"/>
      <c r="AH1210" s="84"/>
      <c r="AI1210" s="84"/>
    </row>
    <row r="1211" ht="15.75" customHeight="1">
      <c r="A1211" s="84"/>
      <c r="B1211" s="84"/>
      <c r="C1211" s="84"/>
      <c r="D1211" s="84"/>
      <c r="E1211" s="84"/>
      <c r="F1211" s="276"/>
      <c r="H1211" s="275"/>
      <c r="I1211" s="275"/>
      <c r="J1211" s="275"/>
      <c r="K1211" s="275"/>
      <c r="L1211" s="275"/>
      <c r="M1211" s="275"/>
      <c r="N1211" s="260"/>
      <c r="O1211" s="99"/>
      <c r="P1211" s="99"/>
      <c r="Q1211" s="99"/>
      <c r="R1211" s="99"/>
      <c r="S1211" s="99"/>
      <c r="T1211" s="99"/>
      <c r="U1211" s="99"/>
      <c r="V1211" s="99"/>
      <c r="W1211" s="99"/>
      <c r="X1211" s="99"/>
      <c r="Y1211" s="99"/>
      <c r="Z1211" s="99"/>
      <c r="AB1211" s="84"/>
      <c r="AC1211" s="84"/>
      <c r="AD1211" s="84"/>
      <c r="AE1211" s="84"/>
      <c r="AF1211" s="84"/>
      <c r="AG1211" s="84"/>
      <c r="AH1211" s="84"/>
      <c r="AI1211" s="84"/>
    </row>
    <row r="1212" ht="15.75" customHeight="1">
      <c r="A1212" s="84"/>
      <c r="B1212" s="84"/>
      <c r="C1212" s="84"/>
      <c r="D1212" s="84"/>
      <c r="E1212" s="84"/>
      <c r="F1212" s="276"/>
      <c r="H1212" s="275"/>
      <c r="I1212" s="275"/>
      <c r="J1212" s="275"/>
      <c r="K1212" s="275"/>
      <c r="L1212" s="275"/>
      <c r="M1212" s="275"/>
      <c r="N1212" s="260"/>
      <c r="O1212" s="99"/>
      <c r="P1212" s="99"/>
      <c r="Q1212" s="99"/>
      <c r="R1212" s="99"/>
      <c r="S1212" s="99"/>
      <c r="T1212" s="99"/>
      <c r="U1212" s="99"/>
      <c r="V1212" s="99"/>
      <c r="W1212" s="99"/>
      <c r="X1212" s="99"/>
      <c r="Y1212" s="99"/>
      <c r="Z1212" s="99"/>
      <c r="AB1212" s="84"/>
      <c r="AC1212" s="84"/>
      <c r="AD1212" s="84"/>
      <c r="AE1212" s="84"/>
      <c r="AF1212" s="84"/>
      <c r="AG1212" s="84"/>
      <c r="AH1212" s="84"/>
      <c r="AI1212" s="84"/>
    </row>
    <row r="1213" ht="15.75" customHeight="1">
      <c r="A1213" s="84"/>
      <c r="B1213" s="84"/>
      <c r="C1213" s="84"/>
      <c r="D1213" s="84"/>
      <c r="E1213" s="84"/>
      <c r="F1213" s="276"/>
      <c r="H1213" s="275"/>
      <c r="I1213" s="275"/>
      <c r="J1213" s="275"/>
      <c r="K1213" s="275"/>
      <c r="L1213" s="275"/>
      <c r="M1213" s="275"/>
      <c r="N1213" s="260"/>
      <c r="O1213" s="99"/>
      <c r="P1213" s="99"/>
      <c r="Q1213" s="99"/>
      <c r="R1213" s="99"/>
      <c r="S1213" s="99"/>
      <c r="T1213" s="99"/>
      <c r="U1213" s="99"/>
      <c r="V1213" s="99"/>
      <c r="W1213" s="99"/>
      <c r="X1213" s="99"/>
      <c r="Y1213" s="99"/>
      <c r="Z1213" s="99"/>
      <c r="AB1213" s="84"/>
      <c r="AC1213" s="84"/>
      <c r="AD1213" s="84"/>
      <c r="AE1213" s="84"/>
      <c r="AF1213" s="84"/>
      <c r="AG1213" s="84"/>
      <c r="AH1213" s="84"/>
      <c r="AI1213" s="84"/>
    </row>
    <row r="1214" ht="15.75" customHeight="1">
      <c r="A1214" s="84"/>
      <c r="B1214" s="84"/>
      <c r="C1214" s="84"/>
      <c r="D1214" s="84"/>
      <c r="E1214" s="84"/>
      <c r="F1214" s="276"/>
      <c r="H1214" s="275"/>
      <c r="I1214" s="275"/>
      <c r="J1214" s="275"/>
      <c r="K1214" s="275"/>
      <c r="L1214" s="275"/>
      <c r="M1214" s="275"/>
      <c r="N1214" s="260"/>
      <c r="O1214" s="99"/>
      <c r="P1214" s="99"/>
      <c r="Q1214" s="99"/>
      <c r="R1214" s="99"/>
      <c r="S1214" s="99"/>
      <c r="T1214" s="99"/>
      <c r="U1214" s="99"/>
      <c r="V1214" s="99"/>
      <c r="W1214" s="99"/>
      <c r="X1214" s="99"/>
      <c r="Y1214" s="99"/>
      <c r="Z1214" s="99"/>
      <c r="AB1214" s="84"/>
      <c r="AC1214" s="84"/>
      <c r="AD1214" s="84"/>
      <c r="AE1214" s="84"/>
      <c r="AF1214" s="84"/>
      <c r="AG1214" s="84"/>
      <c r="AH1214" s="84"/>
      <c r="AI1214" s="84"/>
    </row>
    <row r="1215" ht="15.75" customHeight="1">
      <c r="A1215" s="84"/>
      <c r="B1215" s="84"/>
      <c r="C1215" s="84"/>
      <c r="D1215" s="84"/>
      <c r="E1215" s="84"/>
      <c r="F1215" s="276"/>
      <c r="H1215" s="275"/>
      <c r="I1215" s="275"/>
      <c r="J1215" s="275"/>
      <c r="K1215" s="275"/>
      <c r="L1215" s="275"/>
      <c r="M1215" s="275"/>
      <c r="N1215" s="260"/>
      <c r="O1215" s="99"/>
      <c r="P1215" s="99"/>
      <c r="Q1215" s="99"/>
      <c r="R1215" s="99"/>
      <c r="S1215" s="99"/>
      <c r="T1215" s="99"/>
      <c r="U1215" s="99"/>
      <c r="V1215" s="99"/>
      <c r="W1215" s="99"/>
      <c r="X1215" s="99"/>
      <c r="Y1215" s="99"/>
      <c r="Z1215" s="99"/>
      <c r="AB1215" s="84"/>
      <c r="AC1215" s="84"/>
      <c r="AD1215" s="84"/>
      <c r="AE1215" s="84"/>
      <c r="AF1215" s="84"/>
      <c r="AG1215" s="84"/>
      <c r="AH1215" s="84"/>
      <c r="AI1215" s="84"/>
    </row>
    <row r="1216" ht="15.75" customHeight="1">
      <c r="A1216" s="84"/>
      <c r="B1216" s="84"/>
      <c r="C1216" s="84"/>
      <c r="D1216" s="84"/>
      <c r="E1216" s="84"/>
      <c r="F1216" s="276"/>
      <c r="H1216" s="275"/>
      <c r="I1216" s="275"/>
      <c r="J1216" s="275"/>
      <c r="K1216" s="275"/>
      <c r="L1216" s="275"/>
      <c r="M1216" s="275"/>
      <c r="N1216" s="260"/>
      <c r="O1216" s="99"/>
      <c r="P1216" s="99"/>
      <c r="Q1216" s="99"/>
      <c r="R1216" s="99"/>
      <c r="S1216" s="99"/>
      <c r="T1216" s="99"/>
      <c r="U1216" s="99"/>
      <c r="V1216" s="99"/>
      <c r="W1216" s="99"/>
      <c r="X1216" s="99"/>
      <c r="Y1216" s="99"/>
      <c r="Z1216" s="99"/>
      <c r="AB1216" s="84"/>
      <c r="AC1216" s="84"/>
      <c r="AD1216" s="84"/>
      <c r="AE1216" s="84"/>
      <c r="AF1216" s="84"/>
      <c r="AG1216" s="84"/>
      <c r="AH1216" s="84"/>
      <c r="AI1216" s="84"/>
    </row>
    <row r="1217" ht="15.75" customHeight="1">
      <c r="A1217" s="84"/>
      <c r="B1217" s="84"/>
      <c r="C1217" s="84"/>
      <c r="D1217" s="84"/>
      <c r="E1217" s="84"/>
      <c r="F1217" s="276"/>
      <c r="H1217" s="275"/>
      <c r="I1217" s="275"/>
      <c r="J1217" s="275"/>
      <c r="K1217" s="275"/>
      <c r="L1217" s="275"/>
      <c r="M1217" s="275"/>
      <c r="N1217" s="260"/>
      <c r="O1217" s="99"/>
      <c r="P1217" s="99"/>
      <c r="Q1217" s="99"/>
      <c r="R1217" s="99"/>
      <c r="S1217" s="99"/>
      <c r="T1217" s="99"/>
      <c r="U1217" s="99"/>
      <c r="V1217" s="99"/>
      <c r="W1217" s="99"/>
      <c r="X1217" s="99"/>
      <c r="Y1217" s="99"/>
      <c r="Z1217" s="99"/>
      <c r="AB1217" s="84"/>
      <c r="AC1217" s="84"/>
      <c r="AD1217" s="84"/>
      <c r="AE1217" s="84"/>
      <c r="AF1217" s="84"/>
      <c r="AG1217" s="84"/>
      <c r="AH1217" s="84"/>
      <c r="AI1217" s="84"/>
    </row>
    <row r="1218" ht="15.75" customHeight="1">
      <c r="A1218" s="84"/>
      <c r="B1218" s="84"/>
      <c r="C1218" s="84"/>
      <c r="D1218" s="84"/>
      <c r="E1218" s="84"/>
      <c r="F1218" s="276"/>
      <c r="H1218" s="275"/>
      <c r="I1218" s="275"/>
      <c r="J1218" s="275"/>
      <c r="K1218" s="275"/>
      <c r="L1218" s="275"/>
      <c r="M1218" s="275"/>
      <c r="N1218" s="260"/>
      <c r="O1218" s="99"/>
      <c r="P1218" s="99"/>
      <c r="Q1218" s="99"/>
      <c r="R1218" s="99"/>
      <c r="S1218" s="99"/>
      <c r="T1218" s="99"/>
      <c r="U1218" s="99"/>
      <c r="V1218" s="99"/>
      <c r="W1218" s="99"/>
      <c r="X1218" s="99"/>
      <c r="Y1218" s="99"/>
      <c r="Z1218" s="99"/>
      <c r="AB1218" s="84"/>
      <c r="AC1218" s="84"/>
      <c r="AD1218" s="84"/>
      <c r="AE1218" s="84"/>
      <c r="AF1218" s="84"/>
      <c r="AG1218" s="84"/>
      <c r="AH1218" s="84"/>
      <c r="AI1218" s="84"/>
    </row>
    <row r="1219" ht="15.75" customHeight="1">
      <c r="A1219" s="84"/>
      <c r="B1219" s="84"/>
      <c r="C1219" s="84"/>
      <c r="D1219" s="84"/>
      <c r="E1219" s="84"/>
      <c r="F1219" s="276"/>
      <c r="H1219" s="275"/>
      <c r="I1219" s="275"/>
      <c r="J1219" s="275"/>
      <c r="K1219" s="275"/>
      <c r="L1219" s="275"/>
      <c r="M1219" s="275"/>
      <c r="N1219" s="260"/>
      <c r="O1219" s="99"/>
      <c r="P1219" s="99"/>
      <c r="Q1219" s="99"/>
      <c r="R1219" s="99"/>
      <c r="S1219" s="99"/>
      <c r="T1219" s="99"/>
      <c r="U1219" s="99"/>
      <c r="V1219" s="99"/>
      <c r="W1219" s="99"/>
      <c r="X1219" s="99"/>
      <c r="Y1219" s="99"/>
      <c r="Z1219" s="99"/>
      <c r="AB1219" s="84"/>
      <c r="AC1219" s="84"/>
      <c r="AD1219" s="84"/>
      <c r="AE1219" s="84"/>
      <c r="AF1219" s="84"/>
      <c r="AG1219" s="84"/>
      <c r="AH1219" s="84"/>
      <c r="AI1219" s="84"/>
    </row>
    <row r="1220" ht="15.75" customHeight="1">
      <c r="A1220" s="84"/>
      <c r="B1220" s="84"/>
      <c r="C1220" s="84"/>
      <c r="D1220" s="84"/>
      <c r="E1220" s="84"/>
      <c r="F1220" s="276"/>
      <c r="H1220" s="275"/>
      <c r="I1220" s="275"/>
      <c r="J1220" s="275"/>
      <c r="K1220" s="275"/>
      <c r="L1220" s="275"/>
      <c r="M1220" s="275"/>
      <c r="N1220" s="260"/>
      <c r="O1220" s="99"/>
      <c r="P1220" s="99"/>
      <c r="Q1220" s="99"/>
      <c r="R1220" s="99"/>
      <c r="S1220" s="99"/>
      <c r="T1220" s="99"/>
      <c r="U1220" s="99"/>
      <c r="V1220" s="99"/>
      <c r="W1220" s="99"/>
      <c r="X1220" s="99"/>
      <c r="Y1220" s="99"/>
      <c r="Z1220" s="99"/>
      <c r="AB1220" s="84"/>
      <c r="AC1220" s="84"/>
      <c r="AD1220" s="84"/>
      <c r="AE1220" s="84"/>
      <c r="AF1220" s="84"/>
      <c r="AG1220" s="84"/>
      <c r="AH1220" s="84"/>
      <c r="AI1220" s="84"/>
    </row>
    <row r="1221" ht="15.75" customHeight="1">
      <c r="A1221" s="84"/>
      <c r="B1221" s="84"/>
      <c r="C1221" s="84"/>
      <c r="D1221" s="84"/>
      <c r="E1221" s="84"/>
      <c r="F1221" s="276"/>
      <c r="H1221" s="275"/>
      <c r="I1221" s="275"/>
      <c r="J1221" s="275"/>
      <c r="K1221" s="275"/>
      <c r="L1221" s="275"/>
      <c r="M1221" s="275"/>
      <c r="N1221" s="260"/>
      <c r="O1221" s="99"/>
      <c r="P1221" s="99"/>
      <c r="Q1221" s="99"/>
      <c r="R1221" s="99"/>
      <c r="S1221" s="99"/>
      <c r="T1221" s="99"/>
      <c r="U1221" s="99"/>
      <c r="V1221" s="99"/>
      <c r="W1221" s="99"/>
      <c r="X1221" s="99"/>
      <c r="Y1221" s="99"/>
      <c r="Z1221" s="99"/>
      <c r="AB1221" s="84"/>
      <c r="AC1221" s="84"/>
      <c r="AD1221" s="84"/>
      <c r="AE1221" s="84"/>
      <c r="AF1221" s="84"/>
      <c r="AG1221" s="84"/>
      <c r="AH1221" s="84"/>
      <c r="AI1221" s="84"/>
    </row>
    <row r="1222" ht="15.75" customHeight="1">
      <c r="A1222" s="84"/>
      <c r="B1222" s="84"/>
      <c r="C1222" s="84"/>
      <c r="D1222" s="84"/>
      <c r="E1222" s="84"/>
      <c r="F1222" s="276"/>
      <c r="H1222" s="275"/>
      <c r="I1222" s="275"/>
      <c r="J1222" s="275"/>
      <c r="K1222" s="275"/>
      <c r="L1222" s="275"/>
      <c r="M1222" s="275"/>
      <c r="N1222" s="260"/>
      <c r="O1222" s="99"/>
      <c r="P1222" s="99"/>
      <c r="Q1222" s="99"/>
      <c r="R1222" s="99"/>
      <c r="S1222" s="99"/>
      <c r="T1222" s="99"/>
      <c r="U1222" s="99"/>
      <c r="V1222" s="99"/>
      <c r="W1222" s="99"/>
      <c r="X1222" s="99"/>
      <c r="Y1222" s="99"/>
      <c r="Z1222" s="99"/>
      <c r="AB1222" s="84"/>
      <c r="AC1222" s="84"/>
      <c r="AD1222" s="84"/>
      <c r="AE1222" s="84"/>
      <c r="AF1222" s="84"/>
      <c r="AG1222" s="84"/>
      <c r="AH1222" s="84"/>
      <c r="AI1222" s="84"/>
    </row>
    <row r="1223" ht="15.75" customHeight="1">
      <c r="A1223" s="84"/>
      <c r="B1223" s="84"/>
      <c r="C1223" s="84"/>
      <c r="D1223" s="84"/>
      <c r="E1223" s="84"/>
      <c r="F1223" s="276"/>
      <c r="H1223" s="275"/>
      <c r="I1223" s="275"/>
      <c r="J1223" s="275"/>
      <c r="K1223" s="275"/>
      <c r="L1223" s="275"/>
      <c r="M1223" s="275"/>
      <c r="N1223" s="260"/>
      <c r="O1223" s="99"/>
      <c r="P1223" s="99"/>
      <c r="Q1223" s="99"/>
      <c r="R1223" s="99"/>
      <c r="S1223" s="99"/>
      <c r="T1223" s="99"/>
      <c r="U1223" s="99"/>
      <c r="V1223" s="99"/>
      <c r="W1223" s="99"/>
      <c r="X1223" s="99"/>
      <c r="Y1223" s="99"/>
      <c r="Z1223" s="99"/>
      <c r="AB1223" s="84"/>
      <c r="AC1223" s="84"/>
      <c r="AD1223" s="84"/>
      <c r="AE1223" s="84"/>
      <c r="AF1223" s="84"/>
      <c r="AG1223" s="84"/>
      <c r="AH1223" s="84"/>
      <c r="AI1223" s="84"/>
    </row>
    <row r="1224" ht="15.75" customHeight="1">
      <c r="A1224" s="84"/>
      <c r="B1224" s="84"/>
      <c r="C1224" s="84"/>
      <c r="D1224" s="84"/>
      <c r="E1224" s="84"/>
      <c r="F1224" s="276"/>
      <c r="H1224" s="275"/>
      <c r="I1224" s="275"/>
      <c r="J1224" s="275"/>
      <c r="K1224" s="275"/>
      <c r="L1224" s="275"/>
      <c r="M1224" s="275"/>
      <c r="N1224" s="260"/>
      <c r="O1224" s="99"/>
      <c r="P1224" s="99"/>
      <c r="Q1224" s="99"/>
      <c r="R1224" s="99"/>
      <c r="S1224" s="99"/>
      <c r="T1224" s="99"/>
      <c r="U1224" s="99"/>
      <c r="V1224" s="99"/>
      <c r="W1224" s="99"/>
      <c r="X1224" s="99"/>
      <c r="Y1224" s="99"/>
      <c r="Z1224" s="99"/>
      <c r="AB1224" s="84"/>
      <c r="AC1224" s="84"/>
      <c r="AD1224" s="84"/>
      <c r="AE1224" s="84"/>
      <c r="AF1224" s="84"/>
      <c r="AG1224" s="84"/>
      <c r="AH1224" s="84"/>
      <c r="AI1224" s="84"/>
    </row>
    <row r="1225" ht="15.75" customHeight="1">
      <c r="A1225" s="84"/>
      <c r="B1225" s="84"/>
      <c r="C1225" s="84"/>
      <c r="D1225" s="84"/>
      <c r="E1225" s="84"/>
      <c r="F1225" s="276"/>
      <c r="H1225" s="275"/>
      <c r="I1225" s="275"/>
      <c r="J1225" s="275"/>
      <c r="K1225" s="275"/>
      <c r="L1225" s="275"/>
      <c r="M1225" s="275"/>
      <c r="N1225" s="260"/>
      <c r="O1225" s="99"/>
      <c r="P1225" s="99"/>
      <c r="Q1225" s="99"/>
      <c r="R1225" s="99"/>
      <c r="S1225" s="99"/>
      <c r="T1225" s="99"/>
      <c r="U1225" s="99"/>
      <c r="V1225" s="99"/>
      <c r="W1225" s="99"/>
      <c r="X1225" s="99"/>
      <c r="Y1225" s="99"/>
      <c r="Z1225" s="99"/>
      <c r="AB1225" s="84"/>
      <c r="AC1225" s="84"/>
      <c r="AD1225" s="84"/>
      <c r="AE1225" s="84"/>
      <c r="AF1225" s="84"/>
      <c r="AG1225" s="84"/>
      <c r="AH1225" s="84"/>
      <c r="AI1225" s="84"/>
    </row>
    <row r="1226" ht="15.75" customHeight="1">
      <c r="A1226" s="84"/>
      <c r="B1226" s="84"/>
      <c r="C1226" s="84"/>
      <c r="D1226" s="84"/>
      <c r="E1226" s="84"/>
      <c r="F1226" s="276"/>
      <c r="H1226" s="275"/>
      <c r="I1226" s="275"/>
      <c r="J1226" s="275"/>
      <c r="K1226" s="275"/>
      <c r="L1226" s="275"/>
      <c r="M1226" s="275"/>
      <c r="N1226" s="260"/>
      <c r="O1226" s="99"/>
      <c r="P1226" s="99"/>
      <c r="Q1226" s="99"/>
      <c r="R1226" s="99"/>
      <c r="S1226" s="99"/>
      <c r="T1226" s="99"/>
      <c r="U1226" s="99"/>
      <c r="V1226" s="99"/>
      <c r="W1226" s="99"/>
      <c r="X1226" s="99"/>
      <c r="Y1226" s="99"/>
      <c r="Z1226" s="99"/>
      <c r="AB1226" s="84"/>
      <c r="AC1226" s="84"/>
      <c r="AD1226" s="84"/>
      <c r="AE1226" s="84"/>
      <c r="AF1226" s="84"/>
      <c r="AG1226" s="84"/>
      <c r="AH1226" s="84"/>
      <c r="AI1226" s="84"/>
    </row>
    <row r="1227" ht="15.75" customHeight="1">
      <c r="A1227" s="84"/>
      <c r="B1227" s="84"/>
      <c r="C1227" s="84"/>
      <c r="D1227" s="84"/>
      <c r="E1227" s="84"/>
      <c r="F1227" s="276"/>
      <c r="H1227" s="275"/>
      <c r="I1227" s="275"/>
      <c r="J1227" s="275"/>
      <c r="K1227" s="275"/>
      <c r="L1227" s="275"/>
      <c r="M1227" s="275"/>
      <c r="N1227" s="260"/>
      <c r="O1227" s="99"/>
      <c r="P1227" s="99"/>
      <c r="Q1227" s="99"/>
      <c r="R1227" s="99"/>
      <c r="S1227" s="99"/>
      <c r="T1227" s="99"/>
      <c r="U1227" s="99"/>
      <c r="V1227" s="99"/>
      <c r="W1227" s="99"/>
      <c r="X1227" s="99"/>
      <c r="Y1227" s="99"/>
      <c r="Z1227" s="99"/>
      <c r="AB1227" s="84"/>
      <c r="AC1227" s="84"/>
      <c r="AD1227" s="84"/>
      <c r="AE1227" s="84"/>
      <c r="AF1227" s="84"/>
      <c r="AG1227" s="84"/>
      <c r="AH1227" s="84"/>
      <c r="AI1227" s="84"/>
    </row>
    <row r="1228" ht="15.75" customHeight="1">
      <c r="A1228" s="84"/>
      <c r="B1228" s="84"/>
      <c r="C1228" s="84"/>
      <c r="D1228" s="84"/>
      <c r="E1228" s="84"/>
      <c r="F1228" s="276"/>
      <c r="H1228" s="275"/>
      <c r="I1228" s="275"/>
      <c r="J1228" s="275"/>
      <c r="K1228" s="275"/>
      <c r="L1228" s="275"/>
      <c r="M1228" s="275"/>
      <c r="N1228" s="260"/>
      <c r="O1228" s="99"/>
      <c r="P1228" s="99"/>
      <c r="Q1228" s="99"/>
      <c r="R1228" s="99"/>
      <c r="S1228" s="99"/>
      <c r="T1228" s="99"/>
      <c r="U1228" s="99"/>
      <c r="V1228" s="99"/>
      <c r="W1228" s="99"/>
      <c r="X1228" s="99"/>
      <c r="Y1228" s="99"/>
      <c r="Z1228" s="99"/>
      <c r="AB1228" s="84"/>
      <c r="AC1228" s="84"/>
      <c r="AD1228" s="84"/>
      <c r="AE1228" s="84"/>
      <c r="AF1228" s="84"/>
      <c r="AG1228" s="84"/>
      <c r="AH1228" s="84"/>
      <c r="AI1228" s="84"/>
    </row>
    <row r="1229" ht="15.75" customHeight="1">
      <c r="A1229" s="84"/>
      <c r="B1229" s="84"/>
      <c r="C1229" s="84"/>
      <c r="D1229" s="84"/>
      <c r="E1229" s="84"/>
      <c r="F1229" s="276"/>
      <c r="H1229" s="275"/>
      <c r="I1229" s="275"/>
      <c r="J1229" s="275"/>
      <c r="K1229" s="275"/>
      <c r="L1229" s="275"/>
      <c r="M1229" s="275"/>
      <c r="N1229" s="260"/>
      <c r="O1229" s="99"/>
      <c r="P1229" s="99"/>
      <c r="Q1229" s="99"/>
      <c r="R1229" s="99"/>
      <c r="S1229" s="99"/>
      <c r="T1229" s="99"/>
      <c r="U1229" s="99"/>
      <c r="V1229" s="99"/>
      <c r="W1229" s="99"/>
      <c r="X1229" s="99"/>
      <c r="Y1229" s="99"/>
      <c r="Z1229" s="99"/>
      <c r="AB1229" s="84"/>
      <c r="AC1229" s="84"/>
      <c r="AD1229" s="84"/>
      <c r="AE1229" s="84"/>
      <c r="AF1229" s="84"/>
      <c r="AG1229" s="84"/>
      <c r="AH1229" s="84"/>
      <c r="AI1229" s="84"/>
    </row>
    <row r="1230" ht="15.75" customHeight="1">
      <c r="A1230" s="84"/>
      <c r="B1230" s="84"/>
      <c r="C1230" s="84"/>
      <c r="D1230" s="84"/>
      <c r="E1230" s="84"/>
      <c r="F1230" s="276"/>
      <c r="H1230" s="275"/>
      <c r="I1230" s="275"/>
      <c r="J1230" s="275"/>
      <c r="K1230" s="275"/>
      <c r="L1230" s="275"/>
      <c r="M1230" s="275"/>
      <c r="N1230" s="260"/>
      <c r="O1230" s="99"/>
      <c r="P1230" s="99"/>
      <c r="Q1230" s="99"/>
      <c r="R1230" s="99"/>
      <c r="S1230" s="99"/>
      <c r="T1230" s="99"/>
      <c r="U1230" s="99"/>
      <c r="V1230" s="99"/>
      <c r="W1230" s="99"/>
      <c r="X1230" s="99"/>
      <c r="Y1230" s="99"/>
      <c r="Z1230" s="99"/>
      <c r="AB1230" s="84"/>
      <c r="AC1230" s="84"/>
      <c r="AD1230" s="84"/>
      <c r="AE1230" s="84"/>
      <c r="AF1230" s="84"/>
      <c r="AG1230" s="84"/>
      <c r="AH1230" s="84"/>
      <c r="AI1230" s="84"/>
    </row>
    <row r="1231" ht="15.75" customHeight="1">
      <c r="A1231" s="84"/>
      <c r="B1231" s="84"/>
      <c r="C1231" s="84"/>
      <c r="D1231" s="84"/>
      <c r="E1231" s="84"/>
      <c r="F1231" s="276"/>
      <c r="H1231" s="275"/>
      <c r="I1231" s="275"/>
      <c r="J1231" s="275"/>
      <c r="K1231" s="275"/>
      <c r="L1231" s="275"/>
      <c r="M1231" s="275"/>
      <c r="N1231" s="260"/>
      <c r="O1231" s="99"/>
      <c r="P1231" s="99"/>
      <c r="Q1231" s="99"/>
      <c r="R1231" s="99"/>
      <c r="S1231" s="99"/>
      <c r="T1231" s="99"/>
      <c r="U1231" s="99"/>
      <c r="V1231" s="99"/>
      <c r="W1231" s="99"/>
      <c r="X1231" s="99"/>
      <c r="Y1231" s="99"/>
      <c r="Z1231" s="99"/>
      <c r="AB1231" s="84"/>
      <c r="AC1231" s="84"/>
      <c r="AD1231" s="84"/>
      <c r="AE1231" s="84"/>
      <c r="AF1231" s="84"/>
      <c r="AG1231" s="84"/>
      <c r="AH1231" s="84"/>
      <c r="AI1231" s="84"/>
    </row>
    <row r="1232" ht="15.75" customHeight="1">
      <c r="A1232" s="84"/>
      <c r="B1232" s="84"/>
      <c r="C1232" s="84"/>
      <c r="D1232" s="84"/>
      <c r="E1232" s="84"/>
      <c r="F1232" s="276"/>
      <c r="H1232" s="275"/>
      <c r="I1232" s="275"/>
      <c r="J1232" s="275"/>
      <c r="K1232" s="275"/>
      <c r="L1232" s="275"/>
      <c r="M1232" s="275"/>
      <c r="N1232" s="260"/>
      <c r="O1232" s="99"/>
      <c r="P1232" s="99"/>
      <c r="Q1232" s="99"/>
      <c r="R1232" s="99"/>
      <c r="S1232" s="99"/>
      <c r="T1232" s="99"/>
      <c r="U1232" s="99"/>
      <c r="V1232" s="99"/>
      <c r="W1232" s="99"/>
      <c r="X1232" s="99"/>
      <c r="Y1232" s="99"/>
      <c r="Z1232" s="99"/>
      <c r="AB1232" s="84"/>
      <c r="AC1232" s="84"/>
      <c r="AD1232" s="84"/>
      <c r="AE1232" s="84"/>
      <c r="AF1232" s="84"/>
      <c r="AG1232" s="84"/>
      <c r="AH1232" s="84"/>
      <c r="AI1232" s="84"/>
    </row>
    <row r="1233" ht="15.75" customHeight="1">
      <c r="A1233" s="84"/>
      <c r="B1233" s="84"/>
      <c r="C1233" s="84"/>
      <c r="D1233" s="84"/>
      <c r="E1233" s="84"/>
      <c r="F1233" s="276"/>
      <c r="H1233" s="275"/>
      <c r="I1233" s="275"/>
      <c r="J1233" s="275"/>
      <c r="K1233" s="275"/>
      <c r="L1233" s="275"/>
      <c r="M1233" s="275"/>
      <c r="N1233" s="260"/>
      <c r="O1233" s="99"/>
      <c r="P1233" s="99"/>
      <c r="Q1233" s="99"/>
      <c r="R1233" s="99"/>
      <c r="S1233" s="99"/>
      <c r="T1233" s="99"/>
      <c r="U1233" s="99"/>
      <c r="V1233" s="99"/>
      <c r="W1233" s="99"/>
      <c r="X1233" s="99"/>
      <c r="Y1233" s="99"/>
      <c r="Z1233" s="99"/>
      <c r="AB1233" s="84"/>
      <c r="AC1233" s="84"/>
      <c r="AD1233" s="84"/>
      <c r="AE1233" s="84"/>
      <c r="AF1233" s="84"/>
      <c r="AG1233" s="84"/>
      <c r="AH1233" s="84"/>
      <c r="AI1233" s="84"/>
    </row>
    <row r="1234" ht="15.75" customHeight="1">
      <c r="A1234" s="84"/>
      <c r="B1234" s="84"/>
      <c r="C1234" s="84"/>
      <c r="D1234" s="84"/>
      <c r="E1234" s="84"/>
      <c r="F1234" s="276"/>
      <c r="H1234" s="275"/>
      <c r="I1234" s="275"/>
      <c r="J1234" s="275"/>
      <c r="K1234" s="275"/>
      <c r="L1234" s="275"/>
      <c r="M1234" s="275"/>
      <c r="N1234" s="260"/>
      <c r="O1234" s="99"/>
      <c r="P1234" s="99"/>
      <c r="Q1234" s="99"/>
      <c r="R1234" s="99"/>
      <c r="S1234" s="99"/>
      <c r="T1234" s="99"/>
      <c r="U1234" s="99"/>
      <c r="V1234" s="99"/>
      <c r="W1234" s="99"/>
      <c r="X1234" s="99"/>
      <c r="Y1234" s="99"/>
      <c r="Z1234" s="99"/>
      <c r="AB1234" s="84"/>
      <c r="AC1234" s="84"/>
      <c r="AD1234" s="84"/>
      <c r="AE1234" s="84"/>
      <c r="AF1234" s="84"/>
      <c r="AG1234" s="84"/>
      <c r="AH1234" s="84"/>
      <c r="AI1234" s="84"/>
    </row>
    <row r="1235" ht="15.75" customHeight="1">
      <c r="A1235" s="84"/>
      <c r="B1235" s="84"/>
      <c r="C1235" s="84"/>
      <c r="D1235" s="84"/>
      <c r="E1235" s="84"/>
      <c r="F1235" s="276"/>
      <c r="H1235" s="275"/>
      <c r="I1235" s="275"/>
      <c r="J1235" s="275"/>
      <c r="K1235" s="275"/>
      <c r="L1235" s="275"/>
      <c r="M1235" s="275"/>
      <c r="N1235" s="260"/>
      <c r="O1235" s="99"/>
      <c r="P1235" s="99"/>
      <c r="Q1235" s="99"/>
      <c r="R1235" s="99"/>
      <c r="S1235" s="99"/>
      <c r="T1235" s="99"/>
      <c r="U1235" s="99"/>
      <c r="V1235" s="99"/>
      <c r="W1235" s="99"/>
      <c r="X1235" s="99"/>
      <c r="Y1235" s="99"/>
      <c r="Z1235" s="99"/>
      <c r="AB1235" s="84"/>
      <c r="AC1235" s="84"/>
      <c r="AD1235" s="84"/>
      <c r="AE1235" s="84"/>
      <c r="AF1235" s="84"/>
      <c r="AG1235" s="84"/>
      <c r="AH1235" s="84"/>
      <c r="AI1235" s="84"/>
    </row>
    <row r="1236" ht="15.75" customHeight="1">
      <c r="A1236" s="84"/>
      <c r="B1236" s="84"/>
      <c r="C1236" s="84"/>
      <c r="D1236" s="84"/>
      <c r="E1236" s="84"/>
      <c r="F1236" s="276"/>
      <c r="H1236" s="275"/>
      <c r="I1236" s="275"/>
      <c r="J1236" s="275"/>
      <c r="K1236" s="275"/>
      <c r="L1236" s="275"/>
      <c r="M1236" s="275"/>
      <c r="N1236" s="260"/>
      <c r="O1236" s="99"/>
      <c r="P1236" s="99"/>
      <c r="Q1236" s="99"/>
      <c r="R1236" s="99"/>
      <c r="S1236" s="99"/>
      <c r="T1236" s="99"/>
      <c r="U1236" s="99"/>
      <c r="V1236" s="99"/>
      <c r="W1236" s="99"/>
      <c r="X1236" s="99"/>
      <c r="Y1236" s="99"/>
      <c r="Z1236" s="99"/>
      <c r="AB1236" s="84"/>
      <c r="AC1236" s="84"/>
      <c r="AD1236" s="84"/>
      <c r="AE1236" s="84"/>
      <c r="AF1236" s="84"/>
      <c r="AG1236" s="84"/>
      <c r="AH1236" s="84"/>
      <c r="AI1236" s="84"/>
    </row>
    <row r="1237" ht="15.75" customHeight="1">
      <c r="A1237" s="84"/>
      <c r="B1237" s="84"/>
      <c r="C1237" s="84"/>
      <c r="D1237" s="84"/>
      <c r="E1237" s="84"/>
      <c r="F1237" s="276"/>
      <c r="H1237" s="275"/>
      <c r="I1237" s="275"/>
      <c r="J1237" s="275"/>
      <c r="K1237" s="275"/>
      <c r="L1237" s="275"/>
      <c r="M1237" s="275"/>
      <c r="N1237" s="260"/>
      <c r="O1237" s="99"/>
      <c r="P1237" s="99"/>
      <c r="Q1237" s="99"/>
      <c r="R1237" s="99"/>
      <c r="S1237" s="99"/>
      <c r="T1237" s="99"/>
      <c r="U1237" s="99"/>
      <c r="V1237" s="99"/>
      <c r="W1237" s="99"/>
      <c r="X1237" s="99"/>
      <c r="Y1237" s="99"/>
      <c r="Z1237" s="99"/>
      <c r="AB1237" s="84"/>
      <c r="AC1237" s="84"/>
      <c r="AD1237" s="84"/>
      <c r="AE1237" s="84"/>
      <c r="AF1237" s="84"/>
      <c r="AG1237" s="84"/>
      <c r="AH1237" s="84"/>
      <c r="AI1237" s="84"/>
    </row>
    <row r="1238" ht="15.75" customHeight="1">
      <c r="A1238" s="84"/>
      <c r="B1238" s="84"/>
      <c r="C1238" s="84"/>
      <c r="D1238" s="84"/>
      <c r="E1238" s="84"/>
      <c r="F1238" s="276"/>
      <c r="H1238" s="275"/>
      <c r="I1238" s="275"/>
      <c r="J1238" s="275"/>
      <c r="K1238" s="275"/>
      <c r="L1238" s="275"/>
      <c r="M1238" s="275"/>
      <c r="N1238" s="260"/>
      <c r="O1238" s="99"/>
      <c r="P1238" s="99"/>
      <c r="Q1238" s="99"/>
      <c r="R1238" s="99"/>
      <c r="S1238" s="99"/>
      <c r="T1238" s="99"/>
      <c r="U1238" s="99"/>
      <c r="V1238" s="99"/>
      <c r="W1238" s="99"/>
      <c r="X1238" s="99"/>
      <c r="Y1238" s="99"/>
      <c r="Z1238" s="99"/>
      <c r="AB1238" s="84"/>
      <c r="AC1238" s="84"/>
      <c r="AD1238" s="84"/>
      <c r="AE1238" s="84"/>
      <c r="AF1238" s="84"/>
      <c r="AG1238" s="84"/>
      <c r="AH1238" s="84"/>
      <c r="AI1238" s="84"/>
    </row>
    <row r="1239" ht="15.75" customHeight="1">
      <c r="A1239" s="84"/>
      <c r="B1239" s="84"/>
      <c r="C1239" s="84"/>
      <c r="D1239" s="84"/>
      <c r="E1239" s="84"/>
      <c r="F1239" s="276"/>
      <c r="H1239" s="275"/>
      <c r="I1239" s="275"/>
      <c r="J1239" s="275"/>
      <c r="K1239" s="275"/>
      <c r="L1239" s="275"/>
      <c r="M1239" s="275"/>
      <c r="N1239" s="260"/>
      <c r="O1239" s="99"/>
      <c r="P1239" s="99"/>
      <c r="Q1239" s="99"/>
      <c r="R1239" s="99"/>
      <c r="S1239" s="99"/>
      <c r="T1239" s="99"/>
      <c r="U1239" s="99"/>
      <c r="V1239" s="99"/>
      <c r="W1239" s="99"/>
      <c r="X1239" s="99"/>
      <c r="Y1239" s="99"/>
      <c r="Z1239" s="99"/>
      <c r="AB1239" s="84"/>
      <c r="AC1239" s="84"/>
      <c r="AD1239" s="84"/>
      <c r="AE1239" s="84"/>
      <c r="AF1239" s="84"/>
      <c r="AG1239" s="84"/>
      <c r="AH1239" s="84"/>
      <c r="AI1239" s="84"/>
    </row>
    <row r="1240" ht="15.75" customHeight="1">
      <c r="A1240" s="84"/>
      <c r="B1240" s="84"/>
      <c r="C1240" s="84"/>
      <c r="D1240" s="84"/>
      <c r="E1240" s="84"/>
      <c r="F1240" s="276"/>
      <c r="H1240" s="275"/>
      <c r="I1240" s="275"/>
      <c r="J1240" s="275"/>
      <c r="K1240" s="275"/>
      <c r="L1240" s="275"/>
      <c r="M1240" s="275"/>
      <c r="N1240" s="260"/>
      <c r="O1240" s="99"/>
      <c r="P1240" s="99"/>
      <c r="Q1240" s="99"/>
      <c r="R1240" s="99"/>
      <c r="S1240" s="99"/>
      <c r="T1240" s="99"/>
      <c r="U1240" s="99"/>
      <c r="V1240" s="99"/>
      <c r="W1240" s="99"/>
      <c r="X1240" s="99"/>
      <c r="Y1240" s="99"/>
      <c r="Z1240" s="99"/>
      <c r="AB1240" s="84"/>
      <c r="AC1240" s="84"/>
      <c r="AD1240" s="84"/>
      <c r="AE1240" s="84"/>
      <c r="AF1240" s="84"/>
      <c r="AG1240" s="84"/>
      <c r="AH1240" s="84"/>
      <c r="AI1240" s="84"/>
    </row>
    <row r="1241" ht="15.75" customHeight="1">
      <c r="A1241" s="84"/>
      <c r="B1241" s="84"/>
      <c r="C1241" s="84"/>
      <c r="D1241" s="84"/>
      <c r="E1241" s="84"/>
      <c r="F1241" s="276"/>
      <c r="H1241" s="275"/>
      <c r="I1241" s="275"/>
      <c r="J1241" s="275"/>
      <c r="K1241" s="275"/>
      <c r="L1241" s="275"/>
      <c r="M1241" s="275"/>
      <c r="N1241" s="260"/>
      <c r="O1241" s="99"/>
      <c r="P1241" s="99"/>
      <c r="Q1241" s="99"/>
      <c r="R1241" s="99"/>
      <c r="S1241" s="99"/>
      <c r="T1241" s="99"/>
      <c r="U1241" s="99"/>
      <c r="V1241" s="99"/>
      <c r="W1241" s="99"/>
      <c r="X1241" s="99"/>
      <c r="Y1241" s="99"/>
      <c r="Z1241" s="99"/>
      <c r="AB1241" s="84"/>
      <c r="AC1241" s="84"/>
      <c r="AD1241" s="84"/>
      <c r="AE1241" s="84"/>
      <c r="AF1241" s="84"/>
      <c r="AG1241" s="84"/>
      <c r="AH1241" s="84"/>
      <c r="AI1241" s="84"/>
    </row>
    <row r="1242" ht="15.75" customHeight="1">
      <c r="A1242" s="84"/>
      <c r="B1242" s="84"/>
      <c r="C1242" s="84"/>
      <c r="D1242" s="84"/>
      <c r="E1242" s="84"/>
      <c r="F1242" s="276"/>
      <c r="H1242" s="275"/>
      <c r="I1242" s="275"/>
      <c r="J1242" s="275"/>
      <c r="K1242" s="275"/>
      <c r="L1242" s="275"/>
      <c r="M1242" s="275"/>
      <c r="N1242" s="260"/>
      <c r="O1242" s="99"/>
      <c r="P1242" s="99"/>
      <c r="Q1242" s="99"/>
      <c r="R1242" s="99"/>
      <c r="S1242" s="99"/>
      <c r="T1242" s="99"/>
      <c r="U1242" s="99"/>
      <c r="V1242" s="99"/>
      <c r="W1242" s="99"/>
      <c r="X1242" s="99"/>
      <c r="Y1242" s="99"/>
      <c r="Z1242" s="99"/>
      <c r="AB1242" s="84"/>
      <c r="AC1242" s="84"/>
      <c r="AD1242" s="84"/>
      <c r="AE1242" s="84"/>
      <c r="AF1242" s="84"/>
      <c r="AG1242" s="84"/>
      <c r="AH1242" s="84"/>
      <c r="AI1242" s="84"/>
    </row>
    <row r="1243" ht="15.75" customHeight="1">
      <c r="A1243" s="84"/>
      <c r="B1243" s="84"/>
      <c r="C1243" s="84"/>
      <c r="D1243" s="84"/>
      <c r="E1243" s="84"/>
      <c r="F1243" s="276"/>
      <c r="H1243" s="275"/>
      <c r="I1243" s="275"/>
      <c r="J1243" s="275"/>
      <c r="K1243" s="275"/>
      <c r="L1243" s="275"/>
      <c r="M1243" s="275"/>
      <c r="N1243" s="260"/>
      <c r="O1243" s="99"/>
      <c r="P1243" s="99"/>
      <c r="Q1243" s="99"/>
      <c r="R1243" s="99"/>
      <c r="S1243" s="99"/>
      <c r="T1243" s="99"/>
      <c r="U1243" s="99"/>
      <c r="V1243" s="99"/>
      <c r="W1243" s="99"/>
      <c r="X1243" s="99"/>
      <c r="Y1243" s="99"/>
      <c r="Z1243" s="99"/>
      <c r="AB1243" s="84"/>
      <c r="AC1243" s="84"/>
      <c r="AD1243" s="84"/>
      <c r="AE1243" s="84"/>
      <c r="AF1243" s="84"/>
      <c r="AG1243" s="84"/>
      <c r="AH1243" s="84"/>
      <c r="AI1243" s="84"/>
    </row>
    <row r="1244" ht="15.75" customHeight="1">
      <c r="A1244" s="84"/>
      <c r="B1244" s="84"/>
      <c r="C1244" s="84"/>
      <c r="D1244" s="84"/>
      <c r="E1244" s="84"/>
      <c r="F1244" s="276"/>
      <c r="H1244" s="275"/>
      <c r="I1244" s="275"/>
      <c r="J1244" s="275"/>
      <c r="K1244" s="275"/>
      <c r="L1244" s="275"/>
      <c r="M1244" s="275"/>
      <c r="N1244" s="260"/>
      <c r="O1244" s="99"/>
      <c r="P1244" s="99"/>
      <c r="Q1244" s="99"/>
      <c r="R1244" s="99"/>
      <c r="S1244" s="99"/>
      <c r="T1244" s="99"/>
      <c r="U1244" s="99"/>
      <c r="V1244" s="99"/>
      <c r="W1244" s="99"/>
      <c r="X1244" s="99"/>
      <c r="Y1244" s="99"/>
      <c r="Z1244" s="99"/>
      <c r="AB1244" s="84"/>
      <c r="AC1244" s="84"/>
      <c r="AD1244" s="84"/>
      <c r="AE1244" s="84"/>
      <c r="AF1244" s="84"/>
      <c r="AG1244" s="84"/>
      <c r="AH1244" s="84"/>
      <c r="AI1244" s="84"/>
    </row>
    <row r="1245" ht="15.75" customHeight="1">
      <c r="A1245" s="84"/>
      <c r="B1245" s="84"/>
      <c r="C1245" s="84"/>
      <c r="D1245" s="84"/>
      <c r="E1245" s="84"/>
      <c r="F1245" s="276"/>
      <c r="H1245" s="275"/>
      <c r="I1245" s="275"/>
      <c r="J1245" s="275"/>
      <c r="K1245" s="275"/>
      <c r="L1245" s="275"/>
      <c r="M1245" s="275"/>
      <c r="N1245" s="260"/>
      <c r="O1245" s="99"/>
      <c r="P1245" s="99"/>
      <c r="Q1245" s="99"/>
      <c r="R1245" s="99"/>
      <c r="S1245" s="99"/>
      <c r="T1245" s="99"/>
      <c r="U1245" s="99"/>
      <c r="V1245" s="99"/>
      <c r="W1245" s="99"/>
      <c r="X1245" s="99"/>
      <c r="Y1245" s="99"/>
      <c r="Z1245" s="99"/>
      <c r="AB1245" s="84"/>
      <c r="AC1245" s="84"/>
      <c r="AD1245" s="84"/>
      <c r="AE1245" s="84"/>
      <c r="AF1245" s="84"/>
      <c r="AG1245" s="84"/>
      <c r="AH1245" s="84"/>
      <c r="AI1245" s="84"/>
    </row>
    <row r="1246" ht="15.75" customHeight="1">
      <c r="A1246" s="84"/>
      <c r="B1246" s="84"/>
      <c r="C1246" s="84"/>
      <c r="D1246" s="84"/>
      <c r="E1246" s="84"/>
      <c r="F1246" s="276"/>
      <c r="H1246" s="275"/>
      <c r="I1246" s="275"/>
      <c r="J1246" s="275"/>
      <c r="K1246" s="275"/>
      <c r="L1246" s="275"/>
      <c r="M1246" s="275"/>
      <c r="N1246" s="260"/>
      <c r="O1246" s="99"/>
      <c r="P1246" s="99"/>
      <c r="Q1246" s="99"/>
      <c r="R1246" s="99"/>
      <c r="S1246" s="99"/>
      <c r="T1246" s="99"/>
      <c r="U1246" s="99"/>
      <c r="V1246" s="99"/>
      <c r="W1246" s="99"/>
      <c r="X1246" s="99"/>
      <c r="Y1246" s="99"/>
      <c r="Z1246" s="99"/>
      <c r="AB1246" s="84"/>
      <c r="AC1246" s="84"/>
      <c r="AD1246" s="84"/>
      <c r="AE1246" s="84"/>
      <c r="AF1246" s="84"/>
      <c r="AG1246" s="84"/>
      <c r="AH1246" s="84"/>
      <c r="AI1246" s="84"/>
    </row>
    <row r="1247" ht="15.75" customHeight="1">
      <c r="A1247" s="84"/>
      <c r="B1247" s="84"/>
      <c r="C1247" s="84"/>
      <c r="D1247" s="84"/>
      <c r="E1247" s="84"/>
      <c r="F1247" s="276"/>
      <c r="H1247" s="275"/>
      <c r="I1247" s="275"/>
      <c r="J1247" s="275"/>
      <c r="K1247" s="275"/>
      <c r="L1247" s="275"/>
      <c r="M1247" s="275"/>
      <c r="N1247" s="260"/>
      <c r="O1247" s="99"/>
      <c r="P1247" s="99"/>
      <c r="Q1247" s="99"/>
      <c r="R1247" s="99"/>
      <c r="S1247" s="99"/>
      <c r="T1247" s="99"/>
      <c r="U1247" s="99"/>
      <c r="V1247" s="99"/>
      <c r="W1247" s="99"/>
      <c r="X1247" s="99"/>
      <c r="Y1247" s="99"/>
      <c r="Z1247" s="99"/>
      <c r="AB1247" s="84"/>
      <c r="AC1247" s="84"/>
      <c r="AD1247" s="84"/>
      <c r="AE1247" s="84"/>
      <c r="AF1247" s="84"/>
      <c r="AG1247" s="84"/>
      <c r="AH1247" s="84"/>
      <c r="AI1247" s="84"/>
    </row>
    <row r="1248" ht="15.75" customHeight="1">
      <c r="A1248" s="84"/>
      <c r="B1248" s="84"/>
      <c r="C1248" s="84"/>
      <c r="D1248" s="84"/>
      <c r="E1248" s="84"/>
      <c r="F1248" s="276"/>
      <c r="H1248" s="275"/>
      <c r="I1248" s="275"/>
      <c r="J1248" s="275"/>
      <c r="K1248" s="275"/>
      <c r="L1248" s="275"/>
      <c r="M1248" s="275"/>
      <c r="N1248" s="260"/>
      <c r="O1248" s="99"/>
      <c r="P1248" s="99"/>
      <c r="Q1248" s="99"/>
      <c r="R1248" s="99"/>
      <c r="S1248" s="99"/>
      <c r="T1248" s="99"/>
      <c r="U1248" s="99"/>
      <c r="V1248" s="99"/>
      <c r="W1248" s="99"/>
      <c r="X1248" s="99"/>
      <c r="Y1248" s="99"/>
      <c r="Z1248" s="99"/>
      <c r="AB1248" s="84"/>
      <c r="AC1248" s="84"/>
      <c r="AD1248" s="84"/>
      <c r="AE1248" s="84"/>
      <c r="AF1248" s="84"/>
      <c r="AG1248" s="84"/>
      <c r="AH1248" s="84"/>
      <c r="AI1248" s="84"/>
    </row>
    <row r="1249" ht="15.75" customHeight="1">
      <c r="A1249" s="84"/>
      <c r="B1249" s="84"/>
      <c r="C1249" s="84"/>
      <c r="D1249" s="84"/>
      <c r="E1249" s="84"/>
      <c r="F1249" s="276"/>
      <c r="H1249" s="275"/>
      <c r="I1249" s="275"/>
      <c r="J1249" s="275"/>
      <c r="K1249" s="275"/>
      <c r="L1249" s="275"/>
      <c r="M1249" s="275"/>
      <c r="N1249" s="260"/>
      <c r="O1249" s="99"/>
      <c r="P1249" s="99"/>
      <c r="Q1249" s="99"/>
      <c r="R1249" s="99"/>
      <c r="S1249" s="99"/>
      <c r="T1249" s="99"/>
      <c r="U1249" s="99"/>
      <c r="V1249" s="99"/>
      <c r="W1249" s="99"/>
      <c r="X1249" s="99"/>
      <c r="Y1249" s="99"/>
      <c r="Z1249" s="99"/>
      <c r="AB1249" s="84"/>
      <c r="AC1249" s="84"/>
      <c r="AD1249" s="84"/>
      <c r="AE1249" s="84"/>
      <c r="AF1249" s="84"/>
      <c r="AG1249" s="84"/>
      <c r="AH1249" s="84"/>
      <c r="AI1249" s="84"/>
    </row>
    <row r="1250" ht="15.75" customHeight="1">
      <c r="A1250" s="84"/>
      <c r="B1250" s="84"/>
      <c r="C1250" s="84"/>
      <c r="D1250" s="84"/>
      <c r="E1250" s="84"/>
      <c r="F1250" s="276"/>
      <c r="H1250" s="275"/>
      <c r="I1250" s="275"/>
      <c r="J1250" s="275"/>
      <c r="K1250" s="275"/>
      <c r="L1250" s="275"/>
      <c r="M1250" s="275"/>
      <c r="N1250" s="260"/>
      <c r="O1250" s="99"/>
      <c r="P1250" s="99"/>
      <c r="Q1250" s="99"/>
      <c r="R1250" s="99"/>
      <c r="S1250" s="99"/>
      <c r="T1250" s="99"/>
      <c r="U1250" s="99"/>
      <c r="V1250" s="99"/>
      <c r="W1250" s="99"/>
      <c r="X1250" s="99"/>
      <c r="Y1250" s="99"/>
      <c r="Z1250" s="99"/>
      <c r="AB1250" s="84"/>
      <c r="AC1250" s="84"/>
      <c r="AD1250" s="84"/>
      <c r="AE1250" s="84"/>
      <c r="AF1250" s="84"/>
      <c r="AG1250" s="84"/>
      <c r="AH1250" s="84"/>
      <c r="AI1250" s="84"/>
    </row>
    <row r="1251" ht="15.75" customHeight="1">
      <c r="A1251" s="84"/>
      <c r="B1251" s="84"/>
      <c r="C1251" s="84"/>
      <c r="D1251" s="84"/>
      <c r="E1251" s="84"/>
      <c r="F1251" s="276"/>
      <c r="H1251" s="275"/>
      <c r="I1251" s="275"/>
      <c r="J1251" s="275"/>
      <c r="K1251" s="275"/>
      <c r="L1251" s="275"/>
      <c r="M1251" s="275"/>
      <c r="N1251" s="260"/>
      <c r="O1251" s="99"/>
      <c r="P1251" s="99"/>
      <c r="Q1251" s="99"/>
      <c r="R1251" s="99"/>
      <c r="S1251" s="99"/>
      <c r="T1251" s="99"/>
      <c r="U1251" s="99"/>
      <c r="V1251" s="99"/>
      <c r="W1251" s="99"/>
      <c r="X1251" s="99"/>
      <c r="Y1251" s="99"/>
      <c r="Z1251" s="99"/>
      <c r="AB1251" s="84"/>
      <c r="AC1251" s="84"/>
      <c r="AD1251" s="84"/>
      <c r="AE1251" s="84"/>
      <c r="AF1251" s="84"/>
      <c r="AG1251" s="84"/>
      <c r="AH1251" s="84"/>
      <c r="AI1251" s="84"/>
    </row>
    <row r="1252" ht="15.75" customHeight="1">
      <c r="A1252" s="84"/>
      <c r="B1252" s="84"/>
      <c r="C1252" s="84"/>
      <c r="D1252" s="84"/>
      <c r="E1252" s="84"/>
      <c r="F1252" s="276"/>
      <c r="H1252" s="275"/>
      <c r="I1252" s="275"/>
      <c r="J1252" s="275"/>
      <c r="K1252" s="275"/>
      <c r="L1252" s="275"/>
      <c r="M1252" s="275"/>
      <c r="N1252" s="260"/>
      <c r="O1252" s="99"/>
      <c r="P1252" s="99"/>
      <c r="Q1252" s="99"/>
      <c r="R1252" s="99"/>
      <c r="S1252" s="99"/>
      <c r="T1252" s="99"/>
      <c r="U1252" s="99"/>
      <c r="V1252" s="99"/>
      <c r="W1252" s="99"/>
      <c r="X1252" s="99"/>
      <c r="Y1252" s="99"/>
      <c r="Z1252" s="99"/>
      <c r="AB1252" s="84"/>
      <c r="AC1252" s="84"/>
      <c r="AD1252" s="84"/>
      <c r="AE1252" s="84"/>
      <c r="AF1252" s="84"/>
      <c r="AG1252" s="84"/>
      <c r="AH1252" s="84"/>
      <c r="AI1252" s="84"/>
    </row>
    <row r="1253" ht="15.75" customHeight="1">
      <c r="A1253" s="84"/>
      <c r="B1253" s="84"/>
      <c r="C1253" s="84"/>
      <c r="D1253" s="84"/>
      <c r="E1253" s="84"/>
      <c r="F1253" s="276"/>
      <c r="H1253" s="275"/>
      <c r="I1253" s="275"/>
      <c r="J1253" s="275"/>
      <c r="K1253" s="275"/>
      <c r="L1253" s="275"/>
      <c r="M1253" s="275"/>
      <c r="N1253" s="260"/>
      <c r="O1253" s="99"/>
      <c r="P1253" s="99"/>
      <c r="Q1253" s="99"/>
      <c r="R1253" s="99"/>
      <c r="S1253" s="99"/>
      <c r="T1253" s="99"/>
      <c r="U1253" s="99"/>
      <c r="V1253" s="99"/>
      <c r="W1253" s="99"/>
      <c r="X1253" s="99"/>
      <c r="Y1253" s="99"/>
      <c r="Z1253" s="99"/>
      <c r="AB1253" s="84"/>
      <c r="AC1253" s="84"/>
      <c r="AD1253" s="84"/>
      <c r="AE1253" s="84"/>
      <c r="AF1253" s="84"/>
      <c r="AG1253" s="84"/>
      <c r="AH1253" s="84"/>
      <c r="AI1253" s="84"/>
    </row>
    <row r="1254" ht="15.75" customHeight="1">
      <c r="A1254" s="84"/>
      <c r="B1254" s="84"/>
      <c r="C1254" s="84"/>
      <c r="D1254" s="84"/>
      <c r="E1254" s="84"/>
      <c r="F1254" s="276"/>
      <c r="H1254" s="275"/>
      <c r="I1254" s="275"/>
      <c r="J1254" s="275"/>
      <c r="K1254" s="275"/>
      <c r="L1254" s="275"/>
      <c r="M1254" s="275"/>
      <c r="N1254" s="260"/>
      <c r="O1254" s="99"/>
      <c r="P1254" s="99"/>
      <c r="Q1254" s="99"/>
      <c r="R1254" s="99"/>
      <c r="S1254" s="99"/>
      <c r="T1254" s="99"/>
      <c r="U1254" s="99"/>
      <c r="V1254" s="99"/>
      <c r="W1254" s="99"/>
      <c r="X1254" s="99"/>
      <c r="Y1254" s="99"/>
      <c r="Z1254" s="99"/>
      <c r="AB1254" s="84"/>
      <c r="AC1254" s="84"/>
      <c r="AD1254" s="84"/>
      <c r="AE1254" s="84"/>
      <c r="AF1254" s="84"/>
      <c r="AG1254" s="84"/>
      <c r="AH1254" s="84"/>
      <c r="AI1254" s="84"/>
    </row>
    <row r="1255" ht="15.75" customHeight="1">
      <c r="A1255" s="84"/>
      <c r="B1255" s="84"/>
      <c r="C1255" s="84"/>
      <c r="D1255" s="84"/>
      <c r="E1255" s="84"/>
      <c r="F1255" s="276"/>
      <c r="H1255" s="275"/>
      <c r="I1255" s="275"/>
      <c r="J1255" s="275"/>
      <c r="K1255" s="275"/>
      <c r="L1255" s="275"/>
      <c r="M1255" s="275"/>
      <c r="N1255" s="260"/>
      <c r="O1255" s="99"/>
      <c r="P1255" s="99"/>
      <c r="Q1255" s="99"/>
      <c r="R1255" s="99"/>
      <c r="S1255" s="99"/>
      <c r="T1255" s="99"/>
      <c r="U1255" s="99"/>
      <c r="V1255" s="99"/>
      <c r="W1255" s="99"/>
      <c r="X1255" s="99"/>
      <c r="Y1255" s="99"/>
      <c r="Z1255" s="99"/>
      <c r="AB1255" s="84"/>
      <c r="AC1255" s="84"/>
      <c r="AD1255" s="84"/>
      <c r="AE1255" s="84"/>
      <c r="AF1255" s="84"/>
      <c r="AG1255" s="84"/>
      <c r="AH1255" s="84"/>
      <c r="AI1255" s="84"/>
    </row>
    <row r="1256" ht="15.75" customHeight="1">
      <c r="A1256" s="84"/>
      <c r="B1256" s="84"/>
      <c r="C1256" s="84"/>
      <c r="D1256" s="84"/>
      <c r="E1256" s="84"/>
      <c r="F1256" s="276"/>
      <c r="H1256" s="275"/>
      <c r="I1256" s="275"/>
      <c r="J1256" s="275"/>
      <c r="K1256" s="275"/>
      <c r="L1256" s="275"/>
      <c r="M1256" s="275"/>
      <c r="N1256" s="260"/>
      <c r="O1256" s="99"/>
      <c r="P1256" s="99"/>
      <c r="Q1256" s="99"/>
      <c r="R1256" s="99"/>
      <c r="S1256" s="99"/>
      <c r="T1256" s="99"/>
      <c r="U1256" s="99"/>
      <c r="V1256" s="99"/>
      <c r="W1256" s="99"/>
      <c r="X1256" s="99"/>
      <c r="Y1256" s="99"/>
      <c r="Z1256" s="99"/>
      <c r="AB1256" s="84"/>
      <c r="AC1256" s="84"/>
      <c r="AD1256" s="84"/>
      <c r="AE1256" s="84"/>
      <c r="AF1256" s="84"/>
      <c r="AG1256" s="84"/>
      <c r="AH1256" s="84"/>
      <c r="AI1256" s="84"/>
    </row>
    <row r="1257" ht="15.75" customHeight="1">
      <c r="A1257" s="84"/>
      <c r="B1257" s="84"/>
      <c r="C1257" s="84"/>
      <c r="D1257" s="84"/>
      <c r="E1257" s="84"/>
      <c r="F1257" s="276"/>
      <c r="H1257" s="275"/>
      <c r="I1257" s="275"/>
      <c r="J1257" s="275"/>
      <c r="K1257" s="275"/>
      <c r="L1257" s="275"/>
      <c r="M1257" s="275"/>
      <c r="N1257" s="260"/>
      <c r="O1257" s="99"/>
      <c r="P1257" s="99"/>
      <c r="Q1257" s="99"/>
      <c r="R1257" s="99"/>
      <c r="S1257" s="99"/>
      <c r="T1257" s="99"/>
      <c r="U1257" s="99"/>
      <c r="V1257" s="99"/>
      <c r="W1257" s="99"/>
      <c r="X1257" s="99"/>
      <c r="Y1257" s="99"/>
      <c r="Z1257" s="99"/>
      <c r="AB1257" s="84"/>
      <c r="AC1257" s="84"/>
      <c r="AD1257" s="84"/>
      <c r="AE1257" s="84"/>
      <c r="AF1257" s="84"/>
      <c r="AG1257" s="84"/>
      <c r="AH1257" s="84"/>
      <c r="AI1257" s="84"/>
    </row>
    <row r="1258" ht="15.75" customHeight="1">
      <c r="A1258" s="84"/>
      <c r="B1258" s="84"/>
      <c r="C1258" s="84"/>
      <c r="D1258" s="84"/>
      <c r="E1258" s="84"/>
      <c r="F1258" s="276"/>
      <c r="H1258" s="275"/>
      <c r="I1258" s="275"/>
      <c r="J1258" s="275"/>
      <c r="K1258" s="275"/>
      <c r="L1258" s="275"/>
      <c r="M1258" s="275"/>
      <c r="N1258" s="260"/>
      <c r="O1258" s="99"/>
      <c r="P1258" s="99"/>
      <c r="Q1258" s="99"/>
      <c r="R1258" s="99"/>
      <c r="S1258" s="99"/>
      <c r="T1258" s="99"/>
      <c r="U1258" s="99"/>
      <c r="V1258" s="99"/>
      <c r="W1258" s="99"/>
      <c r="X1258" s="99"/>
      <c r="Y1258" s="99"/>
      <c r="Z1258" s="99"/>
      <c r="AB1258" s="84"/>
      <c r="AC1258" s="84"/>
      <c r="AD1258" s="84"/>
      <c r="AE1258" s="84"/>
      <c r="AF1258" s="84"/>
      <c r="AG1258" s="84"/>
      <c r="AH1258" s="84"/>
      <c r="AI1258" s="84"/>
    </row>
    <row r="1259" ht="15.75" customHeight="1">
      <c r="A1259" s="84"/>
      <c r="B1259" s="84"/>
      <c r="C1259" s="84"/>
      <c r="D1259" s="84"/>
      <c r="E1259" s="84"/>
      <c r="F1259" s="276"/>
      <c r="H1259" s="275"/>
      <c r="I1259" s="275"/>
      <c r="J1259" s="275"/>
      <c r="K1259" s="275"/>
      <c r="L1259" s="275"/>
      <c r="M1259" s="275"/>
      <c r="N1259" s="260"/>
      <c r="O1259" s="99"/>
      <c r="P1259" s="99"/>
      <c r="Q1259" s="99"/>
      <c r="R1259" s="99"/>
      <c r="S1259" s="99"/>
      <c r="T1259" s="99"/>
      <c r="U1259" s="99"/>
      <c r="V1259" s="99"/>
      <c r="W1259" s="99"/>
      <c r="X1259" s="99"/>
      <c r="Y1259" s="99"/>
      <c r="Z1259" s="99"/>
      <c r="AB1259" s="84"/>
      <c r="AC1259" s="84"/>
      <c r="AD1259" s="84"/>
      <c r="AE1259" s="84"/>
      <c r="AF1259" s="84"/>
      <c r="AG1259" s="84"/>
      <c r="AH1259" s="84"/>
      <c r="AI1259" s="84"/>
    </row>
    <row r="1260" ht="15.75" customHeight="1">
      <c r="A1260" s="84"/>
      <c r="B1260" s="84"/>
      <c r="C1260" s="84"/>
      <c r="D1260" s="84"/>
      <c r="E1260" s="84"/>
      <c r="F1260" s="276"/>
      <c r="H1260" s="275"/>
      <c r="I1260" s="275"/>
      <c r="J1260" s="275"/>
      <c r="K1260" s="275"/>
      <c r="L1260" s="275"/>
      <c r="M1260" s="275"/>
      <c r="N1260" s="260"/>
      <c r="O1260" s="99"/>
      <c r="P1260" s="99"/>
      <c r="Q1260" s="99"/>
      <c r="R1260" s="99"/>
      <c r="S1260" s="99"/>
      <c r="T1260" s="99"/>
      <c r="U1260" s="99"/>
      <c r="V1260" s="99"/>
      <c r="W1260" s="99"/>
      <c r="X1260" s="99"/>
      <c r="Y1260" s="99"/>
      <c r="Z1260" s="99"/>
      <c r="AB1260" s="84"/>
      <c r="AC1260" s="84"/>
      <c r="AD1260" s="84"/>
      <c r="AE1260" s="84"/>
      <c r="AF1260" s="84"/>
      <c r="AG1260" s="84"/>
      <c r="AH1260" s="84"/>
      <c r="AI1260" s="84"/>
    </row>
    <row r="1261" ht="15.75" customHeight="1">
      <c r="A1261" s="84"/>
      <c r="B1261" s="84"/>
      <c r="C1261" s="84"/>
      <c r="D1261" s="84"/>
      <c r="E1261" s="84"/>
      <c r="F1261" s="276"/>
      <c r="H1261" s="275"/>
      <c r="I1261" s="275"/>
      <c r="J1261" s="275"/>
      <c r="K1261" s="275"/>
      <c r="L1261" s="275"/>
      <c r="M1261" s="275"/>
      <c r="N1261" s="260"/>
      <c r="O1261" s="99"/>
      <c r="P1261" s="99"/>
      <c r="Q1261" s="99"/>
      <c r="R1261" s="99"/>
      <c r="S1261" s="99"/>
      <c r="T1261" s="99"/>
      <c r="U1261" s="99"/>
      <c r="V1261" s="99"/>
      <c r="W1261" s="99"/>
      <c r="X1261" s="99"/>
      <c r="Y1261" s="99"/>
      <c r="Z1261" s="99"/>
      <c r="AB1261" s="84"/>
      <c r="AC1261" s="84"/>
      <c r="AD1261" s="84"/>
      <c r="AE1261" s="84"/>
      <c r="AF1261" s="84"/>
      <c r="AG1261" s="84"/>
      <c r="AH1261" s="84"/>
      <c r="AI1261" s="84"/>
    </row>
    <row r="1262" ht="15.75" customHeight="1">
      <c r="A1262" s="84"/>
      <c r="B1262" s="84"/>
      <c r="C1262" s="84"/>
      <c r="D1262" s="84"/>
      <c r="E1262" s="84"/>
      <c r="F1262" s="276"/>
      <c r="H1262" s="275"/>
      <c r="I1262" s="275"/>
      <c r="J1262" s="275"/>
      <c r="K1262" s="275"/>
      <c r="L1262" s="275"/>
      <c r="M1262" s="275"/>
      <c r="N1262" s="260"/>
      <c r="O1262" s="99"/>
      <c r="P1262" s="99"/>
      <c r="Q1262" s="99"/>
      <c r="R1262" s="99"/>
      <c r="S1262" s="99"/>
      <c r="T1262" s="99"/>
      <c r="U1262" s="99"/>
      <c r="V1262" s="99"/>
      <c r="W1262" s="99"/>
      <c r="X1262" s="99"/>
      <c r="Y1262" s="99"/>
      <c r="Z1262" s="99"/>
      <c r="AB1262" s="84"/>
      <c r="AC1262" s="84"/>
      <c r="AD1262" s="84"/>
      <c r="AE1262" s="84"/>
      <c r="AF1262" s="84"/>
      <c r="AG1262" s="84"/>
      <c r="AH1262" s="84"/>
      <c r="AI1262" s="84"/>
    </row>
    <row r="1263" ht="15.75" customHeight="1">
      <c r="A1263" s="84"/>
      <c r="B1263" s="84"/>
      <c r="C1263" s="84"/>
      <c r="D1263" s="84"/>
      <c r="E1263" s="84"/>
      <c r="F1263" s="276"/>
      <c r="H1263" s="275"/>
      <c r="I1263" s="275"/>
      <c r="J1263" s="275"/>
      <c r="K1263" s="275"/>
      <c r="L1263" s="275"/>
      <c r="M1263" s="275"/>
      <c r="N1263" s="260"/>
      <c r="O1263" s="99"/>
      <c r="P1263" s="99"/>
      <c r="Q1263" s="99"/>
      <c r="R1263" s="99"/>
      <c r="S1263" s="99"/>
      <c r="T1263" s="99"/>
      <c r="U1263" s="99"/>
      <c r="V1263" s="99"/>
      <c r="W1263" s="99"/>
      <c r="X1263" s="99"/>
      <c r="Y1263" s="99"/>
      <c r="Z1263" s="99"/>
      <c r="AB1263" s="84"/>
      <c r="AC1263" s="84"/>
      <c r="AD1263" s="84"/>
      <c r="AE1263" s="84"/>
      <c r="AF1263" s="84"/>
      <c r="AG1263" s="84"/>
      <c r="AH1263" s="84"/>
      <c r="AI1263" s="84"/>
    </row>
    <row r="1264" ht="15.75" customHeight="1">
      <c r="A1264" s="84"/>
      <c r="B1264" s="84"/>
      <c r="C1264" s="84"/>
      <c r="D1264" s="84"/>
      <c r="E1264" s="84"/>
      <c r="F1264" s="276"/>
      <c r="H1264" s="275"/>
      <c r="I1264" s="275"/>
      <c r="J1264" s="275"/>
      <c r="K1264" s="275"/>
      <c r="L1264" s="275"/>
      <c r="M1264" s="275"/>
      <c r="N1264" s="260"/>
      <c r="O1264" s="99"/>
      <c r="P1264" s="99"/>
      <c r="Q1264" s="99"/>
      <c r="R1264" s="99"/>
      <c r="S1264" s="99"/>
      <c r="T1264" s="99"/>
      <c r="U1264" s="99"/>
      <c r="V1264" s="99"/>
      <c r="W1264" s="99"/>
      <c r="X1264" s="99"/>
      <c r="Y1264" s="99"/>
      <c r="Z1264" s="99"/>
      <c r="AB1264" s="84"/>
      <c r="AC1264" s="84"/>
      <c r="AD1264" s="84"/>
      <c r="AE1264" s="84"/>
      <c r="AF1264" s="84"/>
      <c r="AG1264" s="84"/>
      <c r="AH1264" s="84"/>
      <c r="AI1264" s="84"/>
    </row>
    <row r="1265" ht="15.75" customHeight="1">
      <c r="A1265" s="84"/>
      <c r="B1265" s="84"/>
      <c r="C1265" s="84"/>
      <c r="D1265" s="84"/>
      <c r="E1265" s="84"/>
      <c r="F1265" s="276"/>
      <c r="H1265" s="275"/>
      <c r="I1265" s="275"/>
      <c r="J1265" s="275"/>
      <c r="K1265" s="275"/>
      <c r="L1265" s="275"/>
      <c r="M1265" s="275"/>
      <c r="N1265" s="260"/>
      <c r="O1265" s="99"/>
      <c r="P1265" s="99"/>
      <c r="Q1265" s="99"/>
      <c r="R1265" s="99"/>
      <c r="S1265" s="99"/>
      <c r="T1265" s="99"/>
      <c r="U1265" s="99"/>
      <c r="V1265" s="99"/>
      <c r="W1265" s="99"/>
      <c r="X1265" s="99"/>
      <c r="Y1265" s="99"/>
      <c r="Z1265" s="99"/>
      <c r="AB1265" s="84"/>
      <c r="AC1265" s="84"/>
      <c r="AD1265" s="84"/>
      <c r="AE1265" s="84"/>
      <c r="AF1265" s="84"/>
      <c r="AG1265" s="84"/>
      <c r="AH1265" s="84"/>
      <c r="AI1265" s="84"/>
    </row>
    <row r="1266" ht="15.75" customHeight="1">
      <c r="A1266" s="84"/>
      <c r="B1266" s="84"/>
      <c r="C1266" s="84"/>
      <c r="D1266" s="84"/>
      <c r="E1266" s="84"/>
      <c r="F1266" s="276"/>
      <c r="H1266" s="275"/>
      <c r="I1266" s="275"/>
      <c r="J1266" s="275"/>
      <c r="K1266" s="275"/>
      <c r="L1266" s="275"/>
      <c r="M1266" s="275"/>
      <c r="N1266" s="260"/>
      <c r="O1266" s="99"/>
      <c r="P1266" s="99"/>
      <c r="Q1266" s="99"/>
      <c r="R1266" s="99"/>
      <c r="S1266" s="99"/>
      <c r="T1266" s="99"/>
      <c r="U1266" s="99"/>
      <c r="V1266" s="99"/>
      <c r="W1266" s="99"/>
      <c r="X1266" s="99"/>
      <c r="Y1266" s="99"/>
      <c r="Z1266" s="99"/>
      <c r="AB1266" s="84"/>
      <c r="AC1266" s="84"/>
      <c r="AD1266" s="84"/>
      <c r="AE1266" s="84"/>
      <c r="AF1266" s="84"/>
      <c r="AG1266" s="84"/>
      <c r="AH1266" s="84"/>
      <c r="AI1266" s="84"/>
    </row>
    <row r="1267" ht="15.75" customHeight="1">
      <c r="A1267" s="84"/>
      <c r="B1267" s="84"/>
      <c r="C1267" s="84"/>
      <c r="D1267" s="84"/>
      <c r="E1267" s="84"/>
      <c r="F1267" s="276"/>
      <c r="H1267" s="275"/>
      <c r="I1267" s="275"/>
      <c r="J1267" s="275"/>
      <c r="K1267" s="275"/>
      <c r="L1267" s="275"/>
      <c r="M1267" s="275"/>
      <c r="N1267" s="260"/>
      <c r="O1267" s="99"/>
      <c r="P1267" s="99"/>
      <c r="Q1267" s="99"/>
      <c r="R1267" s="99"/>
      <c r="S1267" s="99"/>
      <c r="T1267" s="99"/>
      <c r="U1267" s="99"/>
      <c r="V1267" s="99"/>
      <c r="W1267" s="99"/>
      <c r="X1267" s="99"/>
      <c r="Y1267" s="99"/>
      <c r="Z1267" s="99"/>
      <c r="AB1267" s="84"/>
      <c r="AC1267" s="84"/>
      <c r="AD1267" s="84"/>
      <c r="AE1267" s="84"/>
      <c r="AF1267" s="84"/>
      <c r="AG1267" s="84"/>
      <c r="AH1267" s="84"/>
      <c r="AI1267" s="84"/>
    </row>
    <row r="1268" ht="15.75" customHeight="1">
      <c r="A1268" s="84"/>
      <c r="B1268" s="84"/>
      <c r="C1268" s="84"/>
      <c r="D1268" s="84"/>
      <c r="E1268" s="84"/>
      <c r="F1268" s="276"/>
      <c r="H1268" s="275"/>
      <c r="I1268" s="275"/>
      <c r="J1268" s="275"/>
      <c r="K1268" s="275"/>
      <c r="L1268" s="275"/>
      <c r="M1268" s="275"/>
      <c r="N1268" s="260"/>
      <c r="O1268" s="99"/>
      <c r="P1268" s="99"/>
      <c r="Q1268" s="99"/>
      <c r="R1268" s="99"/>
      <c r="S1268" s="99"/>
      <c r="T1268" s="99"/>
      <c r="U1268" s="99"/>
      <c r="V1268" s="99"/>
      <c r="W1268" s="99"/>
      <c r="X1268" s="99"/>
      <c r="Y1268" s="99"/>
      <c r="Z1268" s="99"/>
      <c r="AB1268" s="84"/>
      <c r="AC1268" s="84"/>
      <c r="AD1268" s="84"/>
      <c r="AE1268" s="84"/>
      <c r="AF1268" s="84"/>
      <c r="AG1268" s="84"/>
      <c r="AH1268" s="84"/>
      <c r="AI1268" s="84"/>
    </row>
    <row r="1269" ht="15.75" customHeight="1">
      <c r="A1269" s="84"/>
      <c r="B1269" s="84"/>
      <c r="C1269" s="84"/>
      <c r="D1269" s="84"/>
      <c r="E1269" s="84"/>
      <c r="F1269" s="276"/>
      <c r="H1269" s="275"/>
      <c r="I1269" s="275"/>
      <c r="J1269" s="275"/>
      <c r="K1269" s="275"/>
      <c r="L1269" s="275"/>
      <c r="M1269" s="275"/>
      <c r="N1269" s="260"/>
      <c r="O1269" s="99"/>
      <c r="P1269" s="99"/>
      <c r="Q1269" s="99"/>
      <c r="R1269" s="99"/>
      <c r="S1269" s="99"/>
      <c r="T1269" s="99"/>
      <c r="U1269" s="99"/>
      <c r="V1269" s="99"/>
      <c r="W1269" s="99"/>
      <c r="X1269" s="99"/>
      <c r="Y1269" s="99"/>
      <c r="Z1269" s="99"/>
      <c r="AB1269" s="84"/>
      <c r="AC1269" s="84"/>
      <c r="AD1269" s="84"/>
      <c r="AE1269" s="84"/>
      <c r="AF1269" s="84"/>
      <c r="AG1269" s="84"/>
      <c r="AH1269" s="84"/>
      <c r="AI1269" s="84"/>
    </row>
    <row r="1270" ht="15.75" customHeight="1">
      <c r="A1270" s="84"/>
      <c r="B1270" s="84"/>
      <c r="C1270" s="84"/>
      <c r="D1270" s="84"/>
      <c r="E1270" s="84"/>
      <c r="F1270" s="276"/>
      <c r="H1270" s="275"/>
      <c r="I1270" s="275"/>
      <c r="J1270" s="275"/>
      <c r="K1270" s="275"/>
      <c r="L1270" s="275"/>
      <c r="M1270" s="275"/>
      <c r="N1270" s="260"/>
      <c r="O1270" s="99"/>
      <c r="P1270" s="99"/>
      <c r="Q1270" s="99"/>
      <c r="R1270" s="99"/>
      <c r="S1270" s="99"/>
      <c r="T1270" s="99"/>
      <c r="U1270" s="99"/>
      <c r="V1270" s="99"/>
      <c r="W1270" s="99"/>
      <c r="X1270" s="99"/>
      <c r="Y1270" s="99"/>
      <c r="Z1270" s="99"/>
      <c r="AB1270" s="84"/>
      <c r="AC1270" s="84"/>
      <c r="AD1270" s="84"/>
      <c r="AE1270" s="84"/>
      <c r="AF1270" s="84"/>
      <c r="AG1270" s="84"/>
      <c r="AH1270" s="84"/>
      <c r="AI1270" s="84"/>
    </row>
    <row r="1271" ht="15.75" customHeight="1">
      <c r="A1271" s="84"/>
      <c r="B1271" s="84"/>
      <c r="C1271" s="84"/>
      <c r="D1271" s="84"/>
      <c r="E1271" s="84"/>
      <c r="F1271" s="276"/>
      <c r="H1271" s="275"/>
      <c r="I1271" s="275"/>
      <c r="J1271" s="275"/>
      <c r="K1271" s="275"/>
      <c r="L1271" s="275"/>
      <c r="M1271" s="275"/>
      <c r="N1271" s="260"/>
      <c r="O1271" s="99"/>
      <c r="P1271" s="99"/>
      <c r="Q1271" s="99"/>
      <c r="R1271" s="99"/>
      <c r="S1271" s="99"/>
      <c r="T1271" s="99"/>
      <c r="U1271" s="99"/>
      <c r="V1271" s="99"/>
      <c r="W1271" s="99"/>
      <c r="X1271" s="99"/>
      <c r="Y1271" s="99"/>
      <c r="Z1271" s="99"/>
      <c r="AB1271" s="84"/>
      <c r="AC1271" s="84"/>
      <c r="AD1271" s="84"/>
      <c r="AE1271" s="84"/>
      <c r="AF1271" s="84"/>
      <c r="AG1271" s="84"/>
      <c r="AH1271" s="84"/>
      <c r="AI1271" s="84"/>
    </row>
    <row r="1272" ht="15.75" customHeight="1">
      <c r="A1272" s="84"/>
      <c r="B1272" s="84"/>
      <c r="C1272" s="84"/>
      <c r="D1272" s="84"/>
      <c r="E1272" s="84"/>
      <c r="F1272" s="276"/>
      <c r="H1272" s="275"/>
      <c r="I1272" s="275"/>
      <c r="J1272" s="275"/>
      <c r="K1272" s="275"/>
      <c r="L1272" s="275"/>
      <c r="M1272" s="275"/>
      <c r="N1272" s="260"/>
      <c r="O1272" s="99"/>
      <c r="P1272" s="99"/>
      <c r="Q1272" s="99"/>
      <c r="R1272" s="99"/>
      <c r="S1272" s="99"/>
      <c r="T1272" s="99"/>
      <c r="U1272" s="99"/>
      <c r="V1272" s="99"/>
      <c r="W1272" s="99"/>
      <c r="X1272" s="99"/>
      <c r="Y1272" s="99"/>
      <c r="Z1272" s="99"/>
      <c r="AB1272" s="84"/>
      <c r="AC1272" s="84"/>
      <c r="AD1272" s="84"/>
      <c r="AE1272" s="84"/>
      <c r="AF1272" s="84"/>
      <c r="AG1272" s="84"/>
      <c r="AH1272" s="84"/>
      <c r="AI1272" s="84"/>
    </row>
    <row r="1273" ht="15.75" customHeight="1">
      <c r="A1273" s="84"/>
      <c r="B1273" s="84"/>
      <c r="C1273" s="84"/>
      <c r="D1273" s="84"/>
      <c r="E1273" s="84"/>
      <c r="F1273" s="276"/>
      <c r="H1273" s="275"/>
      <c r="I1273" s="275"/>
      <c r="J1273" s="275"/>
      <c r="K1273" s="275"/>
      <c r="L1273" s="275"/>
      <c r="M1273" s="275"/>
      <c r="N1273" s="260"/>
      <c r="O1273" s="99"/>
      <c r="P1273" s="99"/>
      <c r="Q1273" s="99"/>
      <c r="R1273" s="99"/>
      <c r="S1273" s="99"/>
      <c r="T1273" s="99"/>
      <c r="U1273" s="99"/>
      <c r="V1273" s="99"/>
      <c r="W1273" s="99"/>
      <c r="X1273" s="99"/>
      <c r="Y1273" s="99"/>
      <c r="Z1273" s="99"/>
      <c r="AB1273" s="84"/>
      <c r="AC1273" s="84"/>
      <c r="AD1273" s="84"/>
      <c r="AE1273" s="84"/>
      <c r="AF1273" s="84"/>
      <c r="AG1273" s="84"/>
      <c r="AH1273" s="84"/>
      <c r="AI1273" s="84"/>
    </row>
    <row r="1274" ht="15.75" customHeight="1">
      <c r="A1274" s="84"/>
      <c r="B1274" s="84"/>
      <c r="C1274" s="84"/>
      <c r="D1274" s="84"/>
      <c r="E1274" s="84"/>
      <c r="F1274" s="276"/>
      <c r="H1274" s="275"/>
      <c r="I1274" s="275"/>
      <c r="J1274" s="275"/>
      <c r="K1274" s="275"/>
      <c r="L1274" s="275"/>
      <c r="M1274" s="275"/>
      <c r="N1274" s="260"/>
      <c r="O1274" s="99"/>
      <c r="P1274" s="99"/>
      <c r="Q1274" s="99"/>
      <c r="R1274" s="99"/>
      <c r="S1274" s="99"/>
      <c r="T1274" s="99"/>
      <c r="U1274" s="99"/>
      <c r="V1274" s="99"/>
      <c r="W1274" s="99"/>
      <c r="X1274" s="99"/>
      <c r="Y1274" s="99"/>
      <c r="Z1274" s="99"/>
      <c r="AB1274" s="84"/>
      <c r="AC1274" s="84"/>
      <c r="AD1274" s="84"/>
      <c r="AE1274" s="84"/>
      <c r="AF1274" s="84"/>
      <c r="AG1274" s="84"/>
      <c r="AH1274" s="84"/>
      <c r="AI1274" s="84"/>
    </row>
    <row r="1275" ht="15.75" customHeight="1">
      <c r="A1275" s="84"/>
      <c r="B1275" s="84"/>
      <c r="C1275" s="84"/>
      <c r="D1275" s="84"/>
      <c r="E1275" s="84"/>
      <c r="F1275" s="276"/>
      <c r="H1275" s="275"/>
      <c r="I1275" s="275"/>
      <c r="J1275" s="275"/>
      <c r="K1275" s="275"/>
      <c r="L1275" s="275"/>
      <c r="M1275" s="275"/>
      <c r="N1275" s="260"/>
      <c r="O1275" s="99"/>
      <c r="P1275" s="99"/>
      <c r="Q1275" s="99"/>
      <c r="R1275" s="99"/>
      <c r="S1275" s="99"/>
      <c r="T1275" s="99"/>
      <c r="U1275" s="99"/>
      <c r="V1275" s="99"/>
      <c r="W1275" s="99"/>
      <c r="X1275" s="99"/>
      <c r="Y1275" s="99"/>
      <c r="Z1275" s="99"/>
      <c r="AB1275" s="84"/>
      <c r="AC1275" s="84"/>
      <c r="AD1275" s="84"/>
      <c r="AE1275" s="84"/>
      <c r="AF1275" s="84"/>
      <c r="AG1275" s="84"/>
      <c r="AH1275" s="84"/>
      <c r="AI1275" s="84"/>
    </row>
    <row r="1276" ht="15.75" customHeight="1">
      <c r="A1276" s="84"/>
      <c r="B1276" s="84"/>
      <c r="C1276" s="84"/>
      <c r="D1276" s="84"/>
      <c r="E1276" s="84"/>
      <c r="F1276" s="276"/>
      <c r="H1276" s="275"/>
      <c r="I1276" s="275"/>
      <c r="J1276" s="275"/>
      <c r="K1276" s="275"/>
      <c r="L1276" s="275"/>
      <c r="M1276" s="275"/>
      <c r="N1276" s="260"/>
      <c r="O1276" s="99"/>
      <c r="P1276" s="99"/>
      <c r="Q1276" s="99"/>
      <c r="R1276" s="99"/>
      <c r="S1276" s="99"/>
      <c r="T1276" s="99"/>
      <c r="U1276" s="99"/>
      <c r="V1276" s="99"/>
      <c r="W1276" s="99"/>
      <c r="X1276" s="99"/>
      <c r="Y1276" s="99"/>
      <c r="Z1276" s="99"/>
      <c r="AB1276" s="84"/>
      <c r="AC1276" s="84"/>
      <c r="AD1276" s="84"/>
      <c r="AE1276" s="84"/>
      <c r="AF1276" s="84"/>
      <c r="AG1276" s="84"/>
      <c r="AH1276" s="84"/>
      <c r="AI1276" s="84"/>
    </row>
    <row r="1277" ht="15.75" customHeight="1">
      <c r="A1277" s="84"/>
      <c r="B1277" s="84"/>
      <c r="C1277" s="84"/>
      <c r="D1277" s="84"/>
      <c r="E1277" s="84"/>
      <c r="F1277" s="276"/>
      <c r="H1277" s="275"/>
      <c r="I1277" s="275"/>
      <c r="J1277" s="275"/>
      <c r="K1277" s="275"/>
      <c r="L1277" s="275"/>
      <c r="M1277" s="275"/>
      <c r="N1277" s="260"/>
      <c r="O1277" s="99"/>
      <c r="P1277" s="99"/>
      <c r="Q1277" s="99"/>
      <c r="R1277" s="99"/>
      <c r="S1277" s="99"/>
      <c r="T1277" s="99"/>
      <c r="U1277" s="99"/>
      <c r="V1277" s="99"/>
      <c r="W1277" s="99"/>
      <c r="X1277" s="99"/>
      <c r="Y1277" s="99"/>
      <c r="Z1277" s="99"/>
      <c r="AB1277" s="84"/>
      <c r="AC1277" s="84"/>
      <c r="AD1277" s="84"/>
      <c r="AE1277" s="84"/>
      <c r="AF1277" s="84"/>
      <c r="AG1277" s="84"/>
      <c r="AH1277" s="84"/>
      <c r="AI1277" s="84"/>
    </row>
    <row r="1278" ht="15.75" customHeight="1">
      <c r="A1278" s="84"/>
      <c r="B1278" s="84"/>
      <c r="C1278" s="84"/>
      <c r="D1278" s="84"/>
      <c r="E1278" s="84"/>
      <c r="F1278" s="276"/>
      <c r="H1278" s="275"/>
      <c r="I1278" s="275"/>
      <c r="J1278" s="275"/>
      <c r="K1278" s="275"/>
      <c r="L1278" s="275"/>
      <c r="M1278" s="275"/>
      <c r="N1278" s="260"/>
      <c r="O1278" s="99"/>
      <c r="P1278" s="99"/>
      <c r="Q1278" s="99"/>
      <c r="R1278" s="99"/>
      <c r="S1278" s="99"/>
      <c r="T1278" s="99"/>
      <c r="U1278" s="99"/>
      <c r="V1278" s="99"/>
      <c r="W1278" s="99"/>
      <c r="X1278" s="99"/>
      <c r="Y1278" s="99"/>
      <c r="Z1278" s="99"/>
      <c r="AB1278" s="84"/>
      <c r="AC1278" s="84"/>
      <c r="AD1278" s="84"/>
      <c r="AE1278" s="84"/>
      <c r="AF1278" s="84"/>
      <c r="AG1278" s="84"/>
      <c r="AH1278" s="84"/>
      <c r="AI1278" s="84"/>
    </row>
    <row r="1279" ht="15.75" customHeight="1">
      <c r="A1279" s="84"/>
      <c r="B1279" s="84"/>
      <c r="C1279" s="84"/>
      <c r="D1279" s="84"/>
      <c r="E1279" s="84"/>
      <c r="F1279" s="276"/>
      <c r="H1279" s="275"/>
      <c r="I1279" s="275"/>
      <c r="J1279" s="275"/>
      <c r="K1279" s="275"/>
      <c r="L1279" s="275"/>
      <c r="M1279" s="275"/>
      <c r="N1279" s="260"/>
      <c r="O1279" s="99"/>
      <c r="P1279" s="99"/>
      <c r="Q1279" s="99"/>
      <c r="R1279" s="99"/>
      <c r="S1279" s="99"/>
      <c r="T1279" s="99"/>
      <c r="U1279" s="99"/>
      <c r="V1279" s="99"/>
      <c r="W1279" s="99"/>
      <c r="X1279" s="99"/>
      <c r="Y1279" s="99"/>
      <c r="Z1279" s="99"/>
      <c r="AB1279" s="84"/>
      <c r="AC1279" s="84"/>
      <c r="AD1279" s="84"/>
      <c r="AE1279" s="84"/>
      <c r="AF1279" s="84"/>
      <c r="AG1279" s="84"/>
      <c r="AH1279" s="84"/>
      <c r="AI1279" s="84"/>
    </row>
    <row r="1280" ht="15.75" customHeight="1">
      <c r="A1280" s="84"/>
      <c r="B1280" s="84"/>
      <c r="C1280" s="84"/>
      <c r="D1280" s="84"/>
      <c r="E1280" s="84"/>
      <c r="F1280" s="276"/>
      <c r="H1280" s="275"/>
      <c r="I1280" s="275"/>
      <c r="J1280" s="275"/>
      <c r="K1280" s="275"/>
      <c r="L1280" s="275"/>
      <c r="M1280" s="275"/>
      <c r="N1280" s="260"/>
      <c r="O1280" s="99"/>
      <c r="P1280" s="99"/>
      <c r="Q1280" s="99"/>
      <c r="R1280" s="99"/>
      <c r="S1280" s="99"/>
      <c r="T1280" s="99"/>
      <c r="U1280" s="99"/>
      <c r="V1280" s="99"/>
      <c r="W1280" s="99"/>
      <c r="X1280" s="99"/>
      <c r="Y1280" s="99"/>
      <c r="Z1280" s="99"/>
      <c r="AB1280" s="84"/>
      <c r="AC1280" s="84"/>
      <c r="AD1280" s="84"/>
      <c r="AE1280" s="84"/>
      <c r="AF1280" s="84"/>
      <c r="AG1280" s="84"/>
      <c r="AH1280" s="84"/>
      <c r="AI1280" s="84"/>
    </row>
    <row r="1281" ht="15.75" customHeight="1">
      <c r="A1281" s="84"/>
      <c r="B1281" s="84"/>
      <c r="C1281" s="84"/>
      <c r="D1281" s="84"/>
      <c r="E1281" s="84"/>
      <c r="F1281" s="276"/>
      <c r="H1281" s="275"/>
      <c r="I1281" s="275"/>
      <c r="J1281" s="275"/>
      <c r="K1281" s="275"/>
      <c r="L1281" s="275"/>
      <c r="M1281" s="275"/>
      <c r="N1281" s="260"/>
      <c r="O1281" s="99"/>
      <c r="P1281" s="99"/>
      <c r="Q1281" s="99"/>
      <c r="R1281" s="99"/>
      <c r="S1281" s="99"/>
      <c r="T1281" s="99"/>
      <c r="U1281" s="99"/>
      <c r="V1281" s="99"/>
      <c r="W1281" s="99"/>
      <c r="X1281" s="99"/>
      <c r="Y1281" s="99"/>
      <c r="Z1281" s="99"/>
      <c r="AB1281" s="84"/>
      <c r="AC1281" s="84"/>
      <c r="AD1281" s="84"/>
      <c r="AE1281" s="84"/>
      <c r="AF1281" s="84"/>
      <c r="AG1281" s="84"/>
      <c r="AH1281" s="84"/>
      <c r="AI1281" s="84"/>
    </row>
    <row r="1282" ht="15.75" customHeight="1">
      <c r="A1282" s="84"/>
      <c r="B1282" s="84"/>
      <c r="C1282" s="84"/>
      <c r="D1282" s="84"/>
      <c r="E1282" s="84"/>
      <c r="F1282" s="276"/>
      <c r="H1282" s="275"/>
      <c r="I1282" s="275"/>
      <c r="J1282" s="275"/>
      <c r="K1282" s="275"/>
      <c r="L1282" s="275"/>
      <c r="M1282" s="275"/>
      <c r="N1282" s="260"/>
      <c r="O1282" s="99"/>
      <c r="P1282" s="99"/>
      <c r="Q1282" s="99"/>
      <c r="R1282" s="99"/>
      <c r="S1282" s="99"/>
      <c r="T1282" s="99"/>
      <c r="U1282" s="99"/>
      <c r="V1282" s="99"/>
      <c r="W1282" s="99"/>
      <c r="X1282" s="99"/>
      <c r="Y1282" s="99"/>
      <c r="Z1282" s="99"/>
      <c r="AB1282" s="84"/>
      <c r="AC1282" s="84"/>
      <c r="AD1282" s="84"/>
      <c r="AE1282" s="84"/>
      <c r="AF1282" s="84"/>
      <c r="AG1282" s="84"/>
      <c r="AH1282" s="84"/>
      <c r="AI1282" s="84"/>
    </row>
    <row r="1283" ht="15.75" customHeight="1">
      <c r="A1283" s="84"/>
      <c r="B1283" s="84"/>
      <c r="C1283" s="84"/>
      <c r="D1283" s="84"/>
      <c r="E1283" s="84"/>
      <c r="F1283" s="276"/>
      <c r="H1283" s="275"/>
      <c r="I1283" s="275"/>
      <c r="J1283" s="275"/>
      <c r="K1283" s="275"/>
      <c r="L1283" s="275"/>
      <c r="M1283" s="275"/>
      <c r="N1283" s="260"/>
      <c r="O1283" s="99"/>
      <c r="P1283" s="99"/>
      <c r="Q1283" s="99"/>
      <c r="R1283" s="99"/>
      <c r="S1283" s="99"/>
      <c r="T1283" s="99"/>
      <c r="U1283" s="99"/>
      <c r="V1283" s="99"/>
      <c r="W1283" s="99"/>
      <c r="X1283" s="99"/>
      <c r="Y1283" s="99"/>
      <c r="Z1283" s="99"/>
      <c r="AB1283" s="84"/>
      <c r="AC1283" s="84"/>
      <c r="AD1283" s="84"/>
      <c r="AE1283" s="84"/>
      <c r="AF1283" s="84"/>
      <c r="AG1283" s="84"/>
      <c r="AH1283" s="84"/>
      <c r="AI1283" s="84"/>
    </row>
    <row r="1284" ht="15.75" customHeight="1">
      <c r="A1284" s="84"/>
      <c r="B1284" s="84"/>
      <c r="C1284" s="84"/>
      <c r="D1284" s="84"/>
      <c r="E1284" s="84"/>
      <c r="F1284" s="276"/>
      <c r="H1284" s="275"/>
      <c r="I1284" s="275"/>
      <c r="J1284" s="275"/>
      <c r="K1284" s="275"/>
      <c r="L1284" s="275"/>
      <c r="M1284" s="275"/>
      <c r="N1284" s="260"/>
      <c r="O1284" s="99"/>
      <c r="P1284" s="99"/>
      <c r="Q1284" s="99"/>
      <c r="R1284" s="99"/>
      <c r="S1284" s="99"/>
      <c r="T1284" s="99"/>
      <c r="U1284" s="99"/>
      <c r="V1284" s="99"/>
      <c r="W1284" s="99"/>
      <c r="X1284" s="99"/>
      <c r="Y1284" s="99"/>
      <c r="Z1284" s="99"/>
      <c r="AB1284" s="84"/>
      <c r="AC1284" s="84"/>
      <c r="AD1284" s="84"/>
      <c r="AE1284" s="84"/>
      <c r="AF1284" s="84"/>
      <c r="AG1284" s="84"/>
      <c r="AH1284" s="84"/>
      <c r="AI1284" s="84"/>
    </row>
    <row r="1285" ht="15.75" customHeight="1">
      <c r="A1285" s="84"/>
      <c r="B1285" s="84"/>
      <c r="C1285" s="84"/>
      <c r="D1285" s="84"/>
      <c r="E1285" s="84"/>
      <c r="F1285" s="276"/>
      <c r="H1285" s="275"/>
      <c r="I1285" s="275"/>
      <c r="J1285" s="275"/>
      <c r="K1285" s="275"/>
      <c r="L1285" s="275"/>
      <c r="M1285" s="275"/>
      <c r="N1285" s="260"/>
      <c r="O1285" s="99"/>
      <c r="P1285" s="99"/>
      <c r="Q1285" s="99"/>
      <c r="R1285" s="99"/>
      <c r="S1285" s="99"/>
      <c r="T1285" s="99"/>
      <c r="U1285" s="99"/>
      <c r="V1285" s="99"/>
      <c r="W1285" s="99"/>
      <c r="X1285" s="99"/>
      <c r="Y1285" s="99"/>
      <c r="Z1285" s="99"/>
      <c r="AB1285" s="84"/>
      <c r="AC1285" s="84"/>
      <c r="AD1285" s="84"/>
      <c r="AE1285" s="84"/>
      <c r="AF1285" s="84"/>
      <c r="AG1285" s="84"/>
      <c r="AH1285" s="84"/>
      <c r="AI1285" s="84"/>
    </row>
    <row r="1286" ht="15.75" customHeight="1">
      <c r="A1286" s="84"/>
      <c r="B1286" s="84"/>
      <c r="C1286" s="84"/>
      <c r="D1286" s="84"/>
      <c r="E1286" s="84"/>
      <c r="F1286" s="276"/>
      <c r="H1286" s="275"/>
      <c r="I1286" s="275"/>
      <c r="J1286" s="275"/>
      <c r="K1286" s="275"/>
      <c r="L1286" s="275"/>
      <c r="M1286" s="275"/>
      <c r="N1286" s="260"/>
      <c r="O1286" s="99"/>
      <c r="P1286" s="99"/>
      <c r="Q1286" s="99"/>
      <c r="R1286" s="99"/>
      <c r="S1286" s="99"/>
      <c r="T1286" s="99"/>
      <c r="U1286" s="99"/>
      <c r="V1286" s="99"/>
      <c r="W1286" s="99"/>
      <c r="X1286" s="99"/>
      <c r="Y1286" s="99"/>
      <c r="Z1286" s="99"/>
      <c r="AB1286" s="84"/>
      <c r="AC1286" s="84"/>
      <c r="AD1286" s="84"/>
      <c r="AE1286" s="84"/>
      <c r="AF1286" s="84"/>
      <c r="AG1286" s="84"/>
      <c r="AH1286" s="84"/>
      <c r="AI1286" s="84"/>
    </row>
    <row r="1287" ht="15.75" customHeight="1">
      <c r="A1287" s="84"/>
      <c r="B1287" s="84"/>
      <c r="C1287" s="84"/>
      <c r="D1287" s="84"/>
      <c r="E1287" s="84"/>
      <c r="F1287" s="276"/>
      <c r="H1287" s="275"/>
      <c r="I1287" s="275"/>
      <c r="J1287" s="275"/>
      <c r="K1287" s="275"/>
      <c r="L1287" s="275"/>
      <c r="M1287" s="275"/>
      <c r="N1287" s="260"/>
      <c r="O1287" s="99"/>
      <c r="P1287" s="99"/>
      <c r="Q1287" s="99"/>
      <c r="R1287" s="99"/>
      <c r="S1287" s="99"/>
      <c r="T1287" s="99"/>
      <c r="U1287" s="99"/>
      <c r="V1287" s="99"/>
      <c r="W1287" s="99"/>
      <c r="X1287" s="99"/>
      <c r="Y1287" s="99"/>
      <c r="Z1287" s="99"/>
      <c r="AB1287" s="84"/>
      <c r="AC1287" s="84"/>
      <c r="AD1287" s="84"/>
      <c r="AE1287" s="84"/>
      <c r="AF1287" s="84"/>
      <c r="AG1287" s="84"/>
      <c r="AH1287" s="84"/>
      <c r="AI1287" s="84"/>
    </row>
    <row r="1288" ht="15.75" customHeight="1">
      <c r="A1288" s="84"/>
      <c r="B1288" s="84"/>
      <c r="C1288" s="84"/>
      <c r="D1288" s="84"/>
      <c r="E1288" s="84"/>
      <c r="F1288" s="276"/>
      <c r="H1288" s="275"/>
      <c r="I1288" s="275"/>
      <c r="J1288" s="275"/>
      <c r="K1288" s="275"/>
      <c r="L1288" s="275"/>
      <c r="M1288" s="275"/>
      <c r="N1288" s="260"/>
      <c r="O1288" s="99"/>
      <c r="P1288" s="99"/>
      <c r="Q1288" s="99"/>
      <c r="R1288" s="99"/>
      <c r="S1288" s="99"/>
      <c r="T1288" s="99"/>
      <c r="U1288" s="99"/>
      <c r="V1288" s="99"/>
      <c r="W1288" s="99"/>
      <c r="X1288" s="99"/>
      <c r="Y1288" s="99"/>
      <c r="Z1288" s="99"/>
      <c r="AB1288" s="84"/>
      <c r="AC1288" s="84"/>
      <c r="AD1288" s="84"/>
      <c r="AE1288" s="84"/>
      <c r="AF1288" s="84"/>
      <c r="AG1288" s="84"/>
      <c r="AH1288" s="84"/>
      <c r="AI1288" s="84"/>
    </row>
    <row r="1289" ht="15.75" customHeight="1">
      <c r="A1289" s="84"/>
      <c r="B1289" s="84"/>
      <c r="C1289" s="84"/>
      <c r="D1289" s="84"/>
      <c r="E1289" s="84"/>
      <c r="F1289" s="276"/>
      <c r="H1289" s="275"/>
      <c r="I1289" s="275"/>
      <c r="J1289" s="275"/>
      <c r="K1289" s="275"/>
      <c r="L1289" s="275"/>
      <c r="M1289" s="275"/>
      <c r="N1289" s="260"/>
      <c r="O1289" s="99"/>
      <c r="P1289" s="99"/>
      <c r="Q1289" s="99"/>
      <c r="R1289" s="99"/>
      <c r="S1289" s="99"/>
      <c r="T1289" s="99"/>
      <c r="U1289" s="99"/>
      <c r="V1289" s="99"/>
      <c r="W1289" s="99"/>
      <c r="X1289" s="99"/>
      <c r="Y1289" s="99"/>
      <c r="Z1289" s="99"/>
      <c r="AB1289" s="84"/>
      <c r="AC1289" s="84"/>
      <c r="AD1289" s="84"/>
      <c r="AE1289" s="84"/>
      <c r="AF1289" s="84"/>
      <c r="AG1289" s="84"/>
      <c r="AH1289" s="84"/>
      <c r="AI1289" s="84"/>
    </row>
    <row r="1290" ht="15.75" customHeight="1">
      <c r="A1290" s="84"/>
      <c r="B1290" s="84"/>
      <c r="C1290" s="84"/>
      <c r="D1290" s="84"/>
      <c r="E1290" s="84"/>
      <c r="F1290" s="276"/>
      <c r="H1290" s="275"/>
      <c r="I1290" s="275"/>
      <c r="J1290" s="275"/>
      <c r="K1290" s="275"/>
      <c r="L1290" s="275"/>
      <c r="M1290" s="275"/>
      <c r="N1290" s="260"/>
      <c r="O1290" s="99"/>
      <c r="P1290" s="99"/>
      <c r="Q1290" s="99"/>
      <c r="R1290" s="99"/>
      <c r="S1290" s="99"/>
      <c r="T1290" s="99"/>
      <c r="U1290" s="99"/>
      <c r="V1290" s="99"/>
      <c r="W1290" s="99"/>
      <c r="X1290" s="99"/>
      <c r="Y1290" s="99"/>
      <c r="Z1290" s="99"/>
      <c r="AB1290" s="84"/>
      <c r="AC1290" s="84"/>
      <c r="AD1290" s="84"/>
      <c r="AE1290" s="84"/>
      <c r="AF1290" s="84"/>
      <c r="AG1290" s="84"/>
      <c r="AH1290" s="84"/>
      <c r="AI1290" s="84"/>
    </row>
    <row r="1291" ht="15.75" customHeight="1">
      <c r="A1291" s="84"/>
      <c r="B1291" s="84"/>
      <c r="C1291" s="84"/>
      <c r="D1291" s="84"/>
      <c r="E1291" s="84"/>
      <c r="F1291" s="276"/>
      <c r="H1291" s="275"/>
      <c r="I1291" s="275"/>
      <c r="J1291" s="275"/>
      <c r="K1291" s="275"/>
      <c r="L1291" s="275"/>
      <c r="M1291" s="275"/>
      <c r="N1291" s="260"/>
      <c r="O1291" s="99"/>
      <c r="P1291" s="99"/>
      <c r="Q1291" s="99"/>
      <c r="R1291" s="99"/>
      <c r="S1291" s="99"/>
      <c r="T1291" s="99"/>
      <c r="U1291" s="99"/>
      <c r="V1291" s="99"/>
      <c r="W1291" s="99"/>
      <c r="X1291" s="99"/>
      <c r="Y1291" s="99"/>
      <c r="Z1291" s="99"/>
      <c r="AB1291" s="84"/>
      <c r="AC1291" s="84"/>
      <c r="AD1291" s="84"/>
      <c r="AE1291" s="84"/>
      <c r="AF1291" s="84"/>
      <c r="AG1291" s="84"/>
      <c r="AH1291" s="84"/>
      <c r="AI1291" s="84"/>
    </row>
    <row r="1292" ht="15.75" customHeight="1">
      <c r="A1292" s="84"/>
      <c r="B1292" s="84"/>
      <c r="C1292" s="84"/>
      <c r="D1292" s="84"/>
      <c r="E1292" s="84"/>
      <c r="F1292" s="276"/>
      <c r="H1292" s="275"/>
      <c r="I1292" s="275"/>
      <c r="J1292" s="275"/>
      <c r="K1292" s="275"/>
      <c r="L1292" s="275"/>
      <c r="M1292" s="275"/>
      <c r="N1292" s="260"/>
      <c r="O1292" s="99"/>
      <c r="P1292" s="99"/>
      <c r="Q1292" s="99"/>
      <c r="R1292" s="99"/>
      <c r="S1292" s="99"/>
      <c r="T1292" s="99"/>
      <c r="U1292" s="99"/>
      <c r="V1292" s="99"/>
      <c r="W1292" s="99"/>
      <c r="X1292" s="99"/>
      <c r="Y1292" s="99"/>
      <c r="Z1292" s="99"/>
      <c r="AB1292" s="84"/>
      <c r="AC1292" s="84"/>
      <c r="AD1292" s="84"/>
      <c r="AE1292" s="84"/>
      <c r="AF1292" s="84"/>
      <c r="AG1292" s="84"/>
      <c r="AH1292" s="84"/>
      <c r="AI1292" s="84"/>
    </row>
    <row r="1293" ht="15.75" customHeight="1">
      <c r="A1293" s="84"/>
      <c r="B1293" s="84"/>
      <c r="C1293" s="84"/>
      <c r="D1293" s="84"/>
      <c r="E1293" s="84"/>
      <c r="F1293" s="276"/>
      <c r="H1293" s="275"/>
      <c r="I1293" s="275"/>
      <c r="J1293" s="275"/>
      <c r="K1293" s="275"/>
      <c r="L1293" s="275"/>
      <c r="M1293" s="275"/>
      <c r="N1293" s="260"/>
      <c r="O1293" s="99"/>
      <c r="P1293" s="99"/>
      <c r="Q1293" s="99"/>
      <c r="R1293" s="99"/>
      <c r="S1293" s="99"/>
      <c r="T1293" s="99"/>
      <c r="U1293" s="99"/>
      <c r="V1293" s="99"/>
      <c r="W1293" s="99"/>
      <c r="X1293" s="99"/>
      <c r="Y1293" s="99"/>
      <c r="Z1293" s="99"/>
      <c r="AB1293" s="84"/>
      <c r="AC1293" s="84"/>
      <c r="AD1293" s="84"/>
      <c r="AE1293" s="84"/>
      <c r="AF1293" s="84"/>
      <c r="AG1293" s="84"/>
      <c r="AH1293" s="84"/>
      <c r="AI1293" s="84"/>
    </row>
    <row r="1294" ht="15.75" customHeight="1">
      <c r="A1294" s="84"/>
      <c r="B1294" s="84"/>
      <c r="C1294" s="84"/>
      <c r="D1294" s="84"/>
      <c r="E1294" s="84"/>
      <c r="F1294" s="276"/>
      <c r="H1294" s="275"/>
      <c r="I1294" s="275"/>
      <c r="J1294" s="275"/>
      <c r="K1294" s="275"/>
      <c r="L1294" s="275"/>
      <c r="M1294" s="275"/>
      <c r="N1294" s="260"/>
      <c r="O1294" s="99"/>
      <c r="P1294" s="99"/>
      <c r="Q1294" s="99"/>
      <c r="R1294" s="99"/>
      <c r="S1294" s="99"/>
      <c r="T1294" s="99"/>
      <c r="U1294" s="99"/>
      <c r="V1294" s="99"/>
      <c r="W1294" s="99"/>
      <c r="X1294" s="99"/>
      <c r="Y1294" s="99"/>
      <c r="Z1294" s="99"/>
      <c r="AB1294" s="84"/>
      <c r="AC1294" s="84"/>
      <c r="AD1294" s="84"/>
      <c r="AE1294" s="84"/>
      <c r="AF1294" s="84"/>
      <c r="AG1294" s="84"/>
      <c r="AH1294" s="84"/>
      <c r="AI1294" s="84"/>
    </row>
    <row r="1295" ht="15.75" customHeight="1">
      <c r="A1295" s="84"/>
      <c r="B1295" s="84"/>
      <c r="C1295" s="84"/>
      <c r="D1295" s="84"/>
      <c r="E1295" s="84"/>
      <c r="F1295" s="276"/>
      <c r="H1295" s="275"/>
      <c r="I1295" s="275"/>
      <c r="J1295" s="275"/>
      <c r="K1295" s="275"/>
      <c r="L1295" s="275"/>
      <c r="M1295" s="275"/>
      <c r="N1295" s="260"/>
      <c r="O1295" s="99"/>
      <c r="P1295" s="99"/>
      <c r="Q1295" s="99"/>
      <c r="R1295" s="99"/>
      <c r="S1295" s="99"/>
      <c r="T1295" s="99"/>
      <c r="U1295" s="99"/>
      <c r="V1295" s="99"/>
      <c r="W1295" s="99"/>
      <c r="X1295" s="99"/>
      <c r="Y1295" s="99"/>
      <c r="Z1295" s="99"/>
      <c r="AB1295" s="84"/>
      <c r="AC1295" s="84"/>
      <c r="AD1295" s="84"/>
      <c r="AE1295" s="84"/>
      <c r="AF1295" s="84"/>
      <c r="AG1295" s="84"/>
      <c r="AH1295" s="84"/>
      <c r="AI1295" s="84"/>
    </row>
    <row r="1296" ht="15.75" customHeight="1">
      <c r="A1296" s="84"/>
      <c r="B1296" s="84"/>
      <c r="C1296" s="84"/>
      <c r="D1296" s="84"/>
      <c r="E1296" s="84"/>
      <c r="F1296" s="276"/>
      <c r="H1296" s="275"/>
      <c r="I1296" s="275"/>
      <c r="J1296" s="275"/>
      <c r="K1296" s="275"/>
      <c r="L1296" s="275"/>
      <c r="M1296" s="275"/>
      <c r="N1296" s="260"/>
      <c r="O1296" s="99"/>
      <c r="P1296" s="99"/>
      <c r="Q1296" s="99"/>
      <c r="R1296" s="99"/>
      <c r="S1296" s="99"/>
      <c r="T1296" s="99"/>
      <c r="U1296" s="99"/>
      <c r="V1296" s="99"/>
      <c r="W1296" s="99"/>
      <c r="X1296" s="99"/>
      <c r="Y1296" s="99"/>
      <c r="Z1296" s="99"/>
      <c r="AB1296" s="84"/>
      <c r="AC1296" s="84"/>
      <c r="AD1296" s="84"/>
      <c r="AE1296" s="84"/>
      <c r="AF1296" s="84"/>
      <c r="AG1296" s="84"/>
      <c r="AH1296" s="84"/>
      <c r="AI1296" s="84"/>
    </row>
    <row r="1297" ht="15.75" customHeight="1">
      <c r="A1297" s="84"/>
      <c r="B1297" s="84"/>
      <c r="C1297" s="84"/>
      <c r="D1297" s="84"/>
      <c r="E1297" s="84"/>
      <c r="F1297" s="276"/>
      <c r="H1297" s="275"/>
      <c r="I1297" s="275"/>
      <c r="J1297" s="275"/>
      <c r="K1297" s="275"/>
      <c r="L1297" s="275"/>
      <c r="M1297" s="275"/>
      <c r="N1297" s="260"/>
      <c r="O1297" s="99"/>
      <c r="P1297" s="99"/>
      <c r="Q1297" s="99"/>
      <c r="R1297" s="99"/>
      <c r="S1297" s="99"/>
      <c r="T1297" s="99"/>
      <c r="U1297" s="99"/>
      <c r="V1297" s="99"/>
      <c r="W1297" s="99"/>
      <c r="X1297" s="99"/>
      <c r="Y1297" s="99"/>
      <c r="Z1297" s="99"/>
      <c r="AB1297" s="84"/>
      <c r="AC1297" s="84"/>
      <c r="AD1297" s="84"/>
      <c r="AE1297" s="84"/>
      <c r="AF1297" s="84"/>
      <c r="AG1297" s="84"/>
      <c r="AH1297" s="84"/>
      <c r="AI1297" s="84"/>
    </row>
    <row r="1298" ht="15.75" customHeight="1">
      <c r="A1298" s="84"/>
      <c r="B1298" s="84"/>
      <c r="C1298" s="84"/>
      <c r="D1298" s="84"/>
      <c r="E1298" s="84"/>
      <c r="F1298" s="276"/>
      <c r="H1298" s="275"/>
      <c r="I1298" s="275"/>
      <c r="J1298" s="275"/>
      <c r="K1298" s="275"/>
      <c r="L1298" s="275"/>
      <c r="M1298" s="275"/>
      <c r="N1298" s="260"/>
      <c r="O1298" s="99"/>
      <c r="P1298" s="99"/>
      <c r="Q1298" s="99"/>
      <c r="R1298" s="99"/>
      <c r="S1298" s="99"/>
      <c r="T1298" s="99"/>
      <c r="U1298" s="99"/>
      <c r="V1298" s="99"/>
      <c r="W1298" s="99"/>
      <c r="X1298" s="99"/>
      <c r="Y1298" s="99"/>
      <c r="Z1298" s="99"/>
      <c r="AB1298" s="84"/>
      <c r="AC1298" s="84"/>
      <c r="AD1298" s="84"/>
      <c r="AE1298" s="84"/>
      <c r="AF1298" s="84"/>
      <c r="AG1298" s="84"/>
      <c r="AH1298" s="84"/>
      <c r="AI1298" s="84"/>
    </row>
    <row r="1299" ht="15.75" customHeight="1">
      <c r="A1299" s="84"/>
      <c r="B1299" s="84"/>
      <c r="C1299" s="84"/>
      <c r="D1299" s="84"/>
      <c r="E1299" s="84"/>
      <c r="F1299" s="276"/>
      <c r="H1299" s="275"/>
      <c r="I1299" s="275"/>
      <c r="J1299" s="275"/>
      <c r="K1299" s="275"/>
      <c r="L1299" s="275"/>
      <c r="M1299" s="275"/>
      <c r="N1299" s="260"/>
      <c r="O1299" s="99"/>
      <c r="P1299" s="99"/>
      <c r="Q1299" s="99"/>
      <c r="R1299" s="99"/>
      <c r="S1299" s="99"/>
      <c r="T1299" s="99"/>
      <c r="U1299" s="99"/>
      <c r="V1299" s="99"/>
      <c r="W1299" s="99"/>
      <c r="X1299" s="99"/>
      <c r="Y1299" s="99"/>
      <c r="Z1299" s="99"/>
      <c r="AB1299" s="84"/>
      <c r="AC1299" s="84"/>
      <c r="AD1299" s="84"/>
      <c r="AE1299" s="84"/>
      <c r="AF1299" s="84"/>
      <c r="AG1299" s="84"/>
      <c r="AH1299" s="84"/>
      <c r="AI1299" s="84"/>
    </row>
    <row r="1300" ht="15.75" customHeight="1">
      <c r="A1300" s="84"/>
      <c r="B1300" s="84"/>
      <c r="C1300" s="84"/>
      <c r="D1300" s="84"/>
      <c r="E1300" s="84"/>
      <c r="F1300" s="276"/>
      <c r="H1300" s="275"/>
      <c r="I1300" s="275"/>
      <c r="J1300" s="275"/>
      <c r="K1300" s="275"/>
      <c r="L1300" s="275"/>
      <c r="M1300" s="275"/>
      <c r="N1300" s="260"/>
      <c r="O1300" s="99"/>
      <c r="P1300" s="99"/>
      <c r="Q1300" s="99"/>
      <c r="R1300" s="99"/>
      <c r="S1300" s="99"/>
      <c r="T1300" s="99"/>
      <c r="U1300" s="99"/>
      <c r="V1300" s="99"/>
      <c r="W1300" s="99"/>
      <c r="X1300" s="99"/>
      <c r="Y1300" s="99"/>
      <c r="Z1300" s="99"/>
      <c r="AB1300" s="84"/>
      <c r="AC1300" s="84"/>
      <c r="AD1300" s="84"/>
      <c r="AE1300" s="84"/>
      <c r="AF1300" s="84"/>
      <c r="AG1300" s="84"/>
      <c r="AH1300" s="84"/>
      <c r="AI1300" s="84"/>
    </row>
    <row r="1301" ht="15.75" customHeight="1">
      <c r="A1301" s="84"/>
      <c r="B1301" s="84"/>
      <c r="C1301" s="84"/>
      <c r="D1301" s="84"/>
      <c r="E1301" s="84"/>
      <c r="F1301" s="276"/>
      <c r="H1301" s="275"/>
      <c r="I1301" s="275"/>
      <c r="J1301" s="275"/>
      <c r="K1301" s="275"/>
      <c r="L1301" s="275"/>
      <c r="M1301" s="275"/>
      <c r="N1301" s="260"/>
      <c r="O1301" s="99"/>
      <c r="P1301" s="99"/>
      <c r="Q1301" s="99"/>
      <c r="R1301" s="99"/>
      <c r="S1301" s="99"/>
      <c r="T1301" s="99"/>
      <c r="U1301" s="99"/>
      <c r="V1301" s="99"/>
      <c r="W1301" s="99"/>
      <c r="X1301" s="99"/>
      <c r="Y1301" s="99"/>
      <c r="Z1301" s="99"/>
      <c r="AB1301" s="84"/>
      <c r="AC1301" s="84"/>
      <c r="AD1301" s="84"/>
      <c r="AE1301" s="84"/>
      <c r="AF1301" s="84"/>
      <c r="AG1301" s="84"/>
      <c r="AH1301" s="84"/>
      <c r="AI1301" s="84"/>
    </row>
    <row r="1302" ht="15.75" customHeight="1">
      <c r="A1302" s="84"/>
      <c r="B1302" s="84"/>
      <c r="C1302" s="84"/>
      <c r="D1302" s="84"/>
      <c r="E1302" s="84"/>
      <c r="F1302" s="276"/>
      <c r="H1302" s="275"/>
      <c r="I1302" s="275"/>
      <c r="J1302" s="275"/>
      <c r="K1302" s="275"/>
      <c r="L1302" s="275"/>
      <c r="M1302" s="275"/>
      <c r="N1302" s="260"/>
      <c r="O1302" s="99"/>
      <c r="P1302" s="99"/>
      <c r="Q1302" s="99"/>
      <c r="R1302" s="99"/>
      <c r="S1302" s="99"/>
      <c r="T1302" s="99"/>
      <c r="U1302" s="99"/>
      <c r="V1302" s="99"/>
      <c r="W1302" s="99"/>
      <c r="X1302" s="99"/>
      <c r="Y1302" s="99"/>
      <c r="Z1302" s="99"/>
      <c r="AB1302" s="84"/>
      <c r="AC1302" s="84"/>
      <c r="AD1302" s="84"/>
      <c r="AE1302" s="84"/>
      <c r="AF1302" s="84"/>
      <c r="AG1302" s="84"/>
      <c r="AH1302" s="84"/>
      <c r="AI1302" s="84"/>
    </row>
    <row r="1303" ht="15.75" customHeight="1">
      <c r="A1303" s="84"/>
      <c r="B1303" s="84"/>
      <c r="C1303" s="84"/>
      <c r="D1303" s="84"/>
      <c r="E1303" s="84"/>
      <c r="F1303" s="276"/>
      <c r="H1303" s="275"/>
      <c r="I1303" s="275"/>
      <c r="J1303" s="275"/>
      <c r="K1303" s="275"/>
      <c r="L1303" s="275"/>
      <c r="M1303" s="275"/>
      <c r="N1303" s="260"/>
      <c r="O1303" s="99"/>
      <c r="P1303" s="99"/>
      <c r="Q1303" s="99"/>
      <c r="R1303" s="99"/>
      <c r="S1303" s="99"/>
      <c r="T1303" s="99"/>
      <c r="U1303" s="99"/>
      <c r="V1303" s="99"/>
      <c r="W1303" s="99"/>
      <c r="X1303" s="99"/>
      <c r="Y1303" s="99"/>
      <c r="Z1303" s="99"/>
      <c r="AB1303" s="84"/>
      <c r="AC1303" s="84"/>
      <c r="AD1303" s="84"/>
      <c r="AE1303" s="84"/>
      <c r="AF1303" s="84"/>
      <c r="AG1303" s="84"/>
      <c r="AH1303" s="84"/>
      <c r="AI1303" s="84"/>
    </row>
    <row r="1304" ht="15.75" customHeight="1">
      <c r="A1304" s="84"/>
      <c r="B1304" s="84"/>
      <c r="C1304" s="84"/>
      <c r="D1304" s="84"/>
      <c r="E1304" s="84"/>
      <c r="F1304" s="276"/>
      <c r="H1304" s="275"/>
      <c r="I1304" s="275"/>
      <c r="J1304" s="275"/>
      <c r="K1304" s="275"/>
      <c r="L1304" s="275"/>
      <c r="M1304" s="275"/>
      <c r="N1304" s="260"/>
      <c r="O1304" s="99"/>
      <c r="P1304" s="99"/>
      <c r="Q1304" s="99"/>
      <c r="R1304" s="99"/>
      <c r="S1304" s="99"/>
      <c r="T1304" s="99"/>
      <c r="U1304" s="99"/>
      <c r="V1304" s="99"/>
      <c r="W1304" s="99"/>
      <c r="X1304" s="99"/>
      <c r="Y1304" s="99"/>
      <c r="Z1304" s="99"/>
      <c r="AB1304" s="84"/>
      <c r="AC1304" s="84"/>
      <c r="AD1304" s="84"/>
      <c r="AE1304" s="84"/>
      <c r="AF1304" s="84"/>
      <c r="AG1304" s="84"/>
      <c r="AH1304" s="84"/>
      <c r="AI1304" s="84"/>
    </row>
    <row r="1305" ht="15.75" customHeight="1">
      <c r="A1305" s="84"/>
      <c r="B1305" s="84"/>
      <c r="C1305" s="84"/>
      <c r="D1305" s="84"/>
      <c r="E1305" s="84"/>
      <c r="F1305" s="276"/>
      <c r="H1305" s="275"/>
      <c r="I1305" s="275"/>
      <c r="J1305" s="275"/>
      <c r="K1305" s="275"/>
      <c r="L1305" s="275"/>
      <c r="M1305" s="275"/>
      <c r="N1305" s="260"/>
      <c r="O1305" s="99"/>
      <c r="P1305" s="99"/>
      <c r="Q1305" s="99"/>
      <c r="R1305" s="99"/>
      <c r="S1305" s="99"/>
      <c r="T1305" s="99"/>
      <c r="U1305" s="99"/>
      <c r="V1305" s="99"/>
      <c r="W1305" s="99"/>
      <c r="X1305" s="99"/>
      <c r="Y1305" s="99"/>
      <c r="Z1305" s="99"/>
      <c r="AB1305" s="84"/>
      <c r="AC1305" s="84"/>
      <c r="AD1305" s="84"/>
      <c r="AE1305" s="84"/>
      <c r="AF1305" s="84"/>
      <c r="AG1305" s="84"/>
      <c r="AH1305" s="84"/>
      <c r="AI1305" s="84"/>
    </row>
    <row r="1306" ht="15.75" customHeight="1">
      <c r="A1306" s="84"/>
      <c r="B1306" s="84"/>
      <c r="C1306" s="84"/>
      <c r="D1306" s="84"/>
      <c r="E1306" s="84"/>
      <c r="F1306" s="276"/>
      <c r="H1306" s="275"/>
      <c r="I1306" s="275"/>
      <c r="J1306" s="275"/>
      <c r="K1306" s="275"/>
      <c r="L1306" s="275"/>
      <c r="M1306" s="275"/>
      <c r="N1306" s="260"/>
      <c r="O1306" s="99"/>
      <c r="P1306" s="99"/>
      <c r="Q1306" s="99"/>
      <c r="R1306" s="99"/>
      <c r="S1306" s="99"/>
      <c r="T1306" s="99"/>
      <c r="U1306" s="99"/>
      <c r="V1306" s="99"/>
      <c r="W1306" s="99"/>
      <c r="X1306" s="99"/>
      <c r="Y1306" s="99"/>
      <c r="Z1306" s="99"/>
      <c r="AB1306" s="84"/>
      <c r="AC1306" s="84"/>
      <c r="AD1306" s="84"/>
      <c r="AE1306" s="84"/>
      <c r="AF1306" s="84"/>
      <c r="AG1306" s="84"/>
      <c r="AH1306" s="84"/>
      <c r="AI1306" s="84"/>
    </row>
    <row r="1307" ht="15.75" customHeight="1">
      <c r="A1307" s="84"/>
      <c r="B1307" s="84"/>
      <c r="C1307" s="84"/>
      <c r="D1307" s="84"/>
      <c r="E1307" s="84"/>
      <c r="F1307" s="276"/>
      <c r="H1307" s="275"/>
      <c r="I1307" s="275"/>
      <c r="J1307" s="275"/>
      <c r="K1307" s="275"/>
      <c r="L1307" s="275"/>
      <c r="M1307" s="275"/>
      <c r="N1307" s="260"/>
      <c r="O1307" s="99"/>
      <c r="P1307" s="99"/>
      <c r="Q1307" s="99"/>
      <c r="R1307" s="99"/>
      <c r="S1307" s="99"/>
      <c r="T1307" s="99"/>
      <c r="U1307" s="99"/>
      <c r="V1307" s="99"/>
      <c r="W1307" s="99"/>
      <c r="X1307" s="99"/>
      <c r="Y1307" s="99"/>
      <c r="Z1307" s="99"/>
      <c r="AB1307" s="84"/>
      <c r="AC1307" s="84"/>
      <c r="AD1307" s="84"/>
      <c r="AE1307" s="84"/>
      <c r="AF1307" s="84"/>
      <c r="AG1307" s="84"/>
      <c r="AH1307" s="84"/>
      <c r="AI1307" s="84"/>
    </row>
    <row r="1308" ht="15.75" customHeight="1">
      <c r="A1308" s="84"/>
      <c r="B1308" s="84"/>
      <c r="C1308" s="84"/>
      <c r="D1308" s="84"/>
      <c r="E1308" s="84"/>
      <c r="F1308" s="276"/>
      <c r="H1308" s="275"/>
      <c r="I1308" s="275"/>
      <c r="J1308" s="275"/>
      <c r="K1308" s="275"/>
      <c r="L1308" s="275"/>
      <c r="M1308" s="275"/>
      <c r="N1308" s="260"/>
      <c r="O1308" s="99"/>
      <c r="P1308" s="99"/>
      <c r="Q1308" s="99"/>
      <c r="R1308" s="99"/>
      <c r="S1308" s="99"/>
      <c r="T1308" s="99"/>
      <c r="U1308" s="99"/>
      <c r="V1308" s="99"/>
      <c r="W1308" s="99"/>
      <c r="X1308" s="99"/>
      <c r="Y1308" s="99"/>
      <c r="Z1308" s="99"/>
      <c r="AB1308" s="84"/>
      <c r="AC1308" s="84"/>
      <c r="AD1308" s="84"/>
      <c r="AE1308" s="84"/>
      <c r="AF1308" s="84"/>
      <c r="AG1308" s="84"/>
      <c r="AH1308" s="84"/>
      <c r="AI1308" s="84"/>
    </row>
    <row r="1309" ht="15.75" customHeight="1">
      <c r="A1309" s="84"/>
      <c r="B1309" s="84"/>
      <c r="C1309" s="84"/>
      <c r="D1309" s="84"/>
      <c r="E1309" s="84"/>
      <c r="F1309" s="276"/>
      <c r="H1309" s="275"/>
      <c r="I1309" s="275"/>
      <c r="J1309" s="275"/>
      <c r="K1309" s="275"/>
      <c r="L1309" s="275"/>
      <c r="M1309" s="275"/>
      <c r="N1309" s="260"/>
      <c r="O1309" s="99"/>
      <c r="P1309" s="99"/>
      <c r="Q1309" s="99"/>
      <c r="R1309" s="99"/>
      <c r="S1309" s="99"/>
      <c r="T1309" s="99"/>
      <c r="U1309" s="99"/>
      <c r="V1309" s="99"/>
      <c r="W1309" s="99"/>
      <c r="X1309" s="99"/>
      <c r="Y1309" s="99"/>
      <c r="Z1309" s="99"/>
      <c r="AB1309" s="84"/>
      <c r="AC1309" s="84"/>
      <c r="AD1309" s="84"/>
      <c r="AE1309" s="84"/>
      <c r="AF1309" s="84"/>
      <c r="AG1309" s="84"/>
      <c r="AH1309" s="84"/>
      <c r="AI1309" s="84"/>
    </row>
    <row r="1310" ht="15.75" customHeight="1">
      <c r="A1310" s="84"/>
      <c r="B1310" s="84"/>
      <c r="C1310" s="84"/>
      <c r="D1310" s="84"/>
      <c r="E1310" s="84"/>
      <c r="F1310" s="276"/>
      <c r="H1310" s="275"/>
      <c r="I1310" s="275"/>
      <c r="J1310" s="275"/>
      <c r="K1310" s="275"/>
      <c r="L1310" s="275"/>
      <c r="M1310" s="275"/>
      <c r="N1310" s="260"/>
      <c r="O1310" s="99"/>
      <c r="P1310" s="99"/>
      <c r="Q1310" s="99"/>
      <c r="R1310" s="99"/>
      <c r="S1310" s="99"/>
      <c r="T1310" s="99"/>
      <c r="U1310" s="99"/>
      <c r="V1310" s="99"/>
      <c r="W1310" s="99"/>
      <c r="X1310" s="99"/>
      <c r="Y1310" s="99"/>
      <c r="Z1310" s="99"/>
      <c r="AB1310" s="84"/>
      <c r="AC1310" s="84"/>
      <c r="AD1310" s="84"/>
      <c r="AE1310" s="84"/>
      <c r="AF1310" s="84"/>
      <c r="AG1310" s="84"/>
      <c r="AH1310" s="84"/>
      <c r="AI1310" s="84"/>
    </row>
    <row r="1311" ht="15.75" customHeight="1">
      <c r="A1311" s="84"/>
      <c r="B1311" s="84"/>
      <c r="C1311" s="84"/>
      <c r="D1311" s="84"/>
      <c r="E1311" s="84"/>
      <c r="F1311" s="276"/>
      <c r="H1311" s="275"/>
      <c r="I1311" s="275"/>
      <c r="J1311" s="275"/>
      <c r="K1311" s="275"/>
      <c r="L1311" s="275"/>
      <c r="M1311" s="275"/>
      <c r="N1311" s="260"/>
      <c r="O1311" s="99"/>
      <c r="P1311" s="99"/>
      <c r="Q1311" s="99"/>
      <c r="R1311" s="99"/>
      <c r="S1311" s="99"/>
      <c r="T1311" s="99"/>
      <c r="U1311" s="99"/>
      <c r="V1311" s="99"/>
      <c r="W1311" s="99"/>
      <c r="X1311" s="99"/>
      <c r="Y1311" s="99"/>
      <c r="Z1311" s="99"/>
      <c r="AB1311" s="84"/>
      <c r="AC1311" s="84"/>
      <c r="AD1311" s="84"/>
      <c r="AE1311" s="84"/>
      <c r="AF1311" s="84"/>
      <c r="AG1311" s="84"/>
      <c r="AH1311" s="84"/>
      <c r="AI1311" s="84"/>
    </row>
    <row r="1312" ht="15.75" customHeight="1">
      <c r="A1312" s="84"/>
      <c r="B1312" s="84"/>
      <c r="C1312" s="84"/>
      <c r="D1312" s="84"/>
      <c r="E1312" s="84"/>
      <c r="F1312" s="276"/>
      <c r="H1312" s="275"/>
      <c r="I1312" s="275"/>
      <c r="J1312" s="275"/>
      <c r="K1312" s="275"/>
      <c r="L1312" s="275"/>
      <c r="M1312" s="275"/>
      <c r="N1312" s="260"/>
      <c r="O1312" s="99"/>
      <c r="P1312" s="99"/>
      <c r="Q1312" s="99"/>
      <c r="R1312" s="99"/>
      <c r="S1312" s="99"/>
      <c r="T1312" s="99"/>
      <c r="U1312" s="99"/>
      <c r="V1312" s="99"/>
      <c r="W1312" s="99"/>
      <c r="X1312" s="99"/>
      <c r="Y1312" s="99"/>
      <c r="Z1312" s="99"/>
      <c r="AB1312" s="84"/>
      <c r="AC1312" s="84"/>
      <c r="AD1312" s="84"/>
      <c r="AE1312" s="84"/>
      <c r="AF1312" s="84"/>
      <c r="AG1312" s="84"/>
      <c r="AH1312" s="84"/>
      <c r="AI1312" s="84"/>
    </row>
    <row r="1313" ht="15.75" customHeight="1">
      <c r="A1313" s="84"/>
      <c r="B1313" s="84"/>
      <c r="C1313" s="84"/>
      <c r="D1313" s="84"/>
      <c r="E1313" s="84"/>
      <c r="F1313" s="276"/>
      <c r="H1313" s="275"/>
      <c r="I1313" s="275"/>
      <c r="J1313" s="275"/>
      <c r="K1313" s="275"/>
      <c r="L1313" s="275"/>
      <c r="M1313" s="275"/>
      <c r="N1313" s="260"/>
      <c r="O1313" s="99"/>
      <c r="P1313" s="99"/>
      <c r="Q1313" s="99"/>
      <c r="R1313" s="99"/>
      <c r="S1313" s="99"/>
      <c r="T1313" s="99"/>
      <c r="U1313" s="99"/>
      <c r="V1313" s="99"/>
      <c r="W1313" s="99"/>
      <c r="X1313" s="99"/>
      <c r="Y1313" s="99"/>
      <c r="Z1313" s="99"/>
      <c r="AB1313" s="84"/>
      <c r="AC1313" s="84"/>
      <c r="AD1313" s="84"/>
      <c r="AE1313" s="84"/>
      <c r="AF1313" s="84"/>
      <c r="AG1313" s="84"/>
      <c r="AH1313" s="84"/>
      <c r="AI1313" s="84"/>
    </row>
    <row r="1314" ht="15.75" customHeight="1">
      <c r="A1314" s="84"/>
      <c r="B1314" s="84"/>
      <c r="C1314" s="84"/>
      <c r="D1314" s="84"/>
      <c r="E1314" s="84"/>
      <c r="F1314" s="276"/>
      <c r="H1314" s="275"/>
      <c r="I1314" s="275"/>
      <c r="J1314" s="275"/>
      <c r="K1314" s="275"/>
      <c r="L1314" s="275"/>
      <c r="M1314" s="275"/>
      <c r="N1314" s="260"/>
      <c r="O1314" s="99"/>
      <c r="P1314" s="99"/>
      <c r="Q1314" s="99"/>
      <c r="R1314" s="99"/>
      <c r="S1314" s="99"/>
      <c r="T1314" s="99"/>
      <c r="U1314" s="99"/>
      <c r="V1314" s="99"/>
      <c r="W1314" s="99"/>
      <c r="X1314" s="99"/>
      <c r="Y1314" s="99"/>
      <c r="Z1314" s="99"/>
      <c r="AB1314" s="84"/>
      <c r="AC1314" s="84"/>
      <c r="AD1314" s="84"/>
      <c r="AE1314" s="84"/>
      <c r="AF1314" s="84"/>
      <c r="AG1314" s="84"/>
      <c r="AH1314" s="84"/>
      <c r="AI1314" s="84"/>
    </row>
    <row r="1315" ht="15.75" customHeight="1">
      <c r="A1315" s="84"/>
      <c r="B1315" s="84"/>
      <c r="C1315" s="84"/>
      <c r="D1315" s="84"/>
      <c r="E1315" s="84"/>
      <c r="F1315" s="276"/>
      <c r="H1315" s="275"/>
      <c r="I1315" s="275"/>
      <c r="J1315" s="275"/>
      <c r="K1315" s="275"/>
      <c r="L1315" s="275"/>
      <c r="M1315" s="275"/>
      <c r="N1315" s="260"/>
      <c r="O1315" s="99"/>
      <c r="P1315" s="99"/>
      <c r="Q1315" s="99"/>
      <c r="R1315" s="99"/>
      <c r="S1315" s="99"/>
      <c r="T1315" s="99"/>
      <c r="U1315" s="99"/>
      <c r="V1315" s="99"/>
      <c r="W1315" s="99"/>
      <c r="X1315" s="99"/>
      <c r="Y1315" s="99"/>
      <c r="Z1315" s="99"/>
      <c r="AB1315" s="84"/>
      <c r="AC1315" s="84"/>
      <c r="AD1315" s="84"/>
      <c r="AE1315" s="84"/>
      <c r="AF1315" s="84"/>
      <c r="AG1315" s="84"/>
      <c r="AH1315" s="84"/>
      <c r="AI1315" s="84"/>
    </row>
    <row r="1316" ht="15.75" customHeight="1">
      <c r="A1316" s="84"/>
      <c r="B1316" s="84"/>
      <c r="C1316" s="84"/>
      <c r="D1316" s="84"/>
      <c r="E1316" s="84"/>
      <c r="F1316" s="276"/>
      <c r="H1316" s="275"/>
      <c r="I1316" s="275"/>
      <c r="J1316" s="275"/>
      <c r="K1316" s="275"/>
      <c r="L1316" s="275"/>
      <c r="M1316" s="275"/>
      <c r="N1316" s="260"/>
      <c r="O1316" s="99"/>
      <c r="P1316" s="99"/>
      <c r="Q1316" s="99"/>
      <c r="R1316" s="99"/>
      <c r="S1316" s="99"/>
      <c r="T1316" s="99"/>
      <c r="U1316" s="99"/>
      <c r="V1316" s="99"/>
      <c r="W1316" s="99"/>
      <c r="X1316" s="99"/>
      <c r="Y1316" s="99"/>
      <c r="Z1316" s="99"/>
      <c r="AB1316" s="84"/>
      <c r="AC1316" s="84"/>
      <c r="AD1316" s="84"/>
      <c r="AE1316" s="84"/>
      <c r="AF1316" s="84"/>
      <c r="AG1316" s="84"/>
      <c r="AH1316" s="84"/>
      <c r="AI1316" s="84"/>
    </row>
    <row r="1317" ht="15.75" customHeight="1">
      <c r="A1317" s="84"/>
      <c r="B1317" s="84"/>
      <c r="C1317" s="84"/>
      <c r="D1317" s="84"/>
      <c r="E1317" s="84"/>
      <c r="F1317" s="276"/>
      <c r="H1317" s="275"/>
      <c r="I1317" s="275"/>
      <c r="J1317" s="275"/>
      <c r="K1317" s="275"/>
      <c r="L1317" s="275"/>
      <c r="M1317" s="275"/>
      <c r="N1317" s="260"/>
      <c r="O1317" s="99"/>
      <c r="P1317" s="99"/>
      <c r="Q1317" s="99"/>
      <c r="R1317" s="99"/>
      <c r="S1317" s="99"/>
      <c r="T1317" s="99"/>
      <c r="U1317" s="99"/>
      <c r="V1317" s="99"/>
      <c r="W1317" s="99"/>
      <c r="X1317" s="99"/>
      <c r="Y1317" s="99"/>
      <c r="Z1317" s="99"/>
      <c r="AB1317" s="84"/>
      <c r="AC1317" s="84"/>
      <c r="AD1317" s="84"/>
      <c r="AE1317" s="84"/>
      <c r="AF1317" s="84"/>
      <c r="AG1317" s="84"/>
      <c r="AH1317" s="84"/>
      <c r="AI1317" s="84"/>
    </row>
    <row r="1318" ht="15.75" customHeight="1">
      <c r="A1318" s="84"/>
      <c r="B1318" s="84"/>
      <c r="C1318" s="84"/>
      <c r="D1318" s="84"/>
      <c r="E1318" s="84"/>
      <c r="F1318" s="276"/>
      <c r="H1318" s="275"/>
      <c r="I1318" s="275"/>
      <c r="J1318" s="275"/>
      <c r="K1318" s="275"/>
      <c r="L1318" s="275"/>
      <c r="M1318" s="275"/>
      <c r="N1318" s="260"/>
      <c r="O1318" s="99"/>
      <c r="P1318" s="99"/>
      <c r="Q1318" s="99"/>
      <c r="R1318" s="99"/>
      <c r="S1318" s="99"/>
      <c r="T1318" s="99"/>
      <c r="U1318" s="99"/>
      <c r="V1318" s="99"/>
      <c r="W1318" s="99"/>
      <c r="X1318" s="99"/>
      <c r="Y1318" s="99"/>
      <c r="Z1318" s="99"/>
      <c r="AB1318" s="84"/>
      <c r="AC1318" s="84"/>
      <c r="AD1318" s="84"/>
      <c r="AE1318" s="84"/>
      <c r="AF1318" s="84"/>
      <c r="AG1318" s="84"/>
      <c r="AH1318" s="84"/>
      <c r="AI1318" s="84"/>
    </row>
    <row r="1319" ht="15.75" customHeight="1">
      <c r="A1319" s="84"/>
      <c r="B1319" s="84"/>
      <c r="C1319" s="84"/>
      <c r="D1319" s="84"/>
      <c r="E1319" s="84"/>
      <c r="F1319" s="276"/>
      <c r="H1319" s="275"/>
      <c r="I1319" s="275"/>
      <c r="J1319" s="275"/>
      <c r="K1319" s="275"/>
      <c r="L1319" s="275"/>
      <c r="M1319" s="275"/>
      <c r="N1319" s="275"/>
      <c r="O1319" s="99"/>
      <c r="P1319" s="99"/>
      <c r="Q1319" s="99"/>
      <c r="R1319" s="99"/>
      <c r="S1319" s="99"/>
      <c r="T1319" s="99"/>
      <c r="U1319" s="99"/>
      <c r="V1319" s="99"/>
      <c r="W1319" s="99"/>
      <c r="X1319" s="99"/>
      <c r="Y1319" s="99"/>
      <c r="Z1319" s="99"/>
      <c r="AB1319" s="84"/>
      <c r="AC1319" s="84"/>
      <c r="AD1319" s="84"/>
      <c r="AE1319" s="84"/>
      <c r="AF1319" s="84"/>
      <c r="AG1319" s="84"/>
      <c r="AH1319" s="84"/>
      <c r="AI1319" s="84"/>
    </row>
    <row r="1320" ht="15.75" customHeight="1">
      <c r="A1320" s="84"/>
      <c r="B1320" s="84"/>
      <c r="C1320" s="84"/>
      <c r="D1320" s="84"/>
      <c r="E1320" s="84"/>
      <c r="F1320" s="276"/>
      <c r="H1320" s="275"/>
      <c r="I1320" s="275"/>
      <c r="J1320" s="275"/>
      <c r="K1320" s="275"/>
      <c r="L1320" s="275"/>
      <c r="M1320" s="275"/>
      <c r="N1320" s="275"/>
      <c r="O1320" s="99"/>
      <c r="P1320" s="99"/>
      <c r="Q1320" s="99"/>
      <c r="R1320" s="99"/>
      <c r="S1320" s="99"/>
      <c r="T1320" s="99"/>
      <c r="U1320" s="99"/>
      <c r="V1320" s="99"/>
      <c r="W1320" s="99"/>
      <c r="X1320" s="99"/>
      <c r="Y1320" s="99"/>
      <c r="Z1320" s="99"/>
      <c r="AB1320" s="84"/>
      <c r="AC1320" s="84"/>
      <c r="AD1320" s="84"/>
      <c r="AE1320" s="84"/>
      <c r="AF1320" s="84"/>
      <c r="AG1320" s="84"/>
      <c r="AH1320" s="84"/>
      <c r="AI1320" s="84"/>
    </row>
    <row r="1321" ht="15.75" customHeight="1">
      <c r="A1321" s="84"/>
      <c r="B1321" s="84"/>
      <c r="C1321" s="84"/>
      <c r="D1321" s="84"/>
      <c r="E1321" s="84"/>
      <c r="F1321" s="276"/>
      <c r="H1321" s="275"/>
      <c r="I1321" s="275"/>
      <c r="J1321" s="275"/>
      <c r="K1321" s="275"/>
      <c r="L1321" s="275"/>
      <c r="M1321" s="275"/>
      <c r="N1321" s="275"/>
      <c r="O1321" s="99"/>
      <c r="P1321" s="99"/>
      <c r="Q1321" s="99"/>
      <c r="R1321" s="99"/>
      <c r="S1321" s="99"/>
      <c r="T1321" s="99"/>
      <c r="U1321" s="99"/>
      <c r="V1321" s="99"/>
      <c r="W1321" s="99"/>
      <c r="X1321" s="99"/>
      <c r="Y1321" s="99"/>
      <c r="Z1321" s="99"/>
      <c r="AB1321" s="84"/>
      <c r="AC1321" s="84"/>
      <c r="AD1321" s="84"/>
      <c r="AE1321" s="84"/>
      <c r="AF1321" s="84"/>
      <c r="AG1321" s="84"/>
      <c r="AH1321" s="84"/>
      <c r="AI1321" s="84"/>
    </row>
    <row r="1322" ht="15.75" customHeight="1">
      <c r="A1322" s="84"/>
      <c r="B1322" s="84"/>
      <c r="C1322" s="84"/>
      <c r="D1322" s="84"/>
      <c r="E1322" s="84"/>
      <c r="F1322" s="276"/>
      <c r="H1322" s="275"/>
      <c r="I1322" s="275"/>
      <c r="J1322" s="275"/>
      <c r="K1322" s="275"/>
      <c r="L1322" s="275"/>
      <c r="M1322" s="275"/>
      <c r="N1322" s="275"/>
      <c r="O1322" s="99"/>
      <c r="P1322" s="99"/>
      <c r="Q1322" s="99"/>
      <c r="R1322" s="99"/>
      <c r="S1322" s="99"/>
      <c r="T1322" s="99"/>
      <c r="U1322" s="99"/>
      <c r="V1322" s="99"/>
      <c r="W1322" s="99"/>
      <c r="X1322" s="99"/>
      <c r="Y1322" s="99"/>
      <c r="Z1322" s="99"/>
      <c r="AB1322" s="84"/>
      <c r="AC1322" s="84"/>
      <c r="AD1322" s="84"/>
      <c r="AE1322" s="84"/>
      <c r="AF1322" s="84"/>
      <c r="AG1322" s="84"/>
      <c r="AH1322" s="84"/>
      <c r="AI1322" s="84"/>
    </row>
    <row r="1323" ht="15.75" customHeight="1">
      <c r="A1323" s="84"/>
      <c r="B1323" s="84"/>
      <c r="C1323" s="84"/>
      <c r="D1323" s="84"/>
      <c r="E1323" s="84"/>
      <c r="F1323" s="276"/>
      <c r="H1323" s="275"/>
      <c r="I1323" s="275"/>
      <c r="J1323" s="275"/>
      <c r="K1323" s="275"/>
      <c r="L1323" s="275"/>
      <c r="M1323" s="275"/>
      <c r="N1323" s="275"/>
      <c r="O1323" s="99"/>
      <c r="P1323" s="99"/>
      <c r="Q1323" s="99"/>
      <c r="R1323" s="99"/>
      <c r="S1323" s="99"/>
      <c r="T1323" s="99"/>
      <c r="U1323" s="99"/>
      <c r="V1323" s="99"/>
      <c r="W1323" s="99"/>
      <c r="X1323" s="99"/>
      <c r="Y1323" s="99"/>
      <c r="Z1323" s="99"/>
      <c r="AB1323" s="84"/>
      <c r="AC1323" s="84"/>
      <c r="AD1323" s="84"/>
      <c r="AE1323" s="84"/>
      <c r="AF1323" s="84"/>
      <c r="AG1323" s="84"/>
      <c r="AH1323" s="84"/>
      <c r="AI1323" s="84"/>
    </row>
    <row r="1324" ht="15.75" customHeight="1">
      <c r="A1324" s="84"/>
      <c r="B1324" s="84"/>
      <c r="C1324" s="84"/>
      <c r="D1324" s="84"/>
      <c r="E1324" s="84"/>
      <c r="F1324" s="276"/>
      <c r="H1324" s="275"/>
      <c r="I1324" s="275"/>
      <c r="J1324" s="275"/>
      <c r="K1324" s="275"/>
      <c r="L1324" s="275"/>
      <c r="M1324" s="275"/>
      <c r="N1324" s="275"/>
      <c r="O1324" s="99"/>
      <c r="P1324" s="99"/>
      <c r="Q1324" s="99"/>
      <c r="R1324" s="99"/>
      <c r="S1324" s="99"/>
      <c r="T1324" s="99"/>
      <c r="U1324" s="99"/>
      <c r="V1324" s="99"/>
      <c r="W1324" s="99"/>
      <c r="X1324" s="99"/>
      <c r="Y1324" s="99"/>
      <c r="Z1324" s="99"/>
      <c r="AB1324" s="84"/>
      <c r="AC1324" s="84"/>
      <c r="AD1324" s="84"/>
      <c r="AE1324" s="84"/>
      <c r="AF1324" s="84"/>
      <c r="AG1324" s="84"/>
      <c r="AH1324" s="84"/>
      <c r="AI1324" s="84"/>
    </row>
    <row r="1325" ht="15.75" customHeight="1">
      <c r="A1325" s="84"/>
      <c r="B1325" s="84"/>
      <c r="C1325" s="84"/>
      <c r="D1325" s="84"/>
      <c r="E1325" s="84"/>
      <c r="F1325" s="276"/>
      <c r="H1325" s="275"/>
      <c r="I1325" s="275"/>
      <c r="J1325" s="275"/>
      <c r="K1325" s="275"/>
      <c r="L1325" s="275"/>
      <c r="M1325" s="275"/>
      <c r="N1325" s="275"/>
      <c r="O1325" s="99"/>
      <c r="P1325" s="99"/>
      <c r="Q1325" s="99"/>
      <c r="R1325" s="99"/>
      <c r="S1325" s="99"/>
      <c r="T1325" s="99"/>
      <c r="U1325" s="99"/>
      <c r="V1325" s="99"/>
      <c r="W1325" s="99"/>
      <c r="X1325" s="99"/>
      <c r="Y1325" s="99"/>
      <c r="Z1325" s="99"/>
      <c r="AB1325" s="84"/>
      <c r="AC1325" s="84"/>
      <c r="AD1325" s="84"/>
      <c r="AE1325" s="84"/>
      <c r="AF1325" s="84"/>
      <c r="AG1325" s="84"/>
      <c r="AH1325" s="84"/>
      <c r="AI1325" s="84"/>
    </row>
    <row r="1326" ht="15.75" customHeight="1">
      <c r="A1326" s="84"/>
      <c r="B1326" s="84"/>
      <c r="C1326" s="84"/>
      <c r="D1326" s="84"/>
      <c r="F1326" s="276"/>
      <c r="H1326" s="275"/>
      <c r="I1326" s="275"/>
      <c r="J1326" s="275"/>
      <c r="K1326" s="275"/>
      <c r="L1326" s="275"/>
      <c r="M1326" s="275"/>
      <c r="N1326" s="275"/>
      <c r="O1326" s="99"/>
      <c r="P1326" s="99"/>
      <c r="Q1326" s="99"/>
      <c r="R1326" s="99"/>
      <c r="S1326" s="99"/>
      <c r="T1326" s="99"/>
      <c r="U1326" s="99"/>
      <c r="V1326" s="99"/>
      <c r="W1326" s="99"/>
      <c r="X1326" s="99"/>
      <c r="Y1326" s="99"/>
      <c r="Z1326" s="99"/>
      <c r="AB1326" s="84"/>
      <c r="AC1326" s="84"/>
      <c r="AD1326" s="84"/>
      <c r="AE1326" s="84"/>
      <c r="AF1326" s="84"/>
      <c r="AG1326" s="84"/>
      <c r="AH1326" s="84"/>
      <c r="AI1326" s="84"/>
    </row>
    <row r="1327" ht="15.75" customHeight="1">
      <c r="A1327" s="84"/>
      <c r="B1327" s="84"/>
      <c r="C1327" s="84"/>
      <c r="D1327" s="84"/>
      <c r="F1327" s="276"/>
      <c r="H1327" s="275"/>
      <c r="I1327" s="275"/>
      <c r="J1327" s="275"/>
      <c r="K1327" s="275"/>
      <c r="L1327" s="275"/>
      <c r="M1327" s="275"/>
      <c r="N1327" s="275"/>
      <c r="O1327" s="99"/>
      <c r="P1327" s="99"/>
      <c r="Q1327" s="99"/>
      <c r="R1327" s="99"/>
      <c r="S1327" s="99"/>
      <c r="T1327" s="99"/>
      <c r="U1327" s="99"/>
      <c r="V1327" s="99"/>
      <c r="W1327" s="99"/>
      <c r="X1327" s="99"/>
      <c r="Y1327" s="99"/>
      <c r="Z1327" s="99"/>
      <c r="AB1327" s="84"/>
      <c r="AC1327" s="84"/>
      <c r="AD1327" s="84"/>
      <c r="AE1327" s="84"/>
      <c r="AF1327" s="84"/>
      <c r="AG1327" s="84"/>
      <c r="AH1327" s="84"/>
      <c r="AI1327" s="84"/>
    </row>
    <row r="1328" ht="15.75" customHeight="1">
      <c r="A1328" s="84"/>
      <c r="B1328" s="84"/>
      <c r="C1328" s="84"/>
      <c r="D1328" s="84"/>
      <c r="F1328" s="276"/>
      <c r="H1328" s="275"/>
      <c r="I1328" s="275"/>
      <c r="J1328" s="275"/>
      <c r="K1328" s="275"/>
      <c r="L1328" s="275"/>
      <c r="M1328" s="275"/>
      <c r="N1328" s="275"/>
      <c r="O1328" s="99"/>
      <c r="P1328" s="99"/>
      <c r="Q1328" s="99"/>
      <c r="R1328" s="99"/>
      <c r="S1328" s="99"/>
      <c r="T1328" s="99"/>
      <c r="U1328" s="99"/>
      <c r="V1328" s="99"/>
      <c r="W1328" s="99"/>
      <c r="X1328" s="99"/>
      <c r="Y1328" s="99"/>
      <c r="Z1328" s="99"/>
      <c r="AB1328" s="84"/>
      <c r="AC1328" s="84"/>
      <c r="AD1328" s="84"/>
      <c r="AE1328" s="84"/>
      <c r="AF1328" s="84"/>
      <c r="AG1328" s="84"/>
      <c r="AH1328" s="84"/>
      <c r="AI1328" s="84"/>
    </row>
    <row r="1329" ht="15.75" customHeight="1">
      <c r="A1329" s="84"/>
      <c r="B1329" s="84"/>
      <c r="C1329" s="84"/>
      <c r="D1329" s="84"/>
      <c r="F1329" s="276"/>
      <c r="H1329" s="275"/>
      <c r="I1329" s="275"/>
      <c r="J1329" s="275"/>
      <c r="K1329" s="275"/>
      <c r="L1329" s="275"/>
      <c r="M1329" s="275"/>
      <c r="N1329" s="275"/>
      <c r="O1329" s="99"/>
      <c r="P1329" s="99"/>
      <c r="Q1329" s="99"/>
      <c r="R1329" s="99"/>
      <c r="S1329" s="99"/>
      <c r="T1329" s="99"/>
      <c r="U1329" s="99"/>
      <c r="V1329" s="99"/>
      <c r="W1329" s="99"/>
      <c r="X1329" s="99"/>
      <c r="Y1329" s="99"/>
      <c r="Z1329" s="99"/>
      <c r="AB1329" s="84"/>
      <c r="AC1329" s="84"/>
      <c r="AD1329" s="84"/>
      <c r="AE1329" s="84"/>
      <c r="AF1329" s="84"/>
      <c r="AG1329" s="84"/>
      <c r="AH1329" s="84"/>
      <c r="AI1329" s="84"/>
    </row>
    <row r="1330" ht="15.75" customHeight="1">
      <c r="A1330" s="84"/>
      <c r="B1330" s="84"/>
      <c r="C1330" s="84"/>
      <c r="D1330" s="84"/>
      <c r="F1330" s="276"/>
      <c r="H1330" s="275"/>
      <c r="I1330" s="275"/>
      <c r="J1330" s="275"/>
      <c r="K1330" s="275"/>
      <c r="L1330" s="275"/>
      <c r="M1330" s="275"/>
      <c r="N1330" s="275"/>
      <c r="O1330" s="99"/>
      <c r="P1330" s="99"/>
      <c r="Q1330" s="99"/>
      <c r="R1330" s="99"/>
      <c r="S1330" s="99"/>
      <c r="T1330" s="99"/>
      <c r="U1330" s="99"/>
      <c r="V1330" s="99"/>
      <c r="W1330" s="99"/>
      <c r="X1330" s="99"/>
      <c r="Y1330" s="99"/>
      <c r="Z1330" s="99"/>
      <c r="AB1330" s="84"/>
      <c r="AC1330" s="84"/>
      <c r="AD1330" s="84"/>
      <c r="AE1330" s="84"/>
      <c r="AF1330" s="84"/>
      <c r="AG1330" s="84"/>
      <c r="AH1330" s="84"/>
      <c r="AI1330" s="84"/>
    </row>
    <row r="1331" ht="15.75" customHeight="1">
      <c r="A1331" s="84"/>
      <c r="B1331" s="84"/>
      <c r="C1331" s="84"/>
      <c r="D1331" s="84"/>
      <c r="F1331" s="276"/>
      <c r="H1331" s="275"/>
      <c r="I1331" s="275"/>
      <c r="J1331" s="275"/>
      <c r="K1331" s="275"/>
      <c r="L1331" s="275"/>
      <c r="M1331" s="275"/>
      <c r="N1331" s="275"/>
      <c r="O1331" s="99"/>
      <c r="P1331" s="99"/>
      <c r="Q1331" s="99"/>
      <c r="R1331" s="99"/>
      <c r="S1331" s="99"/>
      <c r="T1331" s="99"/>
      <c r="U1331" s="99"/>
      <c r="V1331" s="99"/>
      <c r="W1331" s="99"/>
      <c r="X1331" s="99"/>
      <c r="Y1331" s="99"/>
      <c r="Z1331" s="99"/>
      <c r="AB1331" s="84"/>
      <c r="AC1331" s="84"/>
      <c r="AD1331" s="84"/>
      <c r="AE1331" s="84"/>
      <c r="AF1331" s="84"/>
      <c r="AG1331" s="84"/>
      <c r="AH1331" s="84"/>
      <c r="AI1331" s="84"/>
    </row>
    <row r="1332" ht="15.75" customHeight="1">
      <c r="A1332" s="84"/>
      <c r="B1332" s="84"/>
      <c r="C1332" s="84"/>
      <c r="F1332" s="276"/>
      <c r="H1332" s="275"/>
      <c r="I1332" s="275"/>
      <c r="J1332" s="275"/>
      <c r="K1332" s="275"/>
      <c r="L1332" s="275"/>
      <c r="M1332" s="275"/>
      <c r="N1332" s="275"/>
      <c r="O1332" s="99"/>
      <c r="P1332" s="99"/>
      <c r="Q1332" s="99"/>
      <c r="R1332" s="99"/>
      <c r="S1332" s="99"/>
      <c r="T1332" s="99"/>
      <c r="U1332" s="99"/>
      <c r="V1332" s="99"/>
      <c r="W1332" s="99"/>
      <c r="X1332" s="99"/>
      <c r="Y1332" s="99"/>
      <c r="Z1332" s="99"/>
      <c r="AB1332" s="84"/>
      <c r="AC1332" s="84"/>
      <c r="AD1332" s="84"/>
      <c r="AE1332" s="84"/>
      <c r="AF1332" s="84"/>
      <c r="AG1332" s="84"/>
      <c r="AH1332" s="84"/>
      <c r="AI1332" s="84"/>
    </row>
    <row r="1333" ht="15.75" customHeight="1">
      <c r="A1333" s="84"/>
      <c r="B1333" s="84"/>
      <c r="C1333" s="84"/>
      <c r="F1333" s="276"/>
      <c r="H1333" s="275"/>
      <c r="I1333" s="275"/>
      <c r="J1333" s="275"/>
      <c r="K1333" s="275"/>
      <c r="L1333" s="275"/>
      <c r="M1333" s="275"/>
      <c r="N1333" s="275"/>
      <c r="O1333" s="99"/>
      <c r="P1333" s="99"/>
      <c r="Q1333" s="99"/>
      <c r="R1333" s="99"/>
      <c r="S1333" s="99"/>
      <c r="T1333" s="99"/>
      <c r="U1333" s="99"/>
      <c r="V1333" s="99"/>
      <c r="W1333" s="99"/>
      <c r="X1333" s="99"/>
      <c r="Y1333" s="99"/>
      <c r="Z1333" s="99"/>
      <c r="AB1333" s="84"/>
      <c r="AC1333" s="84"/>
      <c r="AD1333" s="84"/>
      <c r="AE1333" s="84"/>
      <c r="AF1333" s="84"/>
      <c r="AG1333" s="84"/>
      <c r="AH1333" s="84"/>
      <c r="AI1333" s="84"/>
    </row>
    <row r="1334" ht="15.75" customHeight="1">
      <c r="A1334" s="84"/>
      <c r="B1334" s="84"/>
      <c r="C1334" s="84"/>
      <c r="F1334" s="276"/>
      <c r="H1334" s="275"/>
      <c r="I1334" s="275"/>
      <c r="J1334" s="275"/>
      <c r="K1334" s="275"/>
      <c r="L1334" s="275"/>
      <c r="M1334" s="275"/>
      <c r="N1334" s="275"/>
      <c r="O1334" s="99"/>
      <c r="P1334" s="99"/>
      <c r="Q1334" s="99"/>
      <c r="R1334" s="99"/>
      <c r="S1334" s="99"/>
      <c r="T1334" s="99"/>
      <c r="U1334" s="99"/>
      <c r="V1334" s="99"/>
      <c r="W1334" s="99"/>
      <c r="X1334" s="99"/>
      <c r="Y1334" s="99"/>
      <c r="Z1334" s="99"/>
      <c r="AB1334" s="84"/>
      <c r="AC1334" s="84"/>
      <c r="AD1334" s="84"/>
      <c r="AE1334" s="84"/>
      <c r="AF1334" s="84"/>
      <c r="AG1334" s="84"/>
      <c r="AH1334" s="84"/>
      <c r="AI1334" s="84"/>
    </row>
    <row r="1335" ht="15.75" customHeight="1">
      <c r="A1335" s="84"/>
      <c r="B1335" s="84"/>
      <c r="C1335" s="84"/>
      <c r="F1335" s="276"/>
      <c r="H1335" s="275"/>
      <c r="I1335" s="275"/>
      <c r="J1335" s="275"/>
      <c r="K1335" s="275"/>
      <c r="L1335" s="275"/>
      <c r="M1335" s="275"/>
      <c r="N1335" s="275"/>
      <c r="O1335" s="99"/>
      <c r="P1335" s="99"/>
      <c r="Q1335" s="99"/>
      <c r="R1335" s="99"/>
      <c r="S1335" s="99"/>
      <c r="T1335" s="99"/>
      <c r="U1335" s="99"/>
      <c r="V1335" s="99"/>
      <c r="W1335" s="99"/>
      <c r="X1335" s="99"/>
      <c r="Y1335" s="99"/>
      <c r="Z1335" s="99"/>
      <c r="AB1335" s="84"/>
      <c r="AC1335" s="84"/>
      <c r="AD1335" s="84"/>
      <c r="AE1335" s="84"/>
      <c r="AF1335" s="84"/>
      <c r="AG1335" s="84"/>
      <c r="AH1335" s="84"/>
      <c r="AI1335" s="84"/>
    </row>
    <row r="1336" ht="15.75" customHeight="1">
      <c r="A1336" s="84"/>
      <c r="B1336" s="84"/>
      <c r="C1336" s="84"/>
      <c r="F1336" s="276"/>
      <c r="H1336" s="275"/>
      <c r="I1336" s="275"/>
      <c r="J1336" s="275"/>
      <c r="K1336" s="275"/>
      <c r="L1336" s="275"/>
      <c r="M1336" s="275"/>
      <c r="N1336" s="275"/>
      <c r="O1336" s="99"/>
      <c r="P1336" s="99"/>
      <c r="Q1336" s="99"/>
      <c r="R1336" s="99"/>
      <c r="S1336" s="99"/>
      <c r="T1336" s="99"/>
      <c r="U1336" s="99"/>
      <c r="V1336" s="99"/>
      <c r="W1336" s="99"/>
      <c r="X1336" s="99"/>
      <c r="Y1336" s="99"/>
      <c r="Z1336" s="99"/>
      <c r="AB1336" s="84"/>
      <c r="AC1336" s="84"/>
      <c r="AD1336" s="84"/>
      <c r="AE1336" s="84"/>
      <c r="AF1336" s="84"/>
      <c r="AG1336" s="84"/>
      <c r="AH1336" s="84"/>
      <c r="AI1336" s="84"/>
    </row>
    <row r="1337" ht="15.75" customHeight="1">
      <c r="A1337" s="84"/>
      <c r="B1337" s="84"/>
      <c r="C1337" s="84"/>
      <c r="F1337" s="276"/>
      <c r="H1337" s="275"/>
      <c r="I1337" s="275"/>
      <c r="J1337" s="275"/>
      <c r="K1337" s="275"/>
      <c r="L1337" s="275"/>
      <c r="M1337" s="275"/>
      <c r="N1337" s="275"/>
      <c r="O1337" s="99"/>
      <c r="P1337" s="99"/>
      <c r="Q1337" s="99"/>
      <c r="R1337" s="99"/>
      <c r="S1337" s="99"/>
      <c r="T1337" s="99"/>
      <c r="U1337" s="99"/>
      <c r="V1337" s="99"/>
      <c r="W1337" s="99"/>
      <c r="X1337" s="99"/>
      <c r="Y1337" s="99"/>
      <c r="Z1337" s="99"/>
      <c r="AB1337" s="84"/>
      <c r="AC1337" s="84"/>
      <c r="AD1337" s="84"/>
      <c r="AE1337" s="84"/>
      <c r="AF1337" s="84"/>
      <c r="AG1337" s="84"/>
      <c r="AH1337" s="84"/>
      <c r="AI1337" s="84"/>
    </row>
    <row r="1338" ht="15.75" customHeight="1">
      <c r="A1338" s="84"/>
      <c r="B1338" s="84"/>
      <c r="C1338" s="84"/>
      <c r="F1338" s="276"/>
      <c r="H1338" s="275"/>
      <c r="I1338" s="275"/>
      <c r="J1338" s="275"/>
      <c r="K1338" s="275"/>
      <c r="L1338" s="275"/>
      <c r="M1338" s="275"/>
      <c r="N1338" s="275"/>
      <c r="O1338" s="99"/>
      <c r="P1338" s="99"/>
      <c r="Q1338" s="99"/>
      <c r="R1338" s="99"/>
      <c r="S1338" s="99"/>
      <c r="T1338" s="99"/>
      <c r="U1338" s="99"/>
      <c r="V1338" s="99"/>
      <c r="W1338" s="99"/>
      <c r="X1338" s="99"/>
      <c r="Y1338" s="99"/>
      <c r="Z1338" s="99"/>
      <c r="AB1338" s="84"/>
      <c r="AC1338" s="84"/>
      <c r="AD1338" s="84"/>
      <c r="AE1338" s="84"/>
      <c r="AF1338" s="84"/>
      <c r="AG1338" s="84"/>
      <c r="AH1338" s="84"/>
      <c r="AI1338" s="84"/>
    </row>
    <row r="1339" ht="15.75" customHeight="1">
      <c r="A1339" s="84"/>
      <c r="B1339" s="84"/>
      <c r="C1339" s="84"/>
      <c r="H1339" s="275"/>
      <c r="I1339" s="275"/>
      <c r="J1339" s="275"/>
      <c r="K1339" s="275"/>
      <c r="L1339" s="275"/>
      <c r="M1339" s="275"/>
      <c r="N1339" s="275"/>
      <c r="O1339" s="99"/>
      <c r="P1339" s="99"/>
      <c r="Q1339" s="99"/>
      <c r="R1339" s="99"/>
      <c r="S1339" s="99"/>
      <c r="T1339" s="99"/>
      <c r="U1339" s="99"/>
      <c r="V1339" s="99"/>
      <c r="W1339" s="99"/>
      <c r="X1339" s="99"/>
      <c r="Y1339" s="99"/>
      <c r="Z1339" s="99"/>
      <c r="AB1339" s="84"/>
      <c r="AD1339" s="84"/>
      <c r="AE1339" s="84"/>
      <c r="AF1339" s="84"/>
      <c r="AG1339" s="84"/>
      <c r="AH1339" s="84"/>
      <c r="AI1339" s="84"/>
    </row>
    <row r="1340" ht="15.75" customHeight="1">
      <c r="A1340" s="84"/>
      <c r="B1340" s="84"/>
      <c r="C1340" s="84"/>
      <c r="H1340" s="275"/>
      <c r="I1340" s="275"/>
      <c r="J1340" s="275"/>
      <c r="K1340" s="275"/>
      <c r="L1340" s="275"/>
      <c r="M1340" s="275"/>
      <c r="N1340" s="275"/>
      <c r="O1340" s="99"/>
      <c r="P1340" s="99"/>
      <c r="Q1340" s="99"/>
      <c r="R1340" s="99"/>
      <c r="S1340" s="99"/>
      <c r="T1340" s="99"/>
      <c r="U1340" s="99"/>
      <c r="V1340" s="99"/>
      <c r="W1340" s="99"/>
      <c r="X1340" s="99"/>
      <c r="Y1340" s="99"/>
      <c r="Z1340" s="99"/>
      <c r="AB1340" s="84"/>
      <c r="AD1340" s="84"/>
      <c r="AE1340" s="84"/>
      <c r="AF1340" s="84"/>
      <c r="AG1340" s="84"/>
      <c r="AH1340" s="84"/>
      <c r="AI1340" s="84"/>
    </row>
    <row r="1341" ht="15.75" customHeight="1">
      <c r="A1341" s="84"/>
      <c r="B1341" s="84"/>
      <c r="C1341" s="84"/>
      <c r="H1341" s="275"/>
      <c r="I1341" s="275"/>
      <c r="J1341" s="275"/>
      <c r="K1341" s="275"/>
      <c r="L1341" s="275"/>
      <c r="M1341" s="275"/>
      <c r="N1341" s="275"/>
      <c r="O1341" s="99"/>
      <c r="P1341" s="99"/>
      <c r="Q1341" s="99"/>
      <c r="R1341" s="99"/>
      <c r="S1341" s="99"/>
      <c r="T1341" s="99"/>
      <c r="U1341" s="99"/>
      <c r="V1341" s="99"/>
      <c r="W1341" s="99"/>
      <c r="X1341" s="99"/>
      <c r="Y1341" s="99"/>
      <c r="Z1341" s="99"/>
      <c r="AB1341" s="84"/>
      <c r="AD1341" s="84"/>
      <c r="AE1341" s="84"/>
      <c r="AF1341" s="84"/>
      <c r="AG1341" s="84"/>
      <c r="AH1341" s="84"/>
      <c r="AI1341" s="84"/>
    </row>
    <row r="1342" ht="15.75" customHeight="1">
      <c r="A1342" s="84"/>
      <c r="B1342" s="84"/>
      <c r="C1342" s="84"/>
      <c r="H1342" s="275"/>
      <c r="I1342" s="275"/>
      <c r="J1342" s="275"/>
      <c r="K1342" s="275"/>
      <c r="L1342" s="275"/>
      <c r="M1342" s="275"/>
      <c r="N1342" s="275"/>
      <c r="O1342" s="99"/>
      <c r="P1342" s="99"/>
      <c r="Q1342" s="99"/>
      <c r="R1342" s="99"/>
      <c r="S1342" s="99"/>
      <c r="T1342" s="99"/>
      <c r="U1342" s="99"/>
      <c r="V1342" s="99"/>
      <c r="W1342" s="99"/>
      <c r="X1342" s="99"/>
      <c r="Y1342" s="99"/>
      <c r="Z1342" s="99"/>
      <c r="AB1342" s="84"/>
      <c r="AD1342" s="84"/>
      <c r="AE1342" s="84"/>
      <c r="AF1342" s="84"/>
      <c r="AG1342" s="84"/>
      <c r="AH1342" s="84"/>
      <c r="AI1342" s="84"/>
    </row>
    <row r="1343" ht="15.75" customHeight="1">
      <c r="H1343" s="275"/>
      <c r="I1343" s="275"/>
      <c r="J1343" s="275"/>
      <c r="K1343" s="275"/>
      <c r="L1343" s="275"/>
      <c r="M1343" s="275"/>
      <c r="N1343" s="275"/>
      <c r="O1343" s="99"/>
      <c r="P1343" s="99"/>
      <c r="Q1343" s="99"/>
      <c r="R1343" s="99"/>
      <c r="S1343" s="99"/>
      <c r="T1343" s="99"/>
      <c r="U1343" s="99"/>
      <c r="V1343" s="99"/>
      <c r="W1343" s="99"/>
      <c r="X1343" s="99"/>
      <c r="Y1343" s="99"/>
      <c r="Z1343" s="99"/>
      <c r="AB1343" s="84"/>
      <c r="AD1343" s="84"/>
      <c r="AE1343" s="84"/>
      <c r="AF1343" s="84"/>
      <c r="AG1343" s="84"/>
      <c r="AH1343" s="84"/>
      <c r="AI1343" s="84"/>
    </row>
    <row r="1344" ht="15.75" customHeight="1">
      <c r="H1344" s="275"/>
      <c r="I1344" s="275"/>
      <c r="J1344" s="275"/>
      <c r="K1344" s="275"/>
      <c r="L1344" s="275"/>
      <c r="M1344" s="275"/>
      <c r="N1344" s="275"/>
      <c r="O1344" s="99"/>
      <c r="P1344" s="99"/>
      <c r="Q1344" s="99"/>
      <c r="R1344" s="99"/>
      <c r="S1344" s="99"/>
      <c r="T1344" s="99"/>
      <c r="U1344" s="99"/>
      <c r="V1344" s="99"/>
      <c r="W1344" s="99"/>
      <c r="X1344" s="99"/>
      <c r="Y1344" s="99"/>
      <c r="Z1344" s="99"/>
      <c r="AB1344" s="84"/>
      <c r="AD1344" s="84"/>
      <c r="AE1344" s="84"/>
      <c r="AF1344" s="84"/>
      <c r="AG1344" s="84"/>
      <c r="AH1344" s="84"/>
      <c r="AI1344" s="84"/>
    </row>
    <row r="1345" ht="15.75" customHeight="1">
      <c r="H1345" s="275"/>
      <c r="I1345" s="275"/>
      <c r="J1345" s="275"/>
      <c r="K1345" s="275"/>
      <c r="L1345" s="275"/>
      <c r="M1345" s="275"/>
      <c r="N1345" s="275"/>
      <c r="O1345" s="99"/>
      <c r="P1345" s="99"/>
      <c r="Q1345" s="99"/>
      <c r="R1345" s="99"/>
      <c r="S1345" s="99"/>
      <c r="T1345" s="99"/>
      <c r="U1345" s="99"/>
      <c r="V1345" s="99"/>
      <c r="W1345" s="99"/>
      <c r="X1345" s="99"/>
      <c r="Y1345" s="99"/>
      <c r="Z1345" s="99"/>
      <c r="AB1345" s="84"/>
      <c r="AD1345" s="84"/>
      <c r="AE1345" s="84"/>
      <c r="AF1345" s="84"/>
      <c r="AG1345" s="84"/>
      <c r="AH1345" s="84"/>
      <c r="AI1345" s="84"/>
    </row>
    <row r="1346" ht="15.75" customHeight="1">
      <c r="N1346" s="275"/>
      <c r="O1346" s="99"/>
      <c r="P1346" s="99"/>
      <c r="Q1346" s="99"/>
      <c r="R1346" s="99"/>
      <c r="S1346" s="99"/>
      <c r="T1346" s="99"/>
      <c r="U1346" s="99"/>
      <c r="V1346" s="99"/>
      <c r="W1346" s="99"/>
      <c r="X1346" s="99"/>
      <c r="Y1346" s="99"/>
      <c r="Z1346" s="99"/>
      <c r="AB1346" s="84"/>
      <c r="AD1346" s="84"/>
      <c r="AE1346" s="84"/>
      <c r="AF1346" s="84"/>
      <c r="AG1346" s="84"/>
      <c r="AH1346" s="84"/>
      <c r="AI1346" s="84"/>
    </row>
    <row r="1347" ht="15.75" customHeight="1">
      <c r="O1347" s="99"/>
      <c r="P1347" s="99"/>
      <c r="Q1347" s="99"/>
      <c r="R1347" s="99"/>
      <c r="S1347" s="99"/>
      <c r="T1347" s="99"/>
      <c r="U1347" s="99"/>
      <c r="V1347" s="99"/>
      <c r="W1347" s="99"/>
      <c r="X1347" s="99"/>
      <c r="Y1347" s="99"/>
      <c r="Z1347" s="99"/>
      <c r="AB1347" s="84"/>
      <c r="AD1347" s="84"/>
      <c r="AE1347" s="84"/>
      <c r="AF1347" s="84"/>
      <c r="AG1347" s="84"/>
      <c r="AH1347" s="84"/>
      <c r="AI1347" s="84"/>
    </row>
    <row r="1348" ht="15.75" customHeight="1">
      <c r="O1348" s="99"/>
      <c r="P1348" s="99"/>
      <c r="Q1348" s="99"/>
      <c r="R1348" s="99"/>
      <c r="S1348" s="99"/>
      <c r="T1348" s="99"/>
      <c r="U1348" s="99"/>
      <c r="V1348" s="99"/>
      <c r="W1348" s="99"/>
      <c r="X1348" s="99"/>
      <c r="Y1348" s="99"/>
      <c r="Z1348" s="99"/>
      <c r="AB1348" s="84"/>
      <c r="AD1348" s="84"/>
      <c r="AE1348" s="84"/>
      <c r="AF1348" s="84"/>
      <c r="AG1348" s="84"/>
      <c r="AH1348" s="84"/>
      <c r="AI1348" s="84"/>
    </row>
    <row r="1349" ht="15.75" customHeight="1">
      <c r="O1349" s="99"/>
      <c r="P1349" s="99"/>
      <c r="Q1349" s="99"/>
      <c r="R1349" s="99"/>
      <c r="S1349" s="99"/>
      <c r="T1349" s="99"/>
      <c r="U1349" s="99"/>
      <c r="V1349" s="99"/>
      <c r="W1349" s="99"/>
      <c r="X1349" s="99"/>
      <c r="Y1349" s="99"/>
      <c r="Z1349" s="99"/>
      <c r="AB1349" s="84"/>
      <c r="AD1349" s="84"/>
      <c r="AE1349" s="84"/>
      <c r="AF1349" s="84"/>
      <c r="AG1349" s="84"/>
      <c r="AH1349" s="84"/>
      <c r="AI1349" s="84"/>
    </row>
  </sheetData>
  <mergeCells count="6">
    <mergeCell ref="E2:E61"/>
    <mergeCell ref="C11:C12"/>
    <mergeCell ref="A14:C64"/>
    <mergeCell ref="E62:E68"/>
    <mergeCell ref="E69:E72"/>
    <mergeCell ref="E73:E76"/>
  </mergeCells>
  <conditionalFormatting sqref="N2:N76">
    <cfRule type="cellIs" dxfId="0" priority="1" operator="lessThan">
      <formula>$C$11</formula>
    </cfRule>
  </conditionalFormatting>
  <printOptions/>
  <pageMargins bottom="0.75" footer="0.0" header="0.0" left="0.7" right="0.7" top="0.75"/>
  <pageSetup orientation="landscape"/>
  <drawing r:id="rId1"/>
</worksheet>
</file>